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Stadiums" sheetId="2" r:id="rId5"/>
    <sheet state="visible" name="Arenas" sheetId="3" r:id="rId6"/>
    <sheet state="visible" name="College Arenas &gt; 10,000" sheetId="4" r:id="rId7"/>
    <sheet state="visible" name="College Arenas 5,000-10,000" sheetId="5" r:id="rId8"/>
  </sheets>
  <definedNames/>
  <calcPr/>
</workbook>
</file>

<file path=xl/sharedStrings.xml><?xml version="1.0" encoding="utf-8"?>
<sst xmlns="http://schemas.openxmlformats.org/spreadsheetml/2006/main" count="5444" uniqueCount="2940">
  <si>
    <t>Standeliver</t>
  </si>
  <si>
    <t>US Stadiums &amp; Arenas</t>
  </si>
  <si>
    <t>Description</t>
  </si>
  <si>
    <t>Stadiums - All</t>
  </si>
  <si>
    <t>Arenas - Private</t>
  </si>
  <si>
    <t>College Arenas</t>
  </si>
  <si>
    <t>Total US</t>
  </si>
  <si>
    <t>Capacity</t>
  </si>
  <si>
    <t>&gt; 10k</t>
  </si>
  <si>
    <t>5k - 10k</t>
  </si>
  <si>
    <t>Market</t>
  </si>
  <si>
    <t>FACILITIES DATA</t>
  </si>
  <si>
    <t>Total Facilities</t>
  </si>
  <si>
    <t>Total Facility Capacity</t>
  </si>
  <si>
    <t xml:space="preserve">LOW ATTENDANCE </t>
  </si>
  <si>
    <t>Low Attendance</t>
  </si>
  <si>
    <t>Average Participation</t>
  </si>
  <si>
    <t>Total Transactions per Event</t>
  </si>
  <si>
    <t>Transaction Fee</t>
  </si>
  <si>
    <t>Potential Monthly Revenue</t>
  </si>
  <si>
    <t>Potential Annual Revenue</t>
  </si>
  <si>
    <t xml:space="preserve">AVERAGE ATTENDANCE </t>
  </si>
  <si>
    <t>Average Attendance</t>
  </si>
  <si>
    <t>Assuming one event per month, 12 per year per facility.</t>
  </si>
  <si>
    <t>NFL Home games = approx 8 or 9 = .75 events per month average</t>
  </si>
  <si>
    <t>Major League Baseball = 81 games = 6.75 events per month average</t>
  </si>
  <si>
    <t>NHL Home Games = 41 = 3.42 events per month average</t>
  </si>
  <si>
    <t>NBA Home Games = 41 = 3.42 eventa per month average</t>
  </si>
  <si>
    <t>Does not include preseason or playoff games in NFL/MLB/NHL/NBA totals</t>
  </si>
  <si>
    <t>Does not include High School/Middle School stadiums</t>
  </si>
  <si>
    <t>Does not include College or High School baseball stadiums</t>
  </si>
  <si>
    <t>Source of Stadium/Arena data: Wikipedia</t>
  </si>
  <si>
    <t>Stadiums in the United States</t>
  </si>
  <si>
    <t>Capacity &gt; 10,000</t>
  </si>
  <si>
    <r>
      <rPr>
        <rFont val="Arial"/>
        <color rgb="FF202122"/>
        <sz val="10.0"/>
      </rPr>
      <t xml:space="preserve">The following is a list of </t>
    </r>
    <r>
      <rPr>
        <rFont val="Arial"/>
        <color rgb="FF202122"/>
        <sz val="10.0"/>
        <u/>
      </rPr>
      <t>stadiums</t>
    </r>
    <r>
      <rPr>
        <rFont val="Arial"/>
        <color rgb="FF202122"/>
        <sz val="10.0"/>
      </rPr>
      <t xml:space="preserve"> in the United States. They are ranked by capacity, which is the maximum number of spectators the stadium can normally accommodate. All U.S. stadiums with a current</t>
    </r>
  </si>
  <si>
    <r>
      <rPr>
        <rFont val="Arial"/>
        <color rgb="FF202122"/>
        <sz val="10.0"/>
      </rPr>
      <t xml:space="preserve">capacity of 10,000 or more are included in the list. The majority of these stadiums are used for </t>
    </r>
    <r>
      <rPr>
        <rFont val="Arial"/>
        <color rgb="FF202122"/>
        <sz val="10.0"/>
        <u/>
      </rPr>
      <t>American football</t>
    </r>
    <r>
      <rPr>
        <rFont val="Arial"/>
        <color rgb="FF202122"/>
        <sz val="10.0"/>
      </rPr>
      <t xml:space="preserve">, either in </t>
    </r>
    <r>
      <rPr>
        <rFont val="Arial"/>
        <color rgb="FF202122"/>
        <sz val="10.0"/>
        <u/>
      </rPr>
      <t>college football</t>
    </r>
    <r>
      <rPr>
        <rFont val="Arial"/>
        <color rgb="FF202122"/>
        <sz val="10.0"/>
      </rPr>
      <t xml:space="preserve"> or the </t>
    </r>
    <r>
      <rPr>
        <rFont val="Arial"/>
        <color rgb="FF202122"/>
        <sz val="10.0"/>
        <u/>
      </rPr>
      <t>NFL</t>
    </r>
    <r>
      <rPr>
        <rFont val="Arial"/>
        <color rgb="FF202122"/>
        <sz val="10.0"/>
      </rPr>
      <t xml:space="preserve">. Most of the others are </t>
    </r>
    <r>
      <rPr>
        <rFont val="Arial"/>
        <color rgb="FF202122"/>
        <sz val="10.0"/>
        <u/>
      </rPr>
      <t>Major League Baseball</t>
    </r>
  </si>
  <si>
    <r>
      <rPr>
        <rFont val="Arial"/>
        <color rgb="FF202122"/>
        <sz val="10.0"/>
      </rPr>
      <t xml:space="preserve">ballparks or </t>
    </r>
    <r>
      <rPr>
        <rFont val="Arial"/>
        <color rgb="FF202122"/>
        <sz val="10.0"/>
        <u/>
      </rPr>
      <t>Major League Soccer</t>
    </r>
    <r>
      <rPr>
        <rFont val="Arial"/>
        <color rgb="FF202122"/>
        <sz val="10.0"/>
      </rPr>
      <t xml:space="preserve"> stadiums.</t>
    </r>
  </si>
  <si>
    <t>https://en.wikipedia.org/wiki/List_of_U.S._stadiums_by_capacity</t>
  </si>
  <si>
    <r>
      <rPr>
        <rFont val="Arial"/>
        <color rgb="FF202122"/>
        <sz val="10.0"/>
      </rPr>
      <t>Rows shaded in yellow indicates stadium is home to an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NFL</t>
    </r>
    <r>
      <rPr>
        <rFont val="Arial"/>
        <color rgb="FF202122"/>
        <sz val="10.0"/>
      </rPr>
      <t>,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MLB</t>
    </r>
    <r>
      <rPr>
        <rFont val="Arial"/>
        <color rgb="FF202122"/>
        <sz val="10.0"/>
      </rPr>
      <t>,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MLS</t>
    </r>
    <r>
      <rPr>
        <rFont val="Arial"/>
        <color rgb="FF202122"/>
        <sz val="10.0"/>
      </rPr>
      <t>, or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NWSL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franchise.</t>
    </r>
  </si>
  <si>
    <t>Rank</t>
  </si>
  <si>
    <t>Stadium</t>
  </si>
  <si>
    <t>City</t>
  </si>
  <si>
    <t>State</t>
  </si>
  <si>
    <t>Year opened</t>
  </si>
  <si>
    <t>Type</t>
  </si>
  <si>
    <t>Tenant</t>
  </si>
  <si>
    <r>
      <rPr>
        <rFont val="Arial"/>
        <color rgb="FF202122"/>
        <sz val="10.0"/>
        <u/>
      </rPr>
      <t>Michigan Stadium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1</t>
    </r>
    <r>
      <rPr>
        <rFont val="Arial"/>
        <sz val="10.0"/>
      </rPr>
      <t>]</t>
    </r>
  </si>
  <si>
    <t>Ann Arbor</t>
  </si>
  <si>
    <t>Michigan</t>
  </si>
  <si>
    <t>Football</t>
  </si>
  <si>
    <r>
      <rPr>
        <rFont val="Arial"/>
        <color rgb="FF202122"/>
        <sz val="10.0"/>
        <u/>
      </rPr>
      <t>Michigan Wolverines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</si>
  <si>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Beaver Stadium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2</t>
    </r>
    <r>
      <rPr>
        <rFont val="Arial"/>
        <sz val="10.0"/>
      </rPr>
      <t>]</t>
    </r>
  </si>
  <si>
    <t>University Park</t>
  </si>
  <si>
    <t>Pennsylvania</t>
  </si>
  <si>
    <r>
      <rPr>
        <rFont val="Arial"/>
        <color rgb="FF202122"/>
        <sz val="10.0"/>
        <u/>
      </rPr>
      <t>Penn State Nittany Lions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</si>
  <si>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Ohio Stadium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3</t>
    </r>
    <r>
      <rPr>
        <rFont val="Arial"/>
        <sz val="10.0"/>
      </rPr>
      <t>]</t>
    </r>
  </si>
  <si>
    <t>Columbus</t>
  </si>
  <si>
    <t>Ohio</t>
  </si>
  <si>
    <r>
      <rPr>
        <rFont val="Arial"/>
        <color rgb="FF202122"/>
        <sz val="10.0"/>
        <u/>
      </rPr>
      <t>Ohio State Buckeyes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</si>
  <si>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Kyle Field</t>
  </si>
  <si>
    <t>College Station</t>
  </si>
  <si>
    <t>Texas</t>
  </si>
  <si>
    <r>
      <rPr>
        <rFont val="Arial"/>
        <color rgb="FF202122"/>
        <sz val="10.0"/>
        <u/>
      </rPr>
      <t>Texas A&amp;M Aggies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</si>
  <si>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Tiger Stadium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4</t>
    </r>
    <r>
      <rPr>
        <rFont val="Arial"/>
        <sz val="10.0"/>
      </rPr>
      <t>]</t>
    </r>
  </si>
  <si>
    <t>Baton Rouge</t>
  </si>
  <si>
    <t>Louisiana</t>
  </si>
  <si>
    <r>
      <rPr>
        <rFont val="Arial"/>
        <color rgb="FF202122"/>
        <sz val="10.0"/>
        <u/>
      </rPr>
      <t>LSU Tigers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</si>
  <si>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Neyland Stadium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5</t>
    </r>
    <r>
      <rPr>
        <rFont val="Arial"/>
        <sz val="10.0"/>
      </rPr>
      <t>]</t>
    </r>
  </si>
  <si>
    <t>Knoxville</t>
  </si>
  <si>
    <t>Tennessee</t>
  </si>
  <si>
    <r>
      <rPr>
        <rFont val="Arial"/>
        <color rgb="FF202122"/>
        <sz val="10.0"/>
        <u/>
      </rPr>
      <t>Tennessee Volunteers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</si>
  <si>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Darrell K Royal–Texas Memorial Stadium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6</t>
    </r>
    <r>
      <rPr>
        <rFont val="Arial"/>
        <sz val="10.0"/>
      </rPr>
      <t>]</t>
    </r>
  </si>
  <si>
    <t>Austin</t>
  </si>
  <si>
    <r>
      <rPr>
        <rFont val="Arial"/>
        <color rgb="FF202122"/>
        <sz val="10.0"/>
        <u/>
      </rPr>
      <t>Texas Longhorns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</si>
  <si>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Bryant–Denny Stadium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7</t>
    </r>
    <r>
      <rPr>
        <rFont val="Arial"/>
        <sz val="10.0"/>
      </rPr>
      <t>]</t>
    </r>
  </si>
  <si>
    <t>Tuscaloosa</t>
  </si>
  <si>
    <t>Alabama</t>
  </si>
  <si>
    <r>
      <rPr>
        <rFont val="Arial"/>
        <color rgb="FF202122"/>
        <sz val="10.0"/>
        <u/>
      </rPr>
      <t>Alabama Crimson Tide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</si>
  <si>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Sanford Stadium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8</t>
    </r>
    <r>
      <rPr>
        <rFont val="Arial"/>
        <sz val="10.0"/>
      </rPr>
      <t>]</t>
    </r>
  </si>
  <si>
    <t>Athens</t>
  </si>
  <si>
    <t>Georgia</t>
  </si>
  <si>
    <r>
      <rPr>
        <rFont val="Arial"/>
        <color rgb="FF202122"/>
        <sz val="10.0"/>
        <u/>
      </rPr>
      <t>Georgia Bulldogs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</si>
  <si>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Rose Bowl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9</t>
    </r>
    <r>
      <rPr>
        <rFont val="Arial"/>
        <sz val="10.0"/>
      </rPr>
      <t>]</t>
    </r>
  </si>
  <si>
    <t>Pasadena</t>
  </si>
  <si>
    <t>California</t>
  </si>
  <si>
    <r>
      <rPr>
        <rFont val="Arial"/>
        <color rgb="FF202122"/>
        <sz val="10.0"/>
        <u/>
      </rPr>
      <t>UCLA Bruins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Rose Bowl Game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</si>
  <si>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Cotton Bowl</t>
  </si>
  <si>
    <t>Dallas</t>
  </si>
  <si>
    <r>
      <rPr>
        <rFont val="Arial"/>
        <color rgb="FF202122"/>
        <sz val="10.0"/>
        <u/>
      </rPr>
      <t>Red River Rivalry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State Fair Classic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</si>
  <si>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Ben Hill Griffin Stadium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10</t>
    </r>
    <r>
      <rPr>
        <rFont val="Arial"/>
        <sz val="10.0"/>
      </rPr>
      <t>]</t>
    </r>
  </si>
  <si>
    <t>Gainesville</t>
  </si>
  <si>
    <t>Florida</t>
  </si>
  <si>
    <r>
      <rPr>
        <rFont val="Arial"/>
        <color rgb="FF202122"/>
        <sz val="10.0"/>
        <u/>
      </rPr>
      <t>Florida Gators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</si>
  <si>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Jordan-Hare Stadium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11</t>
    </r>
    <r>
      <rPr>
        <rFont val="Arial"/>
        <sz val="10.0"/>
      </rPr>
      <t>]</t>
    </r>
  </si>
  <si>
    <t>Auburn</t>
  </si>
  <si>
    <r>
      <rPr>
        <rFont val="Arial"/>
        <color rgb="FF202122"/>
        <sz val="10.0"/>
        <u/>
      </rPr>
      <t>Auburn Tigers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</si>
  <si>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Memorial Stadium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12</t>
    </r>
    <r>
      <rPr>
        <rFont val="Arial"/>
        <sz val="10.0"/>
      </rPr>
      <t>][</t>
    </r>
    <r>
      <rPr>
        <rFont val="Arial"/>
        <color rgb="FF202122"/>
        <sz val="10.0"/>
        <u/>
      </rPr>
      <t>circular reference</t>
    </r>
    <r>
      <rPr>
        <rFont val="Arial"/>
        <sz val="10.0"/>
      </rPr>
      <t>]</t>
    </r>
  </si>
  <si>
    <t>Lincoln</t>
  </si>
  <si>
    <t>Nebraska</t>
  </si>
  <si>
    <r>
      <rPr>
        <rFont val="Arial"/>
        <color rgb="FF202122"/>
        <sz val="10.0"/>
        <u/>
      </rPr>
      <t>Nebraska Cornhuskers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</si>
  <si>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MetLife Stadium</t>
  </si>
  <si>
    <t>East Rutherford</t>
  </si>
  <si>
    <t>New Jersey</t>
  </si>
  <si>
    <r>
      <rPr>
        <rFont val="Arial"/>
        <color rgb="FF202122"/>
        <sz val="10.0"/>
        <u/>
      </rPr>
      <t>New York Giants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New York Jets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>)</t>
    </r>
  </si>
  <si>
    <t>Memorial Stadium</t>
  </si>
  <si>
    <t>Clemson</t>
  </si>
  <si>
    <t>South Carolina</t>
  </si>
  <si>
    <r>
      <rPr>
        <rFont val="Arial"/>
        <color rgb="FF202122"/>
        <sz val="10.0"/>
        <u/>
      </rPr>
      <t>Clemson Tigers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</si>
  <si>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Lambeau Field</t>
  </si>
  <si>
    <t>Green Bay</t>
  </si>
  <si>
    <t>Wisconsin</t>
  </si>
  <si>
    <r>
      <rPr>
        <rFont val="Arial"/>
        <color rgb="FF202122"/>
        <sz val="10.0"/>
        <u/>
      </rPr>
      <t>Green Bay Packers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>)</t>
    </r>
  </si>
  <si>
    <t>Gaylord Family Oklahoma Memorial Stadium</t>
  </si>
  <si>
    <t>Norman</t>
  </si>
  <si>
    <t>Oklahoma</t>
  </si>
  <si>
    <r>
      <rPr>
        <rFont val="Arial"/>
        <color rgb="FF202122"/>
        <sz val="10.0"/>
        <u/>
      </rPr>
      <t>Oklahoma Sooners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</si>
  <si>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AT&amp;T Stadium</t>
  </si>
  <si>
    <t>Arlington</t>
  </si>
  <si>
    <r>
      <rPr>
        <rFont val="Arial"/>
        <color rgb="FF202122"/>
        <sz val="10.0"/>
        <u/>
      </rPr>
      <t>Dallas Cowboys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Cotton Bowl Classic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Big 12 Championship Game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</si>
  <si>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Doak Campbell Stadium</t>
  </si>
  <si>
    <t>Tallahassee</t>
  </si>
  <si>
    <r>
      <rPr>
        <rFont val="Arial"/>
        <color rgb="FF202122"/>
        <sz val="10.0"/>
        <u/>
      </rPr>
      <t>Florida State Seminoles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</si>
  <si>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Notre Dame Stadium</t>
  </si>
  <si>
    <t>Notre Dame</t>
  </si>
  <si>
    <t>Indiana</t>
  </si>
  <si>
    <r>
      <rPr>
        <rFont val="Arial"/>
        <color rgb="FF202122"/>
        <sz val="10.0"/>
        <u/>
      </rPr>
      <t>Notre Dame Fighting Irish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</si>
  <si>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Williams–Brice Stadium</t>
  </si>
  <si>
    <t>Columbia</t>
  </si>
  <si>
    <r>
      <rPr>
        <rFont val="Arial"/>
        <color rgb="FF202122"/>
        <sz val="10.0"/>
        <u/>
      </rPr>
      <t>South Carolina Gamecocks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</si>
  <si>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Los Angeles Memorial Coliseum</t>
  </si>
  <si>
    <t>Los Angeles</t>
  </si>
  <si>
    <t>Football, Motorsports</t>
  </si>
  <si>
    <r>
      <rPr>
        <rFont val="Arial"/>
        <color rgb="FF202122"/>
        <sz val="10.0"/>
        <u/>
      </rPr>
      <t>USC Trojans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</si>
  <si>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GEHA Field at Arrowhead Stadium</t>
  </si>
  <si>
    <t>Kansas City</t>
  </si>
  <si>
    <t>Missouri</t>
  </si>
  <si>
    <r>
      <rPr>
        <rFont val="Arial"/>
        <color rgb="FF202122"/>
        <sz val="10.0"/>
        <u/>
      </rPr>
      <t>Kansas City Chiefs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>)</t>
    </r>
  </si>
  <si>
    <t>Donald W. Reynolds Razorback Stadium</t>
  </si>
  <si>
    <t>Fayetteville</t>
  </si>
  <si>
    <t>Arkansas</t>
  </si>
  <si>
    <r>
      <rPr>
        <rFont val="Arial"/>
        <color rgb="FF202122"/>
        <sz val="10.0"/>
        <u/>
      </rPr>
      <t>Arkansas Razorbacks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 (primary)</t>
    </r>
  </si>
  <si>
    <t>Empower Field</t>
  </si>
  <si>
    <t>Denver</t>
  </si>
  <si>
    <t>Colorado</t>
  </si>
  <si>
    <r>
      <rPr>
        <rFont val="Arial"/>
        <color rgb="FF202122"/>
        <sz val="10.0"/>
        <u/>
      </rPr>
      <t>Denver Broncos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>)</t>
    </r>
  </si>
  <si>
    <t>Camp Randall Stadium</t>
  </si>
  <si>
    <t>Madison</t>
  </si>
  <si>
    <r>
      <rPr>
        <rFont val="Arial"/>
        <color rgb="FF202122"/>
        <sz val="10.0"/>
        <u/>
      </rPr>
      <t>Wisconsin Badgers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</si>
  <si>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Spartan Stadium</t>
  </si>
  <si>
    <t>East Lansing</t>
  </si>
  <si>
    <r>
      <rPr>
        <rFont val="Arial"/>
        <color rgb="FF202122"/>
        <sz val="10.0"/>
        <u/>
      </rPr>
      <t>Michigan State Spartans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</si>
  <si>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Bank of America Stadium</t>
  </si>
  <si>
    <t>Charlotte</t>
  </si>
  <si>
    <t>North Carolina</t>
  </si>
  <si>
    <r>
      <rPr>
        <rFont val="Arial"/>
        <color rgb="FF202122"/>
        <sz val="10.0"/>
        <u/>
      </rPr>
      <t>Carolina Panthers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Duke's Mayo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ACC Championship Game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Charlotte FC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>)</t>
    </r>
  </si>
  <si>
    <t>Caesars Superdome</t>
  </si>
  <si>
    <t>New Orleans</t>
  </si>
  <si>
    <r>
      <rPr>
        <rFont val="Arial"/>
        <color rgb="FF202122"/>
        <sz val="10.0"/>
        <u/>
      </rPr>
      <t>New Orleans Saints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Sugar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New Orleans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Bayou Classic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</si>
  <si>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NRG Stadium</t>
  </si>
  <si>
    <t>Houston</t>
  </si>
  <si>
    <r>
      <rPr>
        <rFont val="Arial"/>
        <color rgb="FF202122"/>
        <sz val="10.0"/>
        <u/>
      </rPr>
      <t>Houston Texans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Texas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</si>
  <si>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Highmark Stadium</t>
  </si>
  <si>
    <t>Orchard Park</t>
  </si>
  <si>
    <t>New York</t>
  </si>
  <si>
    <r>
      <rPr>
        <rFont val="Arial"/>
        <color rgb="FF202122"/>
        <sz val="10.0"/>
        <u/>
      </rPr>
      <t>Buffalo Bills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>)</t>
    </r>
  </si>
  <si>
    <t>Legion Field</t>
  </si>
  <si>
    <t>Birmingham</t>
  </si>
  <si>
    <t>Mercedes-Benz Stadium</t>
  </si>
  <si>
    <t>Atlanta</t>
  </si>
  <si>
    <t>Football, soccer</t>
  </si>
  <si>
    <r>
      <rPr>
        <rFont val="Arial"/>
        <color rgb="FF202122"/>
        <sz val="10.0"/>
        <u/>
      </rPr>
      <t>Atlanta Falcons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Atlanta United FC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Peach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SEC Championship Game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</si>
  <si>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M&amp;T Bank Stadium</t>
  </si>
  <si>
    <t>Baltimore</t>
  </si>
  <si>
    <t>Maryland</t>
  </si>
  <si>
    <r>
      <rPr>
        <rFont val="Arial"/>
        <color rgb="FF202122"/>
        <sz val="10.0"/>
        <u/>
      </rPr>
      <t>Baltimore Ravens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>)</t>
    </r>
  </si>
  <si>
    <t>SoFi Stadium</t>
  </si>
  <si>
    <t>Inglewood</t>
  </si>
  <si>
    <r>
      <rPr>
        <rFont val="Arial"/>
        <color rgb="FF202122"/>
        <sz val="10.0"/>
        <u/>
      </rPr>
      <t>Los Angeles Rams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Los Angeles Chargers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LA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</si>
  <si>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Husky Stadium</t>
  </si>
  <si>
    <t>Seattle</t>
  </si>
  <si>
    <t>Washington</t>
  </si>
  <si>
    <r>
      <rPr>
        <rFont val="Arial"/>
        <color rgb="FF202122"/>
        <sz val="10.0"/>
        <u/>
      </rPr>
      <t>Washington Huskies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</si>
  <si>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Kinnick Stadium</t>
  </si>
  <si>
    <t>Iowa City</t>
  </si>
  <si>
    <t>Iowa</t>
  </si>
  <si>
    <r>
      <rPr>
        <rFont val="Arial"/>
        <color rgb="FF202122"/>
        <sz val="10.0"/>
        <u/>
      </rPr>
      <t>Iowa Hawkeyes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</si>
  <si>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Raymond James Stadium</t>
  </si>
  <si>
    <t>Tampa</t>
  </si>
  <si>
    <r>
      <rPr>
        <rFont val="Arial"/>
        <color rgb="FF202122"/>
        <sz val="10.0"/>
        <u/>
      </rPr>
      <t>Tampa Bay Buccaneers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South Florida Bulls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Tampa Bay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Gasparilla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</si>
  <si>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Nissan Stadium</t>
  </si>
  <si>
    <t>Nashville</t>
  </si>
  <si>
    <r>
      <rPr>
        <rFont val="Arial"/>
        <color rgb="FF202122"/>
        <sz val="10.0"/>
        <u/>
      </rPr>
      <t>Tennessee Titans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Tennessee State Tigers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Music City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</si>
  <si>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Lumen Field</t>
  </si>
  <si>
    <r>
      <rPr>
        <rFont val="Arial"/>
        <color rgb="FF202122"/>
        <sz val="10.0"/>
        <u/>
      </rPr>
      <t>Seattle Seahawks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Seattle Sounders FC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Seattle Reign FC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NWSL</t>
    </r>
    <r>
      <rPr>
        <rFont val="Arial"/>
        <sz val="10.0"/>
      </rPr>
      <t>)</t>
    </r>
  </si>
  <si>
    <t>Levi's Stadium</t>
  </si>
  <si>
    <t>Santa Clara</t>
  </si>
  <si>
    <r>
      <rPr>
        <rFont val="Arial"/>
        <color rgb="FF202122"/>
        <sz val="10.0"/>
        <u/>
      </rPr>
      <t>San Francisco 49ers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>)</t>
    </r>
  </si>
  <si>
    <t>Acrisure Stadium</t>
  </si>
  <si>
    <t>Pittsburgh</t>
  </si>
  <si>
    <r>
      <rPr>
        <rFont val="Arial"/>
        <color rgb="FF202122"/>
        <sz val="10.0"/>
        <u/>
      </rPr>
      <t>Pittsburgh Steelers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Pittsburgh Panthers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</si>
  <si>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EverBank Stadium</t>
  </si>
  <si>
    <t>Jacksonville</t>
  </si>
  <si>
    <r>
      <rPr>
        <rFont val="Arial"/>
        <color rgb="FF202122"/>
        <sz val="10.0"/>
        <u/>
      </rPr>
      <t>Jacksonville Jaguars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Gator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Florida vs. Georgia Football Classic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</si>
  <si>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Lincoln Financial Field</t>
  </si>
  <si>
    <t>Philadelphia</t>
  </si>
  <si>
    <r>
      <rPr>
        <rFont val="Arial"/>
        <color rgb="FF202122"/>
        <sz val="10.0"/>
        <u/>
      </rPr>
      <t>Philadelphia Eagles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Temple Owls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Army–Navy Game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 (most years)</t>
    </r>
  </si>
  <si>
    <t>Cleveland Browns Stadium</t>
  </si>
  <si>
    <t>Cleveland</t>
  </si>
  <si>
    <r>
      <rPr>
        <rFont val="Arial"/>
        <color rgb="FF202122"/>
        <sz val="10.0"/>
        <u/>
      </rPr>
      <t>Cleveland Browns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>)</t>
    </r>
  </si>
  <si>
    <t>The Dome at America's Center</t>
  </si>
  <si>
    <t>St. Louis</t>
  </si>
  <si>
    <r>
      <rPr>
        <rFont val="Arial"/>
        <color rgb="FF202122"/>
        <sz val="10.0"/>
        <u/>
      </rPr>
      <t>St. Louis Battlehawks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UFL</t>
    </r>
    <r>
      <rPr>
        <rFont val="Arial"/>
        <sz val="10.0"/>
      </rPr>
      <t>)</t>
    </r>
  </si>
  <si>
    <t>US Bank Stadium</t>
  </si>
  <si>
    <t>Minneapolis</t>
  </si>
  <si>
    <t>Minnesota</t>
  </si>
  <si>
    <r>
      <rPr>
        <rFont val="Arial"/>
        <color rgb="FF202122"/>
        <sz val="10.0"/>
        <u/>
      </rPr>
      <t>Minnesota Vikings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>)</t>
    </r>
  </si>
  <si>
    <t>Gillette Stadium</t>
  </si>
  <si>
    <t>Foxborough</t>
  </si>
  <si>
    <t>Massachusetts</t>
  </si>
  <si>
    <r>
      <rPr>
        <rFont val="Arial"/>
        <color rgb="FF202122"/>
        <sz val="10.0"/>
        <u/>
      </rPr>
      <t>New England Patriots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New England Revolution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>)</t>
    </r>
  </si>
  <si>
    <t>Lane Stadium</t>
  </si>
  <si>
    <t>Blacksburg</t>
  </si>
  <si>
    <t>Virginia</t>
  </si>
  <si>
    <r>
      <rPr>
        <rFont val="Arial"/>
        <color rgb="FF202122"/>
        <sz val="10.0"/>
        <u/>
      </rPr>
      <t>Virginia Tech Hokies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</si>
  <si>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Paycor Stadium</t>
  </si>
  <si>
    <t>Cincinnati</t>
  </si>
  <si>
    <r>
      <rPr>
        <rFont val="Arial"/>
        <color rgb="FF202122"/>
        <sz val="10.0"/>
        <u/>
      </rPr>
      <t>Cincinnati Bengals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>)</t>
    </r>
  </si>
  <si>
    <t>Ford Field</t>
  </si>
  <si>
    <t>Detroit</t>
  </si>
  <si>
    <r>
      <rPr>
        <rFont val="Arial"/>
        <color rgb="FF202122"/>
        <sz val="10.0"/>
        <u/>
      </rPr>
      <t>Detroit Lions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Quick Lane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MAC Championship Game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Michigan Panthers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UFL</t>
    </r>
    <r>
      <rPr>
        <rFont val="Arial"/>
        <sz val="10.0"/>
      </rPr>
      <t>)</t>
    </r>
  </si>
  <si>
    <t>Allegiant Stadium</t>
  </si>
  <si>
    <t>Las Vegas</t>
  </si>
  <si>
    <t>Nevada</t>
  </si>
  <si>
    <r>
      <rPr>
        <rFont val="Arial"/>
        <color rgb="FF202122"/>
        <sz val="10.0"/>
        <u/>
      </rPr>
      <t>Las Vegas Raiders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UNLV Rebels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Pac-12 Championship Game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Las Vegas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</si>
  <si>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Vaught–Hemingway Stadium</t>
  </si>
  <si>
    <t>Oxford</t>
  </si>
  <si>
    <t>Mississippi</t>
  </si>
  <si>
    <r>
      <rPr>
        <rFont val="Arial"/>
        <color rgb="FF202122"/>
        <sz val="10.0"/>
        <u/>
      </rPr>
      <t>Ole Miss Rebels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</si>
  <si>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Alamodome</t>
  </si>
  <si>
    <t>San Antonio</t>
  </si>
  <si>
    <r>
      <rPr>
        <rFont val="Arial"/>
        <color rgb="FF202122"/>
        <sz val="10.0"/>
        <u/>
      </rPr>
      <t>UTSA Roadrunners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Alamo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San Antonio Brahmas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U.S. Army All-American Bowl</t>
    </r>
    <r>
      <rPr>
        <rFont val="Arial"/>
        <sz val="10.0"/>
      </rPr>
      <t xml:space="preserve"> (High School)</t>
    </r>
  </si>
  <si>
    <t>LaVell Edwards Stadium</t>
  </si>
  <si>
    <t>Provo</t>
  </si>
  <si>
    <t>Utah</t>
  </si>
  <si>
    <r>
      <rPr>
        <rFont val="Arial"/>
        <color rgb="FF202122"/>
        <sz val="10.0"/>
        <u/>
      </rPr>
      <t>BYU Cougars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</si>
  <si>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State Farm Stadium</t>
  </si>
  <si>
    <t>Glendale</t>
  </si>
  <si>
    <t>Arizona</t>
  </si>
  <si>
    <r>
      <rPr>
        <rFont val="Arial"/>
        <color rgb="FF202122"/>
        <sz val="10.0"/>
        <u/>
      </rPr>
      <t>Arizona Cardinals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Fiesta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</si>
  <si>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California Memorial Stadium</t>
  </si>
  <si>
    <t>Berkeley</t>
  </si>
  <si>
    <r>
      <rPr>
        <rFont val="Arial"/>
        <color rgb="FF202122"/>
        <sz val="10.0"/>
        <u/>
      </rPr>
      <t>California Golden Bears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</si>
  <si>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Lucas Oil Stadium</t>
  </si>
  <si>
    <t>Indianapolis</t>
  </si>
  <si>
    <r>
      <rPr>
        <rFont val="Arial"/>
        <color rgb="FF202122"/>
        <sz val="10.0"/>
        <u/>
      </rPr>
      <t>Indianapolis Colts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Big Ten Championship Game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</si>
  <si>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Northwest Stadium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13</t>
    </r>
    <r>
      <rPr>
        <rFont val="Arial"/>
        <sz val="10.0"/>
      </rPr>
      <t>]</t>
    </r>
  </si>
  <si>
    <t>Landover</t>
  </si>
  <si>
    <r>
      <rPr>
        <rFont val="Arial"/>
        <color rgb="FF202122"/>
        <sz val="10.0"/>
        <u/>
      </rPr>
      <t>Washington Commanders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>)</t>
    </r>
  </si>
  <si>
    <t>Faurot Field</t>
  </si>
  <si>
    <r>
      <rPr>
        <rFont val="Arial"/>
        <color rgb="FF202122"/>
        <sz val="10.0"/>
        <u/>
      </rPr>
      <t>Missouri Tigers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</si>
  <si>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Soldier Field</t>
  </si>
  <si>
    <t>Chicago</t>
  </si>
  <si>
    <t>Illinois</t>
  </si>
  <si>
    <t>1924;2003</t>
  </si>
  <si>
    <r>
      <rPr>
        <rFont val="Arial"/>
        <color rgb="FF202122"/>
        <sz val="10.0"/>
        <u/>
      </rPr>
      <t>Chicago Bears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Chicago Fire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>)</t>
    </r>
  </si>
  <si>
    <t>Scott Stadium</t>
  </si>
  <si>
    <t>Charlottesville</t>
  </si>
  <si>
    <r>
      <rPr>
        <rFont val="Arial"/>
        <color rgb="FF202122"/>
        <sz val="10.0"/>
        <u/>
      </rPr>
      <t>Virginia Cavaliers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</si>
  <si>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Jack Trice Stadium</t>
  </si>
  <si>
    <t>Ames</t>
  </si>
  <si>
    <r>
      <rPr>
        <rFont val="Arial"/>
        <color rgb="FF202122"/>
        <sz val="10.0"/>
        <u/>
      </rPr>
      <t>Iowa State Cyclones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</si>
  <si>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Yale Bowl</t>
  </si>
  <si>
    <t>New Haven</t>
  </si>
  <si>
    <t>Connecticut</t>
  </si>
  <si>
    <r>
      <rPr>
        <rFont val="Arial"/>
        <color rgb="FF202122"/>
        <sz val="10.0"/>
        <u/>
      </rPr>
      <t>Yale Bulldogs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</si>
  <si>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Ross–Ade Stadium</t>
  </si>
  <si>
    <t>West Lafayette</t>
  </si>
  <si>
    <r>
      <rPr>
        <rFont val="Arial"/>
        <color rgb="FF202122"/>
        <sz val="10.0"/>
        <u/>
      </rPr>
      <t>Purdue Boilermakers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</si>
  <si>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Hard Rock Stadium</t>
  </si>
  <si>
    <t>Miami Gardens</t>
  </si>
  <si>
    <r>
      <rPr>
        <rFont val="Arial"/>
        <color rgb="FF202122"/>
        <sz val="10.0"/>
        <u/>
      </rPr>
      <t>Miami Dolphins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Miami Hurricanes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Orange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</si>
  <si>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Davis Wade Stadium</t>
  </si>
  <si>
    <t>Starkville</t>
  </si>
  <si>
    <r>
      <rPr>
        <rFont val="Arial"/>
        <color rgb="FF202122"/>
        <sz val="10.0"/>
        <u/>
      </rPr>
      <t>Mississippi State Bulldogs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</si>
  <si>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Kroger Field</t>
  </si>
  <si>
    <t>Lexington</t>
  </si>
  <si>
    <t>Kentucky</t>
  </si>
  <si>
    <r>
      <rPr>
        <rFont val="Arial"/>
        <color rgb="FF202122"/>
        <sz val="10.0"/>
        <u/>
      </rPr>
      <t>Kentucky Wildcats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</si>
  <si>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Camping World Stadium</t>
  </si>
  <si>
    <t>Orlando</t>
  </si>
  <si>
    <r>
      <rPr>
        <rFont val="Arial"/>
        <color rgb="FF202122"/>
        <sz val="10.0"/>
        <u/>
      </rPr>
      <t>Florida Classic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Citrus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Pop-Tarts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</si>
  <si>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Cardinal Stadium</t>
  </si>
  <si>
    <t>Louisville</t>
  </si>
  <si>
    <r>
      <rPr>
        <rFont val="Arial"/>
        <color rgb="FF202122"/>
        <sz val="10.0"/>
        <u/>
      </rPr>
      <t>Louisville Cardinals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</si>
  <si>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Champaign</t>
  </si>
  <si>
    <r>
      <rPr>
        <rFont val="Arial"/>
        <color rgb="FF202122"/>
        <sz val="10.0"/>
        <u/>
      </rPr>
      <t>Illinois Fighting Illini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</si>
  <si>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Mississippi Veterans Memorial Stadium</t>
  </si>
  <si>
    <t>Jackson</t>
  </si>
  <si>
    <r>
      <rPr>
        <rFont val="Arial"/>
        <color rgb="FF202122"/>
        <sz val="10.0"/>
        <u/>
      </rPr>
      <t>Jackson State Tigers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</si>
  <si>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Jones AT&amp;T Stadium</t>
  </si>
  <si>
    <t>Lubbock</t>
  </si>
  <si>
    <r>
      <rPr>
        <rFont val="Arial"/>
        <color rgb="FF202122"/>
        <sz val="10.0"/>
        <u/>
      </rPr>
      <t>Texas Tech Red Raiders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</si>
  <si>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Mountaineer Field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14</t>
    </r>
    <r>
      <rPr>
        <rFont val="Arial"/>
        <sz val="10.0"/>
      </rPr>
      <t>]</t>
    </r>
  </si>
  <si>
    <t>Morgantown</t>
  </si>
  <si>
    <t>West Virginia</t>
  </si>
  <si>
    <r>
      <rPr>
        <rFont val="Arial"/>
        <color rgb="FF202122"/>
        <sz val="10.0"/>
        <u/>
      </rPr>
      <t>West Virginia Mountaineers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</si>
  <si>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Simmons Bank Liberty Stadium</t>
  </si>
  <si>
    <t>Memphis</t>
  </si>
  <si>
    <r>
      <rPr>
        <rFont val="Arial"/>
        <color rgb="FF202122"/>
        <sz val="10.0"/>
        <u/>
      </rPr>
      <t>Memphis Tigers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Liberty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Memphis Showboats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UFL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</si>
  <si>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Carter–Finley Stadium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15</t>
    </r>
    <r>
      <rPr>
        <rFont val="Arial"/>
        <sz val="10.0"/>
      </rPr>
      <t>]</t>
    </r>
  </si>
  <si>
    <t>Raleigh</t>
  </si>
  <si>
    <r>
      <rPr>
        <rFont val="Arial"/>
        <color rgb="FF202122"/>
        <sz val="10.0"/>
        <u/>
      </rPr>
      <t>NC State Wolfpack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</si>
  <si>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Dodger Stadium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16</t>
    </r>
    <r>
      <rPr>
        <rFont val="Arial"/>
        <sz val="10.0"/>
      </rPr>
      <t>]</t>
    </r>
  </si>
  <si>
    <t>Baseball</t>
  </si>
  <si>
    <r>
      <rPr>
        <rFont val="Arial"/>
        <color rgb="FF202122"/>
        <sz val="10.0"/>
        <u/>
      </rPr>
      <t>Los Angeles Dodgers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</si>
  <si>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t>Boone Pickens Stadium</t>
  </si>
  <si>
    <t>Stillwater</t>
  </si>
  <si>
    <r>
      <rPr>
        <rFont val="Arial"/>
        <color rgb="FF202122"/>
        <sz val="10.0"/>
        <u/>
      </rPr>
      <t>Oklahoma State Cowboys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</si>
  <si>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Bobby Dodd Stadium at Historic Grant Field</t>
  </si>
  <si>
    <r>
      <rPr>
        <rFont val="Arial"/>
        <color rgb="FF202122"/>
        <sz val="10.0"/>
        <u/>
      </rPr>
      <t>Georgia Tech Yellow Jackets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</si>
  <si>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War Memorial Stadium</t>
  </si>
  <si>
    <t>Little Rock</t>
  </si>
  <si>
    <r>
      <rPr>
        <rFont val="Arial"/>
        <color rgb="FF202122"/>
        <sz val="10.0"/>
        <u/>
      </rPr>
      <t>Arkansas Razorbacks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
(secondary to Razorback Stadium)</t>
    </r>
  </si>
  <si>
    <t>Autzen Stadium</t>
  </si>
  <si>
    <t>Eugene</t>
  </si>
  <si>
    <t>Oregon</t>
  </si>
  <si>
    <r>
      <rPr>
        <rFont val="Arial"/>
        <color rgb="FF202122"/>
        <sz val="10.0"/>
        <u/>
      </rPr>
      <t>Oregon Ducks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</si>
  <si>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Sun Devil Stadium</t>
  </si>
  <si>
    <t>Tempe</t>
  </si>
  <si>
    <r>
      <rPr>
        <rFont val="Arial"/>
        <color rgb="FF202122"/>
        <sz val="10.0"/>
        <u/>
      </rPr>
      <t>Arizona State Sun Devils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</si>
  <si>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Bloomington</t>
  </si>
  <si>
    <r>
      <rPr>
        <rFont val="Arial"/>
        <color rgb="FF202122"/>
        <sz val="10.0"/>
        <u/>
      </rPr>
      <t>Indiana Hoosiers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</si>
  <si>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Franklin Field</t>
  </si>
  <si>
    <r>
      <rPr>
        <rFont val="Arial"/>
        <color rgb="FF202122"/>
        <sz val="10.0"/>
        <u/>
      </rPr>
      <t>Penn Quakers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</si>
  <si>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SHI Stadium</t>
  </si>
  <si>
    <t>Piscataway</t>
  </si>
  <si>
    <r>
      <rPr>
        <rFont val="Arial"/>
        <color rgb="FF202122"/>
        <sz val="10.0"/>
        <u/>
      </rPr>
      <t>Rutgers Scarlet Knights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</si>
  <si>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SECU Stadium</t>
  </si>
  <si>
    <t>College Park</t>
  </si>
  <si>
    <r>
      <rPr>
        <rFont val="Arial"/>
        <color rgb="FF202122"/>
        <sz val="10.0"/>
        <u/>
      </rPr>
      <t>Maryland Terrapins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</si>
  <si>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Sun Bowl Stadium</t>
  </si>
  <si>
    <t>El Paso</t>
  </si>
  <si>
    <r>
      <rPr>
        <rFont val="Arial"/>
        <color rgb="FF202122"/>
        <sz val="10.0"/>
        <u/>
      </rPr>
      <t>UTEP Miners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Sun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</si>
  <si>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Rice-Eccles Stadium</t>
  </si>
  <si>
    <t>Salt Lake City</t>
  </si>
  <si>
    <r>
      <rPr>
        <rFont val="Arial"/>
        <color rgb="FF202122"/>
        <sz val="10.0"/>
        <u/>
      </rPr>
      <t>Utah Utes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</si>
  <si>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Dowdy–Ficklen Stadium</t>
  </si>
  <si>
    <t>Greenville</t>
  </si>
  <si>
    <r>
      <rPr>
        <rFont val="Arial"/>
        <color rgb="FF202122"/>
        <sz val="10.0"/>
        <u/>
      </rPr>
      <t>East Carolina Pirates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</si>
  <si>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Independence Stadium</t>
  </si>
  <si>
    <t>Shreveport</t>
  </si>
  <si>
    <r>
      <rPr>
        <rFont val="Arial"/>
        <color rgb="FF202122"/>
        <sz val="10.0"/>
        <u/>
      </rPr>
      <t>Independence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
Local high school teams</t>
    </r>
  </si>
  <si>
    <t>Huntington Bank Stadium</t>
  </si>
  <si>
    <r>
      <rPr>
        <rFont val="Arial"/>
        <color rgb="FF202122"/>
        <sz val="10.0"/>
        <u/>
      </rPr>
      <t>Minnesota Golden Gophers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</si>
  <si>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Arizona Stadium</t>
  </si>
  <si>
    <t>Tucson</t>
  </si>
  <si>
    <r>
      <rPr>
        <rFont val="Arial"/>
        <color rgb="FF202122"/>
        <sz val="10.0"/>
        <u/>
      </rPr>
      <t>Arizona Wildcats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Arizona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</si>
  <si>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Kenan Memorial Stadium</t>
  </si>
  <si>
    <t>Chapel Hill</t>
  </si>
  <si>
    <r>
      <rPr>
        <rFont val="Arial"/>
        <color rgb="FF202122"/>
        <sz val="10.0"/>
        <u/>
      </rPr>
      <t>North Carolina Tar Heels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</si>
  <si>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Stanford Stadium</t>
  </si>
  <si>
    <t>Stanford</t>
  </si>
  <si>
    <t>1921;2006</t>
  </si>
  <si>
    <r>
      <rPr>
        <rFont val="Arial"/>
        <color rgb="FF202122"/>
        <sz val="10.0"/>
        <u/>
      </rPr>
      <t>Stanford Cardinal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</si>
  <si>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Folsom Field</t>
  </si>
  <si>
    <t>Boulder</t>
  </si>
  <si>
    <r>
      <rPr>
        <rFont val="Arial"/>
        <color rgb="FF202122"/>
        <sz val="10.0"/>
        <u/>
      </rPr>
      <t>Colorado Buffaloes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</si>
  <si>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Bill Snyder Family Football Stadium</t>
  </si>
  <si>
    <t>Manhattan</t>
  </si>
  <si>
    <t>Kansas</t>
  </si>
  <si>
    <r>
      <rPr>
        <rFont val="Arial"/>
        <color rgb="FF202122"/>
        <sz val="10.0"/>
        <u/>
      </rPr>
      <t>Kansas State Wildcats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</si>
  <si>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Aloha Stadium</t>
  </si>
  <si>
    <t>Honolulu</t>
  </si>
  <si>
    <t>Hawaiʻi</t>
  </si>
  <si>
    <t>Closed; to be demolished</t>
  </si>
  <si>
    <t>JMA Wireless Dome</t>
  </si>
  <si>
    <t>Syracuse</t>
  </si>
  <si>
    <t>Multi-purpose</t>
  </si>
  <si>
    <r>
      <rPr>
        <rFont val="Arial"/>
        <color rgb="FF202122"/>
        <sz val="10.0"/>
        <u/>
      </rPr>
      <t>Syracuse Orange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</si>
  <si>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Chase Field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17</t>
    </r>
    <r>
      <rPr>
        <rFont val="Arial"/>
        <sz val="10.0"/>
      </rPr>
      <t>]</t>
    </r>
  </si>
  <si>
    <t>Phoenix</t>
  </si>
  <si>
    <r>
      <rPr>
        <rFont val="Arial"/>
        <color rgb="FF202122"/>
        <sz val="10.0"/>
        <u/>
      </rPr>
      <t>Arizona Diamondbacks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Guaranteed Rate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</si>
  <si>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Choctaw Stadium</t>
  </si>
  <si>
    <r>
      <rPr>
        <rFont val="Arial"/>
        <color rgb="FF202122"/>
        <sz val="10.0"/>
        <u/>
      </rPr>
      <t>Arlington Renegades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Dallas Jackals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MLR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North Texas SC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USL League One</t>
    </r>
    <r>
      <rPr>
        <rFont val="Arial"/>
        <sz val="10.0"/>
      </rPr>
      <t>)</t>
    </r>
  </si>
  <si>
    <t>T-Mobile Park</t>
  </si>
  <si>
    <r>
      <rPr>
        <rFont val="Arial"/>
        <color rgb="FF202122"/>
        <sz val="10.0"/>
        <u/>
      </rPr>
      <t>Seattle Mariners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</si>
  <si>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t>David Booth Kansas Memorial Stadium</t>
  </si>
  <si>
    <t>Lawrence</t>
  </si>
  <si>
    <r>
      <rPr>
        <rFont val="Arial"/>
        <color rgb="FF202122"/>
        <sz val="10.0"/>
        <u/>
      </rPr>
      <t>Kansas Jayhawks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</si>
  <si>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Ryan Field</t>
  </si>
  <si>
    <t>Evanston</t>
  </si>
  <si>
    <r>
      <rPr>
        <rFont val="Arial"/>
        <color rgb="FF202122"/>
        <sz val="10.0"/>
        <u/>
      </rPr>
      <t>Northwestern Wildcats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</si>
  <si>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Protective Stadium</t>
  </si>
  <si>
    <r>
      <rPr>
        <rFont val="Arial"/>
        <color rgb="FF202122"/>
        <sz val="10.0"/>
        <u/>
      </rPr>
      <t>UAB Blazers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Birmingham Legion FC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USL Championship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Birmingham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Birmingham Stallions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UFL</t>
    </r>
    <r>
      <rPr>
        <rFont val="Arial"/>
        <sz val="10.0"/>
      </rPr>
      <t>)</t>
    </r>
  </si>
  <si>
    <t>Rice Stadium</t>
  </si>
  <si>
    <r>
      <rPr>
        <rFont val="Arial"/>
        <color rgb="FF202122"/>
        <sz val="10.0"/>
        <u/>
      </rPr>
      <t>Rice Owls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</si>
  <si>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Amon G. Carter Stadium</t>
  </si>
  <si>
    <t>Fort Worth</t>
  </si>
  <si>
    <r>
      <rPr>
        <rFont val="Arial"/>
        <color rgb="FF202122"/>
        <sz val="10.0"/>
        <u/>
      </rPr>
      <t>TCU Horned Frogs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Armed Forces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</si>
  <si>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Coors Field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18</t>
    </r>
    <r>
      <rPr>
        <rFont val="Arial"/>
        <sz val="10.0"/>
      </rPr>
      <t>]</t>
    </r>
  </si>
  <si>
    <r>
      <rPr>
        <rFont val="Arial"/>
        <color rgb="FF202122"/>
        <sz val="10.0"/>
        <u/>
      </rPr>
      <t>Colorado Rockies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</si>
  <si>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t>Oakland Coliseum</t>
  </si>
  <si>
    <t>Oakland</t>
  </si>
  <si>
    <r>
      <rPr>
        <rFont val="Arial"/>
        <color rgb="FF202122"/>
        <sz val="10.0"/>
        <u/>
      </rPr>
      <t>Oakland Athletics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</si>
  <si>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t>Falcon Stadium</t>
  </si>
  <si>
    <t>Colorado Springs</t>
  </si>
  <si>
    <r>
      <rPr>
        <rFont val="Arial"/>
        <color rgb="FF202122"/>
        <sz val="10.0"/>
        <u/>
      </rPr>
      <t>Air Force Falcons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</si>
  <si>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Yankee Stadium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19</t>
    </r>
    <r>
      <rPr>
        <rFont val="Arial"/>
        <sz val="10.0"/>
      </rPr>
      <t>]</t>
    </r>
  </si>
  <si>
    <t>Baseball, soccer</t>
  </si>
  <si>
    <r>
      <rPr>
        <rFont val="Arial"/>
        <color rgb="FF202122"/>
        <sz val="10.0"/>
        <u/>
      </rPr>
      <t>New York Yankees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New York City FC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Pinstripe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</si>
  <si>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Angel Stadium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20</t>
    </r>
    <r>
      <rPr>
        <rFont val="Arial"/>
        <sz val="10.0"/>
      </rPr>
      <t>]</t>
    </r>
  </si>
  <si>
    <t>Anaheim</t>
  </si>
  <si>
    <r>
      <rPr>
        <rFont val="Arial"/>
        <color rgb="FF202122"/>
        <sz val="10.0"/>
        <u/>
      </rPr>
      <t>Los Angeles Angels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</si>
  <si>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t>FBC Mortgage Stadium</t>
  </si>
  <si>
    <r>
      <rPr>
        <rFont val="Arial"/>
        <color rgb="FF202122"/>
        <sz val="10.0"/>
        <u/>
      </rPr>
      <t>UCF Knights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Cure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</si>
  <si>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McLane Stadium</t>
  </si>
  <si>
    <t>Waco</t>
  </si>
  <si>
    <r>
      <rPr>
        <rFont val="Arial"/>
        <color rgb="FF202122"/>
        <sz val="10.0"/>
        <u/>
      </rPr>
      <t>Baylor Bears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</si>
  <si>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Alumni Stadium</t>
  </si>
  <si>
    <t>Chestnut Hill</t>
  </si>
  <si>
    <r>
      <rPr>
        <rFont val="Arial"/>
        <color rgb="FF202122"/>
        <sz val="10.0"/>
        <u/>
      </rPr>
      <t>Boston College Eagles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</si>
  <si>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Oriole Park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21</t>
    </r>
    <r>
      <rPr>
        <rFont val="Arial"/>
        <sz val="10.0"/>
      </rPr>
      <t>]</t>
    </r>
  </si>
  <si>
    <r>
      <rPr>
        <rFont val="Arial"/>
        <color rgb="FF202122"/>
        <sz val="10.0"/>
        <u/>
      </rPr>
      <t>Baltimore Orioles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</si>
  <si>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Busch Stadium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22</t>
    </r>
    <r>
      <rPr>
        <rFont val="Arial"/>
        <sz val="10.0"/>
      </rPr>
      <t>]</t>
    </r>
  </si>
  <si>
    <r>
      <rPr>
        <rFont val="Arial"/>
        <color rgb="FF202122"/>
        <sz val="10.0"/>
        <u/>
      </rPr>
      <t>St. Louis Cardinals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</si>
  <si>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Great American Ball Park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23</t>
    </r>
    <r>
      <rPr>
        <rFont val="Arial"/>
        <sz val="10.0"/>
      </rPr>
      <t>]</t>
    </r>
  </si>
  <si>
    <r>
      <rPr>
        <rFont val="Arial"/>
        <color rgb="FF202122"/>
        <sz val="10.0"/>
        <u/>
      </rPr>
      <t>Cincinnati Reds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</si>
  <si>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Citizens Bank Park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24</t>
    </r>
    <r>
      <rPr>
        <rFont val="Arial"/>
        <sz val="10.0"/>
      </rPr>
      <t>]</t>
    </r>
  </si>
  <si>
    <r>
      <rPr>
        <rFont val="Arial"/>
        <color rgb="FF202122"/>
        <sz val="10.0"/>
        <u/>
      </rPr>
      <t>Philadelphia Phillies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</si>
  <si>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Tropicana Field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25</t>
    </r>
    <r>
      <rPr>
        <rFont val="Arial"/>
        <sz val="10.0"/>
      </rPr>
      <t>]</t>
    </r>
  </si>
  <si>
    <t>St. Petersburg</t>
  </si>
  <si>
    <r>
      <rPr>
        <rFont val="Arial"/>
        <color rgb="FF202122"/>
        <sz val="10.0"/>
        <u/>
      </rPr>
      <t>Tampa Bay Rays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East–West Shrine Game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</si>
  <si>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Citi Field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26</t>
    </r>
    <r>
      <rPr>
        <rFont val="Arial"/>
        <sz val="10.0"/>
      </rPr>
      <t>]</t>
    </r>
  </si>
  <si>
    <r>
      <rPr>
        <rFont val="Arial"/>
        <color rgb="FF202122"/>
        <sz val="10.0"/>
        <u/>
      </rPr>
      <t>New York Mets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</si>
  <si>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Oracle Park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27</t>
    </r>
    <r>
      <rPr>
        <rFont val="Arial"/>
        <sz val="10.0"/>
      </rPr>
      <t>]</t>
    </r>
  </si>
  <si>
    <t>San Francisco</t>
  </si>
  <si>
    <r>
      <rPr>
        <rFont val="Arial"/>
        <color rgb="FF202122"/>
        <sz val="10.0"/>
        <u/>
      </rPr>
      <t>San Francisco Giants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</si>
  <si>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American Family Field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28</t>
    </r>
    <r>
      <rPr>
        <rFont val="Arial"/>
        <sz val="10.0"/>
      </rPr>
      <t>]</t>
    </r>
  </si>
  <si>
    <t>Milwaukee</t>
  </si>
  <si>
    <r>
      <rPr>
        <rFont val="Arial"/>
        <color rgb="FF202122"/>
        <sz val="10.0"/>
        <u/>
      </rPr>
      <t>Milwaukee Brewers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</si>
  <si>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Wrigley Field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29</t>
    </r>
    <r>
      <rPr>
        <rFont val="Arial"/>
        <sz val="10.0"/>
      </rPr>
      <t>]</t>
    </r>
  </si>
  <si>
    <r>
      <rPr>
        <rFont val="Arial"/>
        <color rgb="FF202122"/>
        <sz val="10.0"/>
        <u/>
      </rPr>
      <t>Chicago Cubs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</si>
  <si>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Nationals Park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30</t>
    </r>
    <r>
      <rPr>
        <rFont val="Arial"/>
        <sz val="10.0"/>
      </rPr>
      <t>]</t>
    </r>
  </si>
  <si>
    <t>Washington, D.C.</t>
  </si>
  <si>
    <t>District of Columbia</t>
  </si>
  <si>
    <r>
      <rPr>
        <rFont val="Arial"/>
        <color rgb="FF202122"/>
        <sz val="10.0"/>
        <u/>
      </rPr>
      <t>Washington Nationals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</si>
  <si>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t>Cajun Field</t>
  </si>
  <si>
    <t>Lafayette</t>
  </si>
  <si>
    <r>
      <rPr>
        <rFont val="Arial"/>
        <color rgb="FF202122"/>
        <sz val="10.0"/>
        <u/>
      </rPr>
      <t>Louisiana Ragin' Cajuns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</si>
  <si>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Minute Maid Park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31</t>
    </r>
    <r>
      <rPr>
        <rFont val="Arial"/>
        <sz val="10.0"/>
      </rPr>
      <t>]</t>
    </r>
  </si>
  <si>
    <r>
      <rPr>
        <rFont val="Arial"/>
        <color rgb="FF202122"/>
        <sz val="10.0"/>
        <u/>
      </rPr>
      <t>Houston Astros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</si>
  <si>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t>Truist Park</t>
  </si>
  <si>
    <t>Cumberland</t>
  </si>
  <si>
    <r>
      <rPr>
        <rFont val="Arial"/>
        <color rgb="FF202122"/>
        <sz val="10.0"/>
        <u/>
      </rPr>
      <t>Atlanta Braves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</si>
  <si>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Comerica Park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32</t>
    </r>
    <r>
      <rPr>
        <rFont val="Arial"/>
        <sz val="10.0"/>
      </rPr>
      <t>]</t>
    </r>
  </si>
  <si>
    <r>
      <rPr>
        <rFont val="Arial"/>
        <color rgb="FF202122"/>
        <sz val="10.0"/>
        <u/>
      </rPr>
      <t>Detroit Tigers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</si>
  <si>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t>Valley Children's Stadium</t>
  </si>
  <si>
    <t>Fresno</t>
  </si>
  <si>
    <r>
      <rPr>
        <rFont val="Arial"/>
        <color rgb="FF202122"/>
        <sz val="10.0"/>
        <u/>
      </rPr>
      <t>Fresno State Bulldogs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</si>
  <si>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Guaranteed Rate Field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33</t>
    </r>
    <r>
      <rPr>
        <rFont val="Arial"/>
        <sz val="10.0"/>
      </rPr>
      <t>]</t>
    </r>
  </si>
  <si>
    <r>
      <rPr>
        <rFont val="Arial"/>
        <color rgb="FF202122"/>
        <sz val="10.0"/>
        <u/>
      </rPr>
      <t>Chicago White Sox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</si>
  <si>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t>FirstBank Stadium</t>
  </si>
  <si>
    <r>
      <rPr>
        <rFont val="Arial"/>
        <color rgb="FF202122"/>
        <sz val="10.0"/>
        <u/>
      </rPr>
      <t>Vanderbilt Commodores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</si>
  <si>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Globe Life Field</t>
  </si>
  <si>
    <r>
      <rPr>
        <rFont val="Arial"/>
        <color rgb="FF202122"/>
        <sz val="10.0"/>
        <u/>
      </rPr>
      <t>Texas Rangers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</si>
  <si>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Petco Park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34</t>
    </r>
    <r>
      <rPr>
        <rFont val="Arial"/>
        <sz val="10.0"/>
      </rPr>
      <t>]</t>
    </r>
  </si>
  <si>
    <t>San Diego</t>
  </si>
  <si>
    <r>
      <rPr>
        <rFont val="Arial"/>
        <color rgb="FF202122"/>
        <sz val="10.0"/>
        <u/>
      </rPr>
      <t>San Diego Padres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</si>
  <si>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t>Ladd-Peebles Stadium</t>
  </si>
  <si>
    <t>Mobile</t>
  </si>
  <si>
    <t>Local high school sports</t>
  </si>
  <si>
    <t>TDECU Stadium</t>
  </si>
  <si>
    <r>
      <rPr>
        <rFont val="Arial"/>
        <color rgb="FF202122"/>
        <sz val="10.0"/>
        <u/>
      </rPr>
      <t>Houston Cougars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 </t>
    </r>
    <r>
      <rPr>
        <rFont val="Arial"/>
        <color rgb="FF202122"/>
        <sz val="10.0"/>
        <u/>
      </rPr>
      <t>Houston Roughnecks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UFL</t>
    </r>
    <r>
      <rPr>
        <rFont val="Arial"/>
        <sz val="10.0"/>
      </rPr>
      <t>)</t>
    </r>
  </si>
  <si>
    <t>University Stadium</t>
  </si>
  <si>
    <t>Albuquerque</t>
  </si>
  <si>
    <t>New Mexico</t>
  </si>
  <si>
    <r>
      <rPr>
        <rFont val="Arial"/>
        <color rgb="FF202122"/>
        <sz val="10.0"/>
        <u/>
      </rPr>
      <t>New Mexico Lobos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New Mexico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</si>
  <si>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PNC Park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35</t>
    </r>
    <r>
      <rPr>
        <rFont val="Arial"/>
        <sz val="10.0"/>
      </rPr>
      <t>]</t>
    </r>
  </si>
  <si>
    <r>
      <rPr>
        <rFont val="Arial"/>
        <color rgb="FF202122"/>
        <sz val="10.0"/>
        <u/>
      </rPr>
      <t>Pittsburgh Pirates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</si>
  <si>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Target Field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36</t>
    </r>
    <r>
      <rPr>
        <rFont val="Arial"/>
        <sz val="10.0"/>
      </rPr>
      <t>]</t>
    </r>
  </si>
  <si>
    <r>
      <rPr>
        <rFont val="Arial"/>
        <color rgb="FF202122"/>
        <sz val="10.0"/>
        <u/>
      </rPr>
      <t>Minnesota Twins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</si>
  <si>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t>Nippert Stadium</t>
  </si>
  <si>
    <r>
      <rPr>
        <rFont val="Arial"/>
        <color rgb="FF202122"/>
        <sz val="10.0"/>
        <u/>
      </rPr>
      <t>Cincinnati Bearcats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</si>
  <si>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Pratt &amp; Whitney Stadium</t>
  </si>
  <si>
    <t>East Hartford</t>
  </si>
  <si>
    <r>
      <rPr>
        <rFont val="Arial"/>
        <color rgb="FF202122"/>
        <sz val="10.0"/>
        <u/>
      </rPr>
      <t>UConn Huskies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</si>
  <si>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Michie Stadium</t>
  </si>
  <si>
    <t>West Point</t>
  </si>
  <si>
    <r>
      <rPr>
        <rFont val="Arial"/>
        <color rgb="FF202122"/>
        <sz val="10.0"/>
        <u/>
      </rPr>
      <t>Army Black Knights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</si>
  <si>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Kauffman Stadium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38</t>
    </r>
    <r>
      <rPr>
        <rFont val="Arial"/>
        <sz val="10.0"/>
      </rPr>
      <t>]</t>
    </r>
  </si>
  <si>
    <r>
      <rPr>
        <rFont val="Arial"/>
        <color rgb="FF202122"/>
        <sz val="10.0"/>
        <u/>
      </rPr>
      <t>Kansas City Royals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</si>
  <si>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Fenway Park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39</t>
    </r>
    <r>
      <rPr>
        <rFont val="Arial"/>
        <sz val="10.0"/>
      </rPr>
      <t>]</t>
    </r>
  </si>
  <si>
    <t>Boston</t>
  </si>
  <si>
    <r>
      <rPr>
        <rFont val="Arial"/>
        <color rgb="FF202122"/>
        <sz val="10.0"/>
        <u/>
      </rPr>
      <t>Boston Red Sox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Fenway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</si>
  <si>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Sam Boyd Stadium</t>
  </si>
  <si>
    <r>
      <rPr>
        <rFont val="Arial"/>
        <color rgb="FF202122"/>
        <sz val="10.0"/>
        <u/>
      </rPr>
      <t>USA Sevens</t>
    </r>
    <r>
      <rPr>
        <rFont val="Arial"/>
        <sz val="10.0"/>
      </rPr>
      <t xml:space="preserve"> and </t>
    </r>
    <r>
      <rPr>
        <rFont val="Arial"/>
        <color rgb="FF202122"/>
        <sz val="10.0"/>
        <u/>
      </rPr>
      <t>Monster Jam World Finals</t>
    </r>
  </si>
  <si>
    <r>
      <rPr>
        <rFont val="Arial"/>
        <color rgb="FF202122"/>
        <sz val="10.0"/>
        <u/>
      </rPr>
      <t>LoanDepot Park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40</t>
    </r>
    <r>
      <rPr>
        <rFont val="Arial"/>
        <sz val="10.0"/>
      </rPr>
      <t>]</t>
    </r>
  </si>
  <si>
    <t>Miami</t>
  </si>
  <si>
    <r>
      <rPr>
        <rFont val="Arial"/>
        <color rgb="FF202122"/>
        <sz val="10.0"/>
        <u/>
      </rPr>
      <t>Miami Marlins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</si>
  <si>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t>Canvas Stadium</t>
  </si>
  <si>
    <t>Fort Collins</t>
  </si>
  <si>
    <r>
      <rPr>
        <rFont val="Arial"/>
        <color rgb="FF202122"/>
        <sz val="10.0"/>
        <u/>
      </rPr>
      <t>Colorado State Rams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</si>
  <si>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Albertsons Stadium</t>
  </si>
  <si>
    <t>Boise</t>
  </si>
  <si>
    <t>Idaho</t>
  </si>
  <si>
    <r>
      <rPr>
        <rFont val="Arial"/>
        <color rgb="FF202122"/>
        <sz val="10.0"/>
        <u/>
      </rPr>
      <t>Boise State Broncos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Famous Idaho Potato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</si>
  <si>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MM Roberts Stadium</t>
  </si>
  <si>
    <t>Hattiesburg</t>
  </si>
  <si>
    <r>
      <rPr>
        <rFont val="Arial"/>
        <color rgb="FF202122"/>
        <sz val="10.0"/>
        <u/>
      </rPr>
      <t>Southern Miss Golden Eagles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</si>
  <si>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Reser Stadium</t>
  </si>
  <si>
    <t>Corvallis</t>
  </si>
  <si>
    <r>
      <rPr>
        <rFont val="Arial"/>
        <color rgb="FF202122"/>
        <sz val="10.0"/>
        <u/>
      </rPr>
      <t>Oregon State Beavers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</si>
  <si>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Wallace Wade Stadium</t>
  </si>
  <si>
    <t>Durham</t>
  </si>
  <si>
    <r>
      <rPr>
        <rFont val="Arial"/>
        <color rgb="FF202122"/>
        <sz val="10.0"/>
        <u/>
      </rPr>
      <t>Duke Blue Devils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</si>
  <si>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Snapdragon Stadium</t>
  </si>
  <si>
    <r>
      <rPr>
        <rFont val="Arial"/>
        <color rgb="FF202122"/>
        <sz val="10.0"/>
        <u/>
      </rPr>
      <t>San Diego State Aztecs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Holiday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San Diego Wave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NWSL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San Diego Legion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MLR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San Diego FC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>) (2025)</t>
    </r>
  </si>
  <si>
    <r>
      <rPr>
        <rFont val="Arial"/>
        <color rgb="FF202122"/>
        <sz val="10.0"/>
        <u/>
      </rPr>
      <t>Progressive Field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41</t>
    </r>
    <r>
      <rPr>
        <rFont val="Arial"/>
        <sz val="10.0"/>
      </rPr>
      <t>]</t>
    </r>
  </si>
  <si>
    <r>
      <rPr>
        <rFont val="Arial"/>
        <color rgb="FF202122"/>
        <sz val="10.0"/>
        <u/>
      </rPr>
      <t>Cleveland Guardians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MLB</t>
    </r>
    <r>
      <rPr>
        <rFont val="Arial"/>
        <sz val="10.0"/>
      </rPr>
      <t>)</t>
    </r>
  </si>
  <si>
    <t>Navy–Marine Corps Memorial Stadium</t>
  </si>
  <si>
    <t>Annapolis</t>
  </si>
  <si>
    <r>
      <rPr>
        <rFont val="Arial"/>
        <color rgb="FF202122"/>
        <sz val="10.0"/>
        <u/>
      </rPr>
      <t>Navy Midshipmen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Military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</si>
  <si>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Martin Stadium</t>
  </si>
  <si>
    <t>Pullman</t>
  </si>
  <si>
    <r>
      <rPr>
        <rFont val="Arial"/>
        <color rgb="FF202122"/>
        <sz val="10.0"/>
        <u/>
      </rPr>
      <t>Washington State Cougars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</si>
  <si>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Gerald J. Ford Stadium</t>
  </si>
  <si>
    <r>
      <rPr>
        <rFont val="Arial"/>
        <color rgb="FF202122"/>
        <sz val="10.0"/>
        <u/>
      </rPr>
      <t>SMU Mustangs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First Responder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</si>
  <si>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Truist Field</t>
  </si>
  <si>
    <t>Winston-Salem</t>
  </si>
  <si>
    <r>
      <rPr>
        <rFont val="Arial"/>
        <color rgb="FF202122"/>
        <sz val="10.0"/>
        <u/>
      </rPr>
      <t>Wake Forest Demon Deacons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</si>
  <si>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DATCU Stadium</t>
  </si>
  <si>
    <t>Denton</t>
  </si>
  <si>
    <r>
      <rPr>
        <rFont val="Arial"/>
        <color rgb="FF202122"/>
        <sz val="10.0"/>
        <u/>
      </rPr>
      <t>North Texas Mean Green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</si>
  <si>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Johnny "Red" Floyd Stadium</t>
  </si>
  <si>
    <t>Murfreesboro</t>
  </si>
  <si>
    <r>
      <rPr>
        <rFont val="Arial"/>
        <color rgb="FF202122"/>
        <sz val="10.0"/>
        <u/>
      </rPr>
      <t>Middle Tennessee Blue Raiders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</si>
  <si>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Joan C. Edwards Stadium</t>
  </si>
  <si>
    <t>Huntington</t>
  </si>
  <si>
    <r>
      <rPr>
        <rFont val="Arial"/>
        <color rgb="FF202122"/>
        <sz val="10.0"/>
        <u/>
      </rPr>
      <t>Marshall Thundering Herd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</si>
  <si>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Veterans Memorial Stadium</t>
  </si>
  <si>
    <t>Troy</t>
  </si>
  <si>
    <r>
      <rPr>
        <rFont val="Arial"/>
        <color rgb="FF202122"/>
        <sz val="10.0"/>
        <u/>
      </rPr>
      <t>Troy Trojans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</si>
  <si>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Centennial Bank Stadium</t>
  </si>
  <si>
    <t>Jonesboro</t>
  </si>
  <si>
    <r>
      <rPr>
        <rFont val="Arial"/>
        <color rgb="FF202122"/>
        <sz val="10.0"/>
        <u/>
      </rPr>
      <t>Arkansas State Red Wolves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</si>
  <si>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Harvard Stadium</t>
  </si>
  <si>
    <t>Allston</t>
  </si>
  <si>
    <r>
      <rPr>
        <rFont val="Arial"/>
        <color rgb="FF202122"/>
        <sz val="10.0"/>
        <u/>
      </rPr>
      <t>Harvard Crimson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</si>
  <si>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Kelly/Shorts Stadium</t>
  </si>
  <si>
    <t>Mount Pleasant</t>
  </si>
  <si>
    <r>
      <rPr>
        <rFont val="Arial"/>
        <color rgb="FF202122"/>
        <sz val="10.0"/>
        <u/>
      </rPr>
      <t>Central Michigan Chippewas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</si>
  <si>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Waldo Stadium</t>
  </si>
  <si>
    <t>Kalamazoo</t>
  </si>
  <si>
    <r>
      <rPr>
        <rFont val="Arial"/>
        <color rgb="FF202122"/>
        <sz val="10.0"/>
        <u/>
      </rPr>
      <t>Western Michigan Broncos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</si>
  <si>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Rynearson Stadium</t>
  </si>
  <si>
    <t>Ypsilanti</t>
  </si>
  <si>
    <r>
      <rPr>
        <rFont val="Arial"/>
        <color rgb="FF202122"/>
        <sz val="10.0"/>
        <u/>
      </rPr>
      <t>Eastern Michigan Eagles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</si>
  <si>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Jonah Field at War Memorial Stadium</t>
  </si>
  <si>
    <t>Laramie</t>
  </si>
  <si>
    <t>Wyoming</t>
  </si>
  <si>
    <r>
      <rPr>
        <rFont val="Arial"/>
        <color rgb="FF202122"/>
        <sz val="10.0"/>
        <u/>
      </rPr>
      <t>Wyoming Cowboys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</si>
  <si>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Jim Wacker Field at Bobcat Stadium</t>
  </si>
  <si>
    <t>San Marcos</t>
  </si>
  <si>
    <r>
      <rPr>
        <rFont val="Arial"/>
        <color rgb="FF202122"/>
        <sz val="10.0"/>
        <u/>
      </rPr>
      <t>Texas State Bobcats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</si>
  <si>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HA Chapman Stadium</t>
  </si>
  <si>
    <t>Tulsa</t>
  </si>
  <si>
    <r>
      <rPr>
        <rFont val="Arial"/>
        <color rgb="FF202122"/>
        <sz val="10.0"/>
        <u/>
      </rPr>
      <t>Tulsa Golden Hurricane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</si>
  <si>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Kidd Brewer Stadium</t>
  </si>
  <si>
    <t>Boone</t>
  </si>
  <si>
    <r>
      <rPr>
        <rFont val="Arial"/>
        <color rgb="FF202122"/>
        <sz val="10.0"/>
        <u/>
      </rPr>
      <t>Appalachian State Mountaineers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</si>
  <si>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William "Dick" Price Stadium</t>
  </si>
  <si>
    <t>Norfolk</t>
  </si>
  <si>
    <r>
      <rPr>
        <rFont val="Arial"/>
        <color rgb="FF202122"/>
        <sz val="10.0"/>
        <u/>
      </rPr>
      <t>Norfolk State Spartans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</si>
  <si>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InfoCision Stadium – Summa Field</t>
  </si>
  <si>
    <t>Akron</t>
  </si>
  <si>
    <r>
      <rPr>
        <rFont val="Arial"/>
        <color rgb="FF202122"/>
        <sz val="10.0"/>
        <u/>
      </rPr>
      <t>Akron Zips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</si>
  <si>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Benson Field at Yulman Stadium</t>
  </si>
  <si>
    <r>
      <rPr>
        <rFont val="Arial"/>
        <color rgb="FF202122"/>
        <sz val="10.0"/>
        <u/>
      </rPr>
      <t>Tulane Green Wave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</si>
  <si>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Geodis Park</t>
  </si>
  <si>
    <t>Soccer</t>
  </si>
  <si>
    <r>
      <rPr>
        <rFont val="Arial"/>
        <color rgb="FF202122"/>
        <sz val="10.0"/>
        <u/>
      </rPr>
      <t>Nashville SC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>)</t>
    </r>
  </si>
  <si>
    <t>FAU Stadium</t>
  </si>
  <si>
    <t>Boca Raton</t>
  </si>
  <si>
    <r>
      <rPr>
        <rFont val="Arial"/>
        <color rgb="FF202122"/>
        <sz val="10.0"/>
        <u/>
      </rPr>
      <t>Florida Atlantic Owls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Boca Raton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</si>
  <si>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Aggie Memorial Stadium</t>
  </si>
  <si>
    <t>Las Cruces</t>
  </si>
  <si>
    <r>
      <rPr>
        <rFont val="Arial"/>
        <color rgb="FF202122"/>
        <sz val="10.0"/>
        <u/>
      </rPr>
      <t>New Mexico State Aggies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</si>
  <si>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Joe Aillet Stadium</t>
  </si>
  <si>
    <t>Ruston</t>
  </si>
  <si>
    <r>
      <rPr>
        <rFont val="Arial"/>
        <color rgb="FF202122"/>
        <sz val="10.0"/>
        <u/>
      </rPr>
      <t>Louisiana Tech Bulldogs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</si>
  <si>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Princeton Stadium</t>
  </si>
  <si>
    <t>Princeton</t>
  </si>
  <si>
    <r>
      <rPr>
        <rFont val="Arial"/>
        <color rgb="FF202122"/>
        <sz val="10.0"/>
        <u/>
      </rPr>
      <t>Princeton Tigers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</si>
  <si>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Malone Stadium</t>
  </si>
  <si>
    <t>Monroe</t>
  </si>
  <si>
    <r>
      <rPr>
        <rFont val="Arial"/>
        <color rgb="FF202122"/>
        <sz val="10.0"/>
        <u/>
      </rPr>
      <t>Louisiana–Monroe Warhawks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</si>
  <si>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Mackay Stadium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42</t>
    </r>
    <r>
      <rPr>
        <rFont val="Arial"/>
        <sz val="10.0"/>
      </rPr>
      <t>]</t>
    </r>
  </si>
  <si>
    <t>Reno</t>
  </si>
  <si>
    <r>
      <rPr>
        <rFont val="Arial"/>
        <color rgb="FF202122"/>
        <sz val="10.0"/>
        <u/>
      </rPr>
      <t>Nevada Wolf Pack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</si>
  <si>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Dignity Health Sports Park Soccer Stadium</t>
  </si>
  <si>
    <t>Carson</t>
  </si>
  <si>
    <r>
      <rPr>
        <rFont val="Arial"/>
        <color rgb="FF202122"/>
        <sz val="10.0"/>
        <u/>
      </rPr>
      <t>Los Angeles Galaxy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RFCLA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Major League Rugby</t>
    </r>
    <r>
      <rPr>
        <rFont val="Arial"/>
        <sz val="10.0"/>
      </rPr>
      <t>)</t>
    </r>
  </si>
  <si>
    <t>ASU Stadium</t>
  </si>
  <si>
    <t>Montgomery</t>
  </si>
  <si>
    <r>
      <rPr>
        <rFont val="Arial"/>
        <color rgb="FF202122"/>
        <sz val="10.0"/>
        <u/>
      </rPr>
      <t>Alabama State Hornets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</si>
  <si>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Tad Gormley Stadium</t>
  </si>
  <si>
    <t>Multipurpose</t>
  </si>
  <si>
    <t>The Glass Bowl</t>
  </si>
  <si>
    <t>Toledo</t>
  </si>
  <si>
    <r>
      <rPr>
        <rFont val="Arial"/>
        <color rgb="FF202122"/>
        <sz val="10.0"/>
        <u/>
      </rPr>
      <t>Toledo Rockets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</si>
  <si>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TQL Stadium</t>
  </si>
  <si>
    <r>
      <rPr>
        <rFont val="Arial"/>
        <color rgb="FF202122"/>
        <sz val="10.0"/>
        <u/>
      </rPr>
      <t>FC Cincinnati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>)</t>
    </r>
  </si>
  <si>
    <t>Inter&amp;Co Stadium</t>
  </si>
  <si>
    <r>
      <rPr>
        <rFont val="Arial"/>
        <color rgb="FF202122"/>
        <sz val="10.0"/>
        <u/>
      </rPr>
      <t>Orlando City SC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Orlando Pride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NWSL</t>
    </r>
    <r>
      <rPr>
        <rFont val="Arial"/>
        <sz val="10.0"/>
      </rPr>
      <t>)</t>
    </r>
  </si>
  <si>
    <t>Ace W. Mumford Stadium</t>
  </si>
  <si>
    <r>
      <rPr>
        <rFont val="Arial"/>
        <color rgb="FF202122"/>
        <sz val="10.0"/>
        <u/>
      </rPr>
      <t>Southern Jaguars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</si>
  <si>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Hancock Whitney Stadium</t>
  </si>
  <si>
    <r>
      <rPr>
        <rFont val="Arial"/>
        <color rgb="FF202122"/>
        <sz val="10.0"/>
        <u/>
      </rPr>
      <t>South Alabama Jaguars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68 Ventures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Senior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</si>
  <si>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Dix Stadium</t>
  </si>
  <si>
    <r>
      <t>25,319</t>
    </r>
    <r>
      <rPr>
        <rFont val="Arial"/>
        <color rgb="FF1155CC"/>
        <sz val="10.0"/>
        <u/>
      </rPr>
      <t>[</t>
    </r>
    <r>
      <rPr>
        <rFont val="Arial"/>
        <color rgb="FF1155CC"/>
        <sz val="10.0"/>
        <u/>
      </rPr>
      <t>43</t>
    </r>
    <r>
      <rPr>
        <rFont val="Arial"/>
        <color rgb="FF1155CC"/>
        <sz val="10.0"/>
      </rPr>
      <t>]</t>
    </r>
  </si>
  <si>
    <t>Kent</t>
  </si>
  <si>
    <r>
      <rPr>
        <rFont val="Arial"/>
        <color rgb="FF202122"/>
        <sz val="10.0"/>
        <u/>
      </rPr>
      <t>Kent State Golden Flashes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</si>
  <si>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Providence Park</t>
  </si>
  <si>
    <t>Portland</t>
  </si>
  <si>
    <r>
      <rPr>
        <rFont val="Arial"/>
        <color rgb="FF202122"/>
        <sz val="10.0"/>
        <u/>
      </rPr>
      <t>Portland Timbers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Portland Thorns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NWSL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Portland State Vikings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</si>
  <si>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Washington–Grizzly Stadium</t>
  </si>
  <si>
    <t>Missoula</t>
  </si>
  <si>
    <t>Montana</t>
  </si>
  <si>
    <r>
      <rPr>
        <rFont val="Arial"/>
        <color rgb="FF202122"/>
        <sz val="10.0"/>
        <u/>
      </rPr>
      <t>Montana Grizzlies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</si>
  <si>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Maverik Stadium</t>
  </si>
  <si>
    <t>Logan</t>
  </si>
  <si>
    <r>
      <rPr>
        <rFont val="Arial"/>
        <color rgb="FF202122"/>
        <sz val="10.0"/>
        <u/>
      </rPr>
      <t>Utah State Aggies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</si>
  <si>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UB Stadium</t>
  </si>
  <si>
    <t>Amherst</t>
  </si>
  <si>
    <r>
      <rPr>
        <rFont val="Arial"/>
        <color rgb="FF202122"/>
        <sz val="10.0"/>
        <u/>
      </rPr>
      <t>Buffalo Bulls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</si>
  <si>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Red Bull Arena</t>
  </si>
  <si>
    <t>Harrison</t>
  </si>
  <si>
    <r>
      <rPr>
        <rFont val="Arial"/>
        <color rgb="FF202122"/>
        <sz val="10.0"/>
        <u/>
      </rPr>
      <t>New York Red Bulls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Gotham FC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NWSL</t>
    </r>
    <r>
      <rPr>
        <rFont val="Arial"/>
        <sz val="10.0"/>
      </rPr>
      <t>)</t>
    </r>
  </si>
  <si>
    <t>Paulson Stadium</t>
  </si>
  <si>
    <t>Statesboro</t>
  </si>
  <si>
    <r>
      <rPr>
        <rFont val="Arial"/>
        <color rgb="FF202122"/>
        <sz val="10.0"/>
        <u/>
      </rPr>
      <t>Georgia Southern Eagles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</si>
  <si>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Williams Stadium</t>
  </si>
  <si>
    <t>Lynchburg</t>
  </si>
  <si>
    <r>
      <rPr>
        <rFont val="Arial"/>
        <color rgb="FF202122"/>
        <sz val="10.0"/>
        <u/>
      </rPr>
      <t>Liberty Flames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</si>
  <si>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Cramton Bowl</t>
  </si>
  <si>
    <r>
      <rPr>
        <rFont val="Arial"/>
        <color rgb="FF202122"/>
        <sz val="10.0"/>
        <u/>
      </rPr>
      <t>Camellia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
Local high school teams</t>
    </r>
  </si>
  <si>
    <t>Bridgeforth Stadium</t>
  </si>
  <si>
    <t>Harrisonburg</t>
  </si>
  <si>
    <r>
      <rPr>
        <rFont val="Arial"/>
        <color rgb="FF202122"/>
        <sz val="10.0"/>
        <u/>
      </rPr>
      <t>James Madison Dukes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</si>
  <si>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Charles Schwab Field Omaha</t>
  </si>
  <si>
    <t>Omaha</t>
  </si>
  <si>
    <r>
      <rPr>
        <rFont val="Arial"/>
        <color rgb="FF202122"/>
        <sz val="10.0"/>
        <u/>
      </rPr>
      <t>Creighton Bluejays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College World Series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</si>
  <si>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Center Parc Stadium</t>
  </si>
  <si>
    <r>
      <rPr>
        <rFont val="Arial"/>
        <color rgb="FF202122"/>
        <sz val="10.0"/>
        <u/>
      </rPr>
      <t>Georgia State Panthers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</si>
  <si>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Fred C. Yager Stadium</t>
  </si>
  <si>
    <r>
      <rPr>
        <rFont val="Arial"/>
        <color rgb="FF202122"/>
        <sz val="10.0"/>
        <u/>
      </rPr>
      <t>Miami RedHawks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</si>
  <si>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Doyt L. Perry Stadium</t>
  </si>
  <si>
    <t>Bowling Green</t>
  </si>
  <si>
    <r>
      <rPr>
        <rFont val="Arial"/>
        <color rgb="FF202122"/>
        <sz val="10.0"/>
        <u/>
      </rPr>
      <t>Bowling Green Falcons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</si>
  <si>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Don Peden Stadium</t>
  </si>
  <si>
    <r>
      <rPr>
        <rFont val="Arial"/>
        <color rgb="FF202122"/>
        <sz val="10.0"/>
        <u/>
      </rPr>
      <t>Ohio Bobcats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</si>
  <si>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JSU Stadium</t>
  </si>
  <si>
    <r>
      <rPr>
        <rFont val="Arial"/>
        <color rgb="FF202122"/>
        <sz val="10.0"/>
        <u/>
      </rPr>
      <t>Jacksonville State Gamecocks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</si>
  <si>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Brigham Field at Huskie Stadium</t>
  </si>
  <si>
    <t>DeKalb</t>
  </si>
  <si>
    <r>
      <rPr>
        <rFont val="Arial"/>
        <color rgb="FF202122"/>
        <sz val="10.0"/>
        <u/>
      </rPr>
      <t>Northern Illinois Huskies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</si>
  <si>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Houchens Industries–LT Smith Stadium</t>
  </si>
  <si>
    <r>
      <rPr>
        <rFont val="Arial"/>
        <color rgb="FF202122"/>
        <sz val="10.0"/>
        <u/>
      </rPr>
      <t>Western Kentucky Hilltoppers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</si>
  <si>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Arthur Ashe Stadium</t>
  </si>
  <si>
    <t>Tennis</t>
  </si>
  <si>
    <t>U.S. Open</t>
  </si>
  <si>
    <t>Fitton Field</t>
  </si>
  <si>
    <t>Worcester</t>
  </si>
  <si>
    <r>
      <rPr>
        <rFont val="Arial"/>
        <color rgb="FF202122"/>
        <sz val="10.0"/>
        <u/>
      </rPr>
      <t>Holy Cross Crusaders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</si>
  <si>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Tom Benson Hall of Fame Stadium</t>
  </si>
  <si>
    <t>Canton</t>
  </si>
  <si>
    <r>
      <rPr>
        <rFont val="Arial"/>
        <color rgb="FF202122"/>
        <sz val="10.0"/>
        <u/>
      </rPr>
      <t>Pro Football Hall of Fame Game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Canton McKinley Bulldogs</t>
    </r>
    <r>
      <rPr>
        <rFont val="Arial"/>
        <sz val="10.0"/>
      </rPr>
      <t xml:space="preserve"> (High School)</t>
    </r>
  </si>
  <si>
    <t>City Stadium</t>
  </si>
  <si>
    <t>Richmond</t>
  </si>
  <si>
    <r>
      <rPr>
        <rFont val="Arial"/>
        <color rgb="FF202122"/>
        <sz val="10.0"/>
        <u/>
      </rPr>
      <t>Richmond Kickers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USL League One</t>
    </r>
    <r>
      <rPr>
        <rFont val="Arial"/>
        <sz val="10.0"/>
      </rPr>
      <t>)</t>
    </r>
  </si>
  <si>
    <t>Jack Spinks Stadium</t>
  </si>
  <si>
    <t>Lorman</t>
  </si>
  <si>
    <r>
      <rPr>
        <rFont val="Arial"/>
        <color rgb="FF202122"/>
        <sz val="10.0"/>
        <u/>
      </rPr>
      <t>Alcorn State Braves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</si>
  <si>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John B. and June M. Scheumann Stadium</t>
  </si>
  <si>
    <t>Muncie</t>
  </si>
  <si>
    <r>
      <rPr>
        <rFont val="Arial"/>
        <color rgb="FF202122"/>
        <sz val="10.0"/>
        <u/>
      </rPr>
      <t>Ball State Cardinals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</si>
  <si>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CityPark</t>
  </si>
  <si>
    <r>
      <rPr>
        <rFont val="Arial"/>
        <color rgb="FF202122"/>
        <sz val="10.0"/>
        <u/>
      </rPr>
      <t>St. Louis City SC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>)</t>
    </r>
  </si>
  <si>
    <t>Weingart Stadium</t>
  </si>
  <si>
    <t>Monterey Park</t>
  </si>
  <si>
    <r>
      <rPr>
        <rFont val="Arial"/>
        <color rgb="FF202122"/>
        <sz val="10.0"/>
        <u/>
      </rPr>
      <t>East Los Angeles Huskies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CCCAA</t>
    </r>
    <r>
      <rPr>
        <rFont val="Arial"/>
        <sz val="10.0"/>
      </rPr>
      <t>)</t>
    </r>
  </si>
  <si>
    <t>Shell Energy Stadium</t>
  </si>
  <si>
    <r>
      <rPr>
        <rFont val="Arial"/>
        <color rgb="FF202122"/>
        <sz val="10.0"/>
        <u/>
      </rPr>
      <t>Houston Dynamo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Texas Southern Tigers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Houston Dash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NWSL</t>
    </r>
    <r>
      <rPr>
        <rFont val="Arial"/>
        <sz val="10.0"/>
      </rPr>
      <t>)</t>
    </r>
  </si>
  <si>
    <t>Oliver C. Dawson Stadium</t>
  </si>
  <si>
    <t>Orangeburg</t>
  </si>
  <si>
    <r>
      <rPr>
        <rFont val="Arial"/>
        <color rgb="FF202122"/>
        <sz val="10.0"/>
        <u/>
      </rPr>
      <t>South Carolina State Bulldogs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</si>
  <si>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BMO Stadium</t>
  </si>
  <si>
    <r>
      <rPr>
        <rFont val="Arial"/>
        <color rgb="FF202122"/>
        <sz val="10.0"/>
        <u/>
      </rPr>
      <t>Los Angeles FC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Angel City FC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NWSL</t>
    </r>
    <r>
      <rPr>
        <rFont val="Arial"/>
        <sz val="10.0"/>
      </rPr>
      <t>)</t>
    </r>
  </si>
  <si>
    <t>Delaware Stadium</t>
  </si>
  <si>
    <t>Newark</t>
  </si>
  <si>
    <t>Delaware</t>
  </si>
  <si>
    <r>
      <rPr>
        <rFont val="Arial"/>
        <color rgb="FF202122"/>
        <sz val="10.0"/>
        <u/>
      </rPr>
      <t>Delaware Fightin' Blue Hens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</si>
  <si>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Kornblau Field at S.B. Ballard Stadium</t>
  </si>
  <si>
    <r>
      <rPr>
        <rFont val="Arial"/>
        <color rgb="FF202122"/>
        <sz val="10.0"/>
        <u/>
      </rPr>
      <t>Old Dominion Monarchs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</si>
  <si>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CEFCU Stadium</t>
  </si>
  <si>
    <t>San Jose</t>
  </si>
  <si>
    <r>
      <rPr>
        <rFont val="Arial"/>
        <color rgb="FF202122"/>
        <sz val="10.0"/>
        <u/>
      </rPr>
      <t>San Jose State Spartans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</si>
  <si>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Schoellkopf Field</t>
  </si>
  <si>
    <t>Ithaca</t>
  </si>
  <si>
    <r>
      <rPr>
        <rFont val="Arial"/>
        <color rgb="FF202122"/>
        <sz val="10.0"/>
        <u/>
      </rPr>
      <t>Cornell Big Red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</si>
  <si>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BREC Memorial Stadium</t>
  </si>
  <si>
    <t>Local high school teams</t>
  </si>
  <si>
    <t>Truist Stadium</t>
  </si>
  <si>
    <t>Greensboro</t>
  </si>
  <si>
    <r>
      <rPr>
        <rFont val="Arial"/>
        <color rgb="FF202122"/>
        <sz val="10.0"/>
        <u/>
      </rPr>
      <t>North Carolina A&amp;T Aggies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</si>
  <si>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Hornet Stadium</t>
  </si>
  <si>
    <t>Sacramento</t>
  </si>
  <si>
    <r>
      <rPr>
        <rFont val="Arial"/>
        <color rgb="FF202122"/>
        <sz val="10.0"/>
        <u/>
      </rPr>
      <t>Sacramento State Hornets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</si>
  <si>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Louis Crews Stadium</t>
  </si>
  <si>
    <t>Huntsville</t>
  </si>
  <si>
    <r>
      <rPr>
        <rFont val="Arial"/>
        <color rgb="FF202122"/>
        <sz val="10.0"/>
        <u/>
      </rPr>
      <t>Alabama A&amp;M Bulldogs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</si>
  <si>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Brooks Stadium</t>
  </si>
  <si>
    <t>Conway</t>
  </si>
  <si>
    <r>
      <rPr>
        <rFont val="Arial"/>
        <color rgb="FF202122"/>
        <sz val="10.0"/>
        <u/>
      </rPr>
      <t>Coastal Carolina Chanticleers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Myrtle Beach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</si>
  <si>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Chase Stadium</t>
  </si>
  <si>
    <t>Fort Lauderdale</t>
  </si>
  <si>
    <r>
      <rPr>
        <rFont val="Arial"/>
        <color rgb="FF202122"/>
        <sz val="10.0"/>
        <u/>
      </rPr>
      <t>Inter Miami CF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>)</t>
    </r>
  </si>
  <si>
    <t>Bobcat Stadium</t>
  </si>
  <si>
    <t>Bozeman</t>
  </si>
  <si>
    <r>
      <rPr>
        <rFont val="Arial"/>
        <color rgb="FF202122"/>
        <sz val="10.0"/>
        <u/>
      </rPr>
      <t>Montana State Bobcats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</si>
  <si>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Q2 Stadium</t>
  </si>
  <si>
    <r>
      <rPr>
        <rFont val="Arial"/>
        <color rgb="FF202122"/>
        <sz val="10.0"/>
        <u/>
      </rPr>
      <t>Austin FC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>)</t>
    </r>
  </si>
  <si>
    <t>Stambaugh Stadium</t>
  </si>
  <si>
    <t>Youngstown</t>
  </si>
  <si>
    <r>
      <rPr>
        <rFont val="Arial"/>
        <color rgb="FF202122"/>
        <sz val="10.0"/>
        <u/>
      </rPr>
      <t>Youngstown State Penguins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</si>
  <si>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Toyota Stadium</t>
  </si>
  <si>
    <t>Frisco</t>
  </si>
  <si>
    <r>
      <rPr>
        <rFont val="Arial"/>
        <color rgb="FF202122"/>
        <sz val="10.0"/>
        <u/>
      </rPr>
      <t>FC Dallas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Frisco Bowl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NCAA Division I Football Championship Game</t>
    </r>
    <r>
      <rPr>
        <rFont val="Arial"/>
        <sz val="10.0"/>
      </rPr>
      <t xml:space="preserve"> (FCS)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</si>
  <si>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Finley Stadium</t>
  </si>
  <si>
    <t>Chattanooga</t>
  </si>
  <si>
    <r>
      <rPr>
        <rFont val="Arial"/>
        <color rgb="FF202122"/>
        <sz val="10.0"/>
        <u/>
      </rPr>
      <t>Chattanooga Mocs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</si>
  <si>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Lower.com Field</t>
  </si>
  <si>
    <r>
      <rPr>
        <rFont val="Arial"/>
        <color rgb="FF202122"/>
        <sz val="10.0"/>
        <u/>
      </rPr>
      <t>Columbus Crew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>)</t>
    </r>
  </si>
  <si>
    <t>Hughes Stadium</t>
  </si>
  <si>
    <t>America First Field</t>
  </si>
  <si>
    <t>Sandy</t>
  </si>
  <si>
    <r>
      <rPr>
        <rFont val="Arial"/>
        <color rgb="FF202122"/>
        <sz val="10.0"/>
        <u/>
      </rPr>
      <t>Real Salt Lake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Utah Royals FC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NWSL</t>
    </r>
    <r>
      <rPr>
        <rFont val="Arial"/>
        <sz val="10.0"/>
      </rPr>
      <t>)</t>
    </r>
  </si>
  <si>
    <t>Brown Stadium</t>
  </si>
  <si>
    <t>Providence</t>
  </si>
  <si>
    <t>Rhode Island</t>
  </si>
  <si>
    <r>
      <rPr>
        <rFont val="Arial"/>
        <color rgb="FF202122"/>
        <sz val="10.0"/>
        <u/>
      </rPr>
      <t>Brown Bears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</si>
  <si>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Happy State Bank Stadium</t>
  </si>
  <si>
    <t>Canyon</t>
  </si>
  <si>
    <r>
      <rPr>
        <rFont val="Arial"/>
        <color rgb="FF202122"/>
        <sz val="10.0"/>
        <u/>
      </rPr>
      <t>West Texas A&amp;M Buffaloes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
Local high school teams</t>
    </r>
  </si>
  <si>
    <t>Roy Kidd Stadium</t>
  </si>
  <si>
    <r>
      <rPr>
        <rFont val="Arial"/>
        <color rgb="FF202122"/>
        <sz val="10.0"/>
        <u/>
      </rPr>
      <t>Eastern Kentucky Colonels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</si>
  <si>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Central Broward Park</t>
  </si>
  <si>
    <t>Lauderhill</t>
  </si>
  <si>
    <r>
      <rPr>
        <rFont val="Arial"/>
        <color rgb="FF202122"/>
        <sz val="10.0"/>
        <u/>
      </rPr>
      <t>Floridians FC</t>
    </r>
    <r>
      <rPr>
        <rFont val="Arial"/>
        <sz val="10.0"/>
      </rPr>
      <t xml:space="preserve">, </t>
    </r>
    <r>
      <rPr>
        <rFont val="Arial"/>
        <color rgb="FF202122"/>
        <sz val="10.0"/>
        <u/>
      </rPr>
      <t>Fort Lauderdale Fighting Squids</t>
    </r>
  </si>
  <si>
    <t>Wailuku</t>
  </si>
  <si>
    <t>Hawaii</t>
  </si>
  <si>
    <t>FIU Stadium</t>
  </si>
  <si>
    <r>
      <rPr>
        <rFont val="Arial"/>
        <color rgb="FF202122"/>
        <sz val="10.0"/>
        <u/>
      </rPr>
      <t>FIU Golden Panthers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Miami FC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USL Championship</t>
    </r>
    <r>
      <rPr>
        <rFont val="Arial"/>
        <sz val="10.0"/>
      </rPr>
      <t>)</t>
    </r>
  </si>
  <si>
    <t>SeatGeek Stadium</t>
  </si>
  <si>
    <t>Bridgeview</t>
  </si>
  <si>
    <r>
      <rPr>
        <rFont val="Arial"/>
        <color rgb="FF202122"/>
        <sz val="10.0"/>
        <u/>
      </rPr>
      <t>Chicago Red Stars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NWSL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Chicago House AC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NISA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Chicago Hounds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MLR</t>
    </r>
    <r>
      <rPr>
        <rFont val="Arial"/>
        <sz val="10.0"/>
      </rPr>
      <t>)</t>
    </r>
  </si>
  <si>
    <t>Audi Field</t>
  </si>
  <si>
    <r>
      <rPr>
        <rFont val="Arial"/>
        <color rgb="FF202122"/>
        <sz val="10.0"/>
        <u/>
      </rPr>
      <t>D.C. United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Washington Spirit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NWSL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DC Defenders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UFL</t>
    </r>
    <r>
      <rPr>
        <rFont val="Arial"/>
        <sz val="10.0"/>
      </rPr>
      <t>)</t>
    </r>
  </si>
  <si>
    <t>Historic Crew Stadium</t>
  </si>
  <si>
    <t>Bragg Memorial Stadium</t>
  </si>
  <si>
    <r>
      <rPr>
        <rFont val="Arial"/>
        <color rgb="FF202122"/>
        <sz val="10.0"/>
        <u/>
      </rPr>
      <t>Florida A&amp;M Rattlers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</si>
  <si>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Eddie G. Robinson Memorial Stadium</t>
  </si>
  <si>
    <t>Grambling</t>
  </si>
  <si>
    <r>
      <rPr>
        <rFont val="Arial"/>
        <color rgb="FF202122"/>
        <sz val="10.0"/>
        <u/>
      </rPr>
      <t>Grambling State Tigers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</si>
  <si>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Bakersfield</t>
  </si>
  <si>
    <r>
      <rPr>
        <rFont val="Arial"/>
        <color rgb="FF202122"/>
        <sz val="10.0"/>
        <u/>
      </rPr>
      <t>Bakersfield Renegades</t>
    </r>
    <r>
      <rPr>
        <rFont val="Arial"/>
        <sz val="10.0"/>
      </rPr>
      <t xml:space="preserve"> (CCCAA)</t>
    </r>
  </si>
  <si>
    <t>Mesquite Memorial Stadium</t>
  </si>
  <si>
    <t>Mesquite</t>
  </si>
  <si>
    <t>Allianz Field</t>
  </si>
  <si>
    <t>St. Paul</t>
  </si>
  <si>
    <r>
      <rPr>
        <rFont val="Arial"/>
        <color rgb="FF202122"/>
        <sz val="10.0"/>
        <u/>
      </rPr>
      <t>Minnesota United FC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>)</t>
    </r>
  </si>
  <si>
    <t>Dana J. Dykhouse Stadium</t>
  </si>
  <si>
    <t>Brookings</t>
  </si>
  <si>
    <t>South Dakota</t>
  </si>
  <si>
    <r>
      <rPr>
        <rFont val="Arial"/>
        <color rgb="FF202122"/>
        <sz val="10.0"/>
        <u/>
      </rPr>
      <t>South Dakota State Jackrabbits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</si>
  <si>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Fargodome</t>
  </si>
  <si>
    <t>Fargo</t>
  </si>
  <si>
    <t>North Dakota</t>
  </si>
  <si>
    <r>
      <rPr>
        <rFont val="Arial"/>
        <color rgb="FF202122"/>
        <sz val="10.0"/>
        <u/>
      </rPr>
      <t>North Dakota State Bison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</si>
  <si>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Subaru Park</t>
  </si>
  <si>
    <t>Chester</t>
  </si>
  <si>
    <r>
      <rPr>
        <rFont val="Arial"/>
        <color rgb="FF202122"/>
        <sz val="10.0"/>
        <u/>
      </rPr>
      <t>Philadelphia Union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>)</t>
    </r>
  </si>
  <si>
    <t>UC Stadium at Laidley Field</t>
  </si>
  <si>
    <t>Charleston</t>
  </si>
  <si>
    <t>Football, track</t>
  </si>
  <si>
    <r>
      <rPr>
        <rFont val="Arial"/>
        <color rgb="FF202122"/>
        <sz val="10.0"/>
        <u/>
      </rPr>
      <t>Charleston Golden Eagles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</si>
  <si>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Children's Mercy Park</t>
  </si>
  <si>
    <r>
      <rPr>
        <rFont val="Arial"/>
        <color rgb="FF202122"/>
        <sz val="10.0"/>
        <u/>
      </rPr>
      <t>Sporting Kansas City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Kansas City Current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NWSL</t>
    </r>
    <r>
      <rPr>
        <rFont val="Arial"/>
        <sz val="10.0"/>
      </rPr>
      <t>)</t>
    </r>
  </si>
  <si>
    <t>Hiram Bithorn Stadium</t>
  </si>
  <si>
    <t>San Juan</t>
  </si>
  <si>
    <t>Puerto Rico</t>
  </si>
  <si>
    <t>Cangrejeros de Santurce</t>
  </si>
  <si>
    <t>Dick's Sporting Goods Park</t>
  </si>
  <si>
    <t>Commerce City</t>
  </si>
  <si>
    <r>
      <rPr>
        <rFont val="Arial"/>
        <color rgb="FF202122"/>
        <sz val="10.0"/>
        <u/>
      </rPr>
      <t>Colorado Rapids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>)</t>
    </r>
  </si>
  <si>
    <t>PayPal Park</t>
  </si>
  <si>
    <r>
      <rPr>
        <rFont val="Arial"/>
        <color rgb="FF202122"/>
        <sz val="10.0"/>
        <u/>
      </rPr>
      <t>San Jose Earthquakes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MLS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Bay FC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NWSL</t>
    </r>
    <r>
      <rPr>
        <rFont val="Arial"/>
        <sz val="10.0"/>
      </rPr>
      <t>)</t>
    </r>
  </si>
  <si>
    <t>Ratliff Stadium</t>
  </si>
  <si>
    <t>Odessa</t>
  </si>
  <si>
    <t>Cowboy Stadium</t>
  </si>
  <si>
    <t>Lake Charles</t>
  </si>
  <si>
    <r>
      <rPr>
        <rFont val="Arial"/>
        <color rgb="FF202122"/>
        <sz val="10.0"/>
        <u/>
      </rPr>
      <t>McNeese Cowboys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</si>
  <si>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Robert W. Plaster Stadium</t>
  </si>
  <si>
    <t>Springfield</t>
  </si>
  <si>
    <r>
      <rPr>
        <rFont val="Arial"/>
        <color rgb="FF202122"/>
        <sz val="10.0"/>
        <u/>
      </rPr>
      <t>Missouri State Bears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</si>
  <si>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Stewart Stadium</t>
  </si>
  <si>
    <t>Ogden</t>
  </si>
  <si>
    <r>
      <rPr>
        <rFont val="Arial"/>
        <color rgb="FF202122"/>
        <sz val="10.0"/>
        <u/>
      </rPr>
      <t>Weber State Wildcats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</si>
  <si>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Robert K. Kraft Field at Lawrence A. Wien Stadium</t>
  </si>
  <si>
    <r>
      <rPr>
        <rFont val="Arial"/>
        <color rgb="FF202122"/>
        <sz val="10.0"/>
        <u/>
      </rPr>
      <t>Columbia Lions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</si>
  <si>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Warren McGuirk Alumni Stadium</t>
  </si>
  <si>
    <t>Hadley</t>
  </si>
  <si>
    <r>
      <rPr>
        <rFont val="Arial"/>
        <color rgb="FF202122"/>
        <sz val="10.0"/>
        <u/>
      </rPr>
      <t>UMass Minutemen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</si>
  <si>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Harder Stadium</t>
  </si>
  <si>
    <t>Santa Barbara</t>
  </si>
  <si>
    <r>
      <rPr>
        <rFont val="Arial"/>
        <color rgb="FF202122"/>
        <sz val="10.0"/>
        <u/>
      </rPr>
      <t>UC Santa Barbara Gauchos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</si>
  <si>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Clarence T. C. Ching Athletics Complex</t>
  </si>
  <si>
    <r>
      <rPr>
        <rFont val="Arial"/>
        <color rgb="FF202122"/>
        <sz val="10.0"/>
        <u/>
      </rPr>
      <t>Hawaii Rainbow Warriors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</si>
  <si>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Roy Stewart Stadium</t>
  </si>
  <si>
    <t>Murray</t>
  </si>
  <si>
    <r>
      <rPr>
        <rFont val="Arial"/>
        <color rgb="FF202122"/>
        <sz val="10.0"/>
        <u/>
      </rPr>
      <t>Murray State Racers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</si>
  <si>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Sahlen Field</t>
  </si>
  <si>
    <t>Buffalo</t>
  </si>
  <si>
    <r>
      <rPr>
        <rFont val="Arial"/>
        <color rgb="FF202122"/>
        <sz val="10.0"/>
        <u/>
      </rPr>
      <t>Buffalo Bisons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IL</t>
    </r>
    <r>
      <rPr>
        <rFont val="Arial"/>
        <sz val="10.0"/>
      </rPr>
      <t>)</t>
    </r>
  </si>
  <si>
    <t>Paul Brown Tiger Stadium</t>
  </si>
  <si>
    <t>Massillon</t>
  </si>
  <si>
    <r>
      <rPr>
        <rFont val="Arial"/>
        <color rgb="FF202122"/>
        <sz val="10.0"/>
        <u/>
      </rPr>
      <t>Washington High School</t>
    </r>
    <r>
      <rPr>
        <rFont val="Arial"/>
        <sz val="10.0"/>
      </rPr>
      <t xml:space="preserve"> (High School)</t>
    </r>
  </si>
  <si>
    <t>Tucker Stadium</t>
  </si>
  <si>
    <t>Cookeville</t>
  </si>
  <si>
    <r>
      <rPr>
        <rFont val="Arial"/>
        <color rgb="FF202122"/>
        <sz val="10.0"/>
        <u/>
      </rPr>
      <t>Tennessee Tech Golden Eagles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</si>
  <si>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Hanson Field</t>
  </si>
  <si>
    <t>Macomb</t>
  </si>
  <si>
    <r>
      <rPr>
        <rFont val="Arial"/>
        <color rgb="FF202122"/>
        <sz val="10.0"/>
        <u/>
      </rPr>
      <t>Western Illinois Leathernecks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</si>
  <si>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UNI-Dome</t>
  </si>
  <si>
    <t>Cedar Falls</t>
  </si>
  <si>
    <r>
      <rPr>
        <rFont val="Arial"/>
        <color rgb="FF202122"/>
        <sz val="10.0"/>
        <u/>
      </rPr>
      <t>Northern Iowa Panthers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</si>
  <si>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Stadium 1</t>
  </si>
  <si>
    <t>Indian Wells</t>
  </si>
  <si>
    <t>Provost Umphrey Stadium</t>
  </si>
  <si>
    <t>Beaumont</t>
  </si>
  <si>
    <r>
      <rPr>
        <rFont val="Arial"/>
        <color rgb="FF202122"/>
        <sz val="10.0"/>
        <u/>
      </rPr>
      <t>Lamar Cardinals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</si>
  <si>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Stallworth Stadium</t>
  </si>
  <si>
    <t>Baytown</t>
  </si>
  <si>
    <t>Kibbie Dome</t>
  </si>
  <si>
    <t>Moscow</t>
  </si>
  <si>
    <r>
      <rPr>
        <rFont val="Arial"/>
        <color rgb="FF202122"/>
        <sz val="10.0"/>
        <u/>
      </rPr>
      <t>Idaho Vandals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</si>
  <si>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Paladin Stadium</t>
  </si>
  <si>
    <r>
      <rPr>
        <rFont val="Arial"/>
        <color rgb="FF202122"/>
        <sz val="10.0"/>
        <u/>
      </rPr>
      <t>Furman Paladins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Greenville Triumph SC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USL League One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Greenville Liberty SC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USL W League</t>
    </r>
    <r>
      <rPr>
        <rFont val="Arial"/>
        <sz val="10.0"/>
      </rPr>
      <t>)</t>
    </r>
  </si>
  <si>
    <t>Goodman Stadium</t>
  </si>
  <si>
    <t>Bethlehem</t>
  </si>
  <si>
    <r>
      <rPr>
        <rFont val="Arial"/>
        <color rgb="FF202122"/>
        <sz val="10.0"/>
        <u/>
      </rPr>
      <t>Lehigh Mountain Hawks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</si>
  <si>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Simmons Bank Field</t>
  </si>
  <si>
    <t>Pine Bluff</t>
  </si>
  <si>
    <r>
      <rPr>
        <rFont val="Arial"/>
        <color rgb="FF202122"/>
        <sz val="10.0"/>
        <u/>
      </rPr>
      <t>Arkansas–Pine Bluff Golden Lions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</si>
  <si>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Harry Turpin Stadium</t>
  </si>
  <si>
    <t>Natchitoches</t>
  </si>
  <si>
    <r>
      <rPr>
        <rFont val="Arial"/>
        <color rgb="FF202122"/>
        <sz val="10.0"/>
        <u/>
      </rPr>
      <t>Northwestern State Demons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</si>
  <si>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Hersheypark Stadium</t>
  </si>
  <si>
    <t>Hershey</t>
  </si>
  <si>
    <t>James R. Hallford Stadium</t>
  </si>
  <si>
    <t>Clarkston</t>
  </si>
  <si>
    <t>Jerry Richardson Stadium</t>
  </si>
  <si>
    <r>
      <rPr>
        <rFont val="Arial"/>
        <color rgb="FF202122"/>
        <sz val="10.0"/>
        <u/>
      </rPr>
      <t>Charlotte 49ers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</si>
  <si>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Stadium Bowl</t>
  </si>
  <si>
    <t>Tacoma</t>
  </si>
  <si>
    <t>Quigley Stadium</t>
  </si>
  <si>
    <t>Greenway Avenue Stadium</t>
  </si>
  <si>
    <t>J. Birney Crum Stadium</t>
  </si>
  <si>
    <t>Allentown</t>
  </si>
  <si>
    <t>Dick Bivins Stadium</t>
  </si>
  <si>
    <t>Amarillo</t>
  </si>
  <si>
    <t>Saluki Stadium</t>
  </si>
  <si>
    <t>Carbondale</t>
  </si>
  <si>
    <r>
      <rPr>
        <rFont val="Arial"/>
        <color rgb="FF202122"/>
        <sz val="10.0"/>
        <u/>
      </rPr>
      <t>Southern Illinois Salukis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</si>
  <si>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Sloan Park</t>
  </si>
  <si>
    <t>Mesa</t>
  </si>
  <si>
    <r>
      <rPr>
        <rFont val="Arial"/>
        <color rgb="FF202122"/>
        <sz val="10.0"/>
        <u/>
      </rPr>
      <t>Mesa Solar Sox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AFL</t>
    </r>
    <r>
      <rPr>
        <rFont val="Arial"/>
        <sz val="10.0"/>
      </rPr>
      <t>)</t>
    </r>
  </si>
  <si>
    <t>Panther Stadium at Blackshear Field</t>
  </si>
  <si>
    <t>Prairie View</t>
  </si>
  <si>
    <r>
      <rPr>
        <rFont val="Arial"/>
        <color rgb="FF202122"/>
        <sz val="10.0"/>
        <u/>
      </rPr>
      <t>Prairie View A&amp;M Panthers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</si>
  <si>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Homer Bryce Stadium</t>
  </si>
  <si>
    <t>Nacogdoches</t>
  </si>
  <si>
    <r>
      <rPr>
        <rFont val="Arial"/>
        <color rgb="FF202122"/>
        <sz val="10.0"/>
        <u/>
      </rPr>
      <t>Stephen F. Austin Lumberjacks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</si>
  <si>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Drake Stadium</t>
  </si>
  <si>
    <t>Des Moines</t>
  </si>
  <si>
    <r>
      <rPr>
        <rFont val="Arial"/>
        <color rgb="FF202122"/>
        <sz val="10.0"/>
        <u/>
      </rPr>
      <t>Drake Bulldogs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</si>
  <si>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Smith's Ballpark</t>
  </si>
  <si>
    <r>
      <rPr>
        <rFont val="Arial"/>
        <color rgb="FF202122"/>
        <sz val="10.0"/>
        <u/>
      </rPr>
      <t>Salt Lake Bees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PCL</t>
    </r>
    <r>
      <rPr>
        <rFont val="Arial"/>
        <sz val="10.0"/>
      </rPr>
      <t>)</t>
    </r>
  </si>
  <si>
    <t>Braly Municipal Stadium</t>
  </si>
  <si>
    <t>Florence</t>
  </si>
  <si>
    <r>
      <rPr>
        <rFont val="Arial"/>
        <color rgb="FF202122"/>
        <sz val="10.0"/>
        <u/>
      </rPr>
      <t>North Alabama Lions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</si>
  <si>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Louis Armstrong Stadium</t>
  </si>
  <si>
    <t>Bowers Stadium</t>
  </si>
  <si>
    <r>
      <rPr>
        <rFont val="Arial"/>
        <color rgb="FF202122"/>
        <sz val="10.0"/>
        <u/>
      </rPr>
      <t>Sam Houston Bearkats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</si>
  <si>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Rhodes Stadium</t>
  </si>
  <si>
    <t>Elon</t>
  </si>
  <si>
    <r>
      <rPr>
        <rFont val="Arial"/>
        <color rgb="FF202122"/>
        <sz val="10.0"/>
        <u/>
      </rPr>
      <t>Elon Phoenix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</si>
  <si>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Rochester Community Sports Complex Stadium</t>
  </si>
  <si>
    <t>Rochester</t>
  </si>
  <si>
    <r>
      <rPr>
        <rFont val="Arial"/>
        <color rgb="FF202122"/>
        <sz val="10.0"/>
        <u/>
      </rPr>
      <t>Flower City Union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NISA</t>
    </r>
    <r>
      <rPr>
        <rFont val="Arial"/>
        <sz val="10.0"/>
      </rPr>
      <t>)</t>
    </r>
  </si>
  <si>
    <t>Bob Waters Field at EJ Whitmire Stadium</t>
  </si>
  <si>
    <t>Cullowhee</t>
  </si>
  <si>
    <r>
      <rPr>
        <rFont val="Arial"/>
        <color rgb="FF202122"/>
        <sz val="10.0"/>
        <u/>
      </rPr>
      <t>Western Carolina Catamounts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</si>
  <si>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McAllen Veterans Memorial Stadium</t>
  </si>
  <si>
    <t>McAllen</t>
  </si>
  <si>
    <t>Innovative Field</t>
  </si>
  <si>
    <r>
      <rPr>
        <rFont val="Arial"/>
        <color rgb="FF202122"/>
        <sz val="10.0"/>
        <u/>
      </rPr>
      <t>Rochester Red Wings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IL</t>
    </r>
    <r>
      <rPr>
        <rFont val="Arial"/>
        <sz val="10.0"/>
      </rPr>
      <t>)</t>
    </r>
  </si>
  <si>
    <t>Hancock Stadium</t>
  </si>
  <si>
    <t>Normal</t>
  </si>
  <si>
    <r>
      <rPr>
        <rFont val="Arial"/>
        <color rgb="FF202122"/>
        <sz val="10.0"/>
        <u/>
      </rPr>
      <t>Illinois State Redbirds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</si>
  <si>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Fisher Stadium</t>
  </si>
  <si>
    <t>Easton</t>
  </si>
  <si>
    <r>
      <rPr>
        <rFont val="Arial"/>
        <color rgb="FF202122"/>
        <sz val="10.0"/>
        <u/>
      </rPr>
      <t>Lafayette Leopards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</si>
  <si>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Louisville Slugger Field</t>
  </si>
  <si>
    <r>
      <rPr>
        <rFont val="Arial"/>
        <color rgb="FF202122"/>
        <sz val="10.0"/>
        <u/>
      </rPr>
      <t>Louisville Bats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IL</t>
    </r>
    <r>
      <rPr>
        <rFont val="Arial"/>
        <sz val="10.0"/>
      </rPr>
      <t>)</t>
    </r>
  </si>
  <si>
    <t>Christy Mathewson–Memorial Stadium</t>
  </si>
  <si>
    <t>Lewisburg</t>
  </si>
  <si>
    <r>
      <rPr>
        <rFont val="Arial"/>
        <color rgb="FF202122"/>
        <sz val="10.0"/>
        <u/>
      </rPr>
      <t>Bucknell Bison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</si>
  <si>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Gibbs Stadium</t>
  </si>
  <si>
    <t>Spartanburg</t>
  </si>
  <si>
    <r>
      <rPr>
        <rFont val="Arial"/>
        <color rgb="FF202122"/>
        <sz val="10.0"/>
        <u/>
      </rPr>
      <t>Wofford Terriers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</si>
  <si>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Camelback Ranch</t>
  </si>
  <si>
    <r>
      <rPr>
        <rFont val="Arial"/>
        <color rgb="FF202122"/>
        <sz val="10.0"/>
        <u/>
      </rPr>
      <t>Glendale Desert Dogs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AFL</t>
    </r>
    <r>
      <rPr>
        <rFont val="Arial"/>
        <sz val="10.0"/>
      </rPr>
      <t>)</t>
    </r>
  </si>
  <si>
    <t>Terre Haute</t>
  </si>
  <si>
    <r>
      <rPr>
        <rFont val="Arial"/>
        <color rgb="FF202122"/>
        <sz val="10.0"/>
        <u/>
      </rPr>
      <t>Indiana State Sycamores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</si>
  <si>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Pasadena Memorial Stadium</t>
  </si>
  <si>
    <t>Zable Stadium</t>
  </si>
  <si>
    <t>Williamsburg</t>
  </si>
  <si>
    <r>
      <rPr>
        <rFont val="Arial"/>
        <color rgb="FF202122"/>
        <sz val="10.0"/>
        <u/>
      </rPr>
      <t>William &amp; Mary Tribe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</si>
  <si>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Hayward Field</t>
  </si>
  <si>
    <t>Track and Field</t>
  </si>
  <si>
    <r>
      <rPr>
        <rFont val="Arial"/>
        <color rgb="FF202122"/>
        <sz val="10.0"/>
        <u/>
      </rPr>
      <t>Oregon Ducks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</si>
  <si>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Villanova Stadium</t>
  </si>
  <si>
    <t>Villanova</t>
  </si>
  <si>
    <t>Field lacrosse, football</t>
  </si>
  <si>
    <r>
      <rPr>
        <rFont val="Arial"/>
        <color rgb="FF202122"/>
        <sz val="10.0"/>
        <u/>
      </rPr>
      <t>Villanova Wildcats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</si>
  <si>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Pennington Field</t>
  </si>
  <si>
    <t>Bedford</t>
  </si>
  <si>
    <t>Joy and Ralph Ellis Stadium</t>
  </si>
  <si>
    <t>Irving</t>
  </si>
  <si>
    <t>Juan Ramón Loubriel Stadium</t>
  </si>
  <si>
    <t>Bayamón</t>
  </si>
  <si>
    <t>Bayamón Fútbol Club</t>
  </si>
  <si>
    <t>Kenneth P. LaValle Stadium</t>
  </si>
  <si>
    <t>Stony Brook</t>
  </si>
  <si>
    <r>
      <rPr>
        <rFont val="Arial"/>
        <color rgb="FF202122"/>
        <sz val="10.0"/>
        <u/>
      </rPr>
      <t>Stony Brook Seawolves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</si>
  <si>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Alerus Center</t>
  </si>
  <si>
    <t>Grand Forks</t>
  </si>
  <si>
    <r>
      <rPr>
        <rFont val="Arial"/>
        <color rgb="FF202122"/>
        <sz val="10.0"/>
        <u/>
      </rPr>
      <t>North Dakota Fighting Hawks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</si>
  <si>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Victory Field</t>
  </si>
  <si>
    <r>
      <rPr>
        <rFont val="Arial"/>
        <color rgb="FF202122"/>
        <sz val="10.0"/>
        <u/>
      </rPr>
      <t>Indianapolis Indians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IL</t>
    </r>
    <r>
      <rPr>
        <rFont val="Arial"/>
        <sz val="10.0"/>
      </rPr>
      <t>)</t>
    </r>
  </si>
  <si>
    <t>Wheeling Island Stadium</t>
  </si>
  <si>
    <t>Wheeling</t>
  </si>
  <si>
    <t>Mayagüez Athletics Stadium</t>
  </si>
  <si>
    <t>Mayagüez</t>
  </si>
  <si>
    <t>Puerto Rico Sol FC</t>
  </si>
  <si>
    <t>Swayze Field</t>
  </si>
  <si>
    <r>
      <rPr>
        <rFont val="Arial"/>
        <color rgb="FF202122"/>
        <sz val="10.0"/>
        <u/>
      </rPr>
      <t>Ole Miss Rebels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</si>
  <si>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The Diamond</t>
  </si>
  <si>
    <r>
      <rPr>
        <rFont val="Arial"/>
        <color rgb="FF202122"/>
        <sz val="10.0"/>
        <u/>
      </rPr>
      <t>Richmond Flying Squirrels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Eastern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VCU Rams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</si>
  <si>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IU Michael A. Carroll Track &amp; Soccer Stadium</t>
  </si>
  <si>
    <r>
      <rPr>
        <rFont val="Arial"/>
        <color rgb="FF202122"/>
        <sz val="10.0"/>
        <u/>
      </rPr>
      <t>Indy Eleven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USL Championship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IUPUI Jaguars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</si>
  <si>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Harbor Park</t>
  </si>
  <si>
    <r>
      <rPr>
        <rFont val="Arial"/>
        <color rgb="FF202122"/>
        <sz val="10.0"/>
        <u/>
      </rPr>
      <t>Norfolk Tides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IL</t>
    </r>
    <r>
      <rPr>
        <rFont val="Arial"/>
        <sz val="10.0"/>
      </rPr>
      <t>)</t>
    </r>
  </si>
  <si>
    <t>Armstrong Stadium</t>
  </si>
  <si>
    <t>Hampton</t>
  </si>
  <si>
    <r>
      <rPr>
        <rFont val="Arial"/>
        <color rgb="FF202122"/>
        <sz val="10.0"/>
        <u/>
      </rPr>
      <t>Hampton Pirates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</si>
  <si>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Seattle Cascades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AUDL</t>
    </r>
    <r>
      <rPr>
        <rFont val="Arial"/>
        <sz val="10.0"/>
      </rPr>
      <t>)</t>
    </r>
  </si>
  <si>
    <t>John F. Kennedy Stadium</t>
  </si>
  <si>
    <t>Bridgeport</t>
  </si>
  <si>
    <t>ICCU Dome</t>
  </si>
  <si>
    <t>Pocatello</t>
  </si>
  <si>
    <r>
      <rPr>
        <rFont val="Arial"/>
        <color rgb="FF202122"/>
        <sz val="10.0"/>
        <u/>
      </rPr>
      <t>Idaho State Bengals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</si>
  <si>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Scottsdale Stadium</t>
  </si>
  <si>
    <t>Scottsdale</t>
  </si>
  <si>
    <r>
      <rPr>
        <rFont val="Arial"/>
        <color rgb="FF202122"/>
        <sz val="10.0"/>
        <u/>
      </rPr>
      <t>Scottsdale Scorpions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AFL</t>
    </r>
    <r>
      <rPr>
        <rFont val="Arial"/>
        <sz val="10.0"/>
      </rPr>
      <t>)</t>
    </r>
  </si>
  <si>
    <t>CH Collins Stadium</t>
  </si>
  <si>
    <t>Ford Center</t>
  </si>
  <si>
    <t>Anthony Field at Wildcat Stadium</t>
  </si>
  <si>
    <t>Abilene</t>
  </si>
  <si>
    <r>
      <rPr>
        <rFont val="Arial"/>
        <color rgb="FF202122"/>
        <sz val="10.0"/>
        <u/>
      </rPr>
      <t>Abilene Christian Wildcats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</si>
  <si>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James M. Shuart Stadium</t>
  </si>
  <si>
    <t>Hempstead</t>
  </si>
  <si>
    <t>Lynn Family Stadium</t>
  </si>
  <si>
    <r>
      <rPr>
        <rFont val="Arial"/>
        <color rgb="FF202122"/>
        <sz val="10.0"/>
        <u/>
      </rPr>
      <t>Louisville City FC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USL Championship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Racing Louisville FC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NWSL</t>
    </r>
    <r>
      <rPr>
        <rFont val="Arial"/>
        <sz val="10.0"/>
      </rPr>
      <t>)</t>
    </r>
  </si>
  <si>
    <t>Dell Diamond</t>
  </si>
  <si>
    <t>Round Rock</t>
  </si>
  <si>
    <r>
      <rPr>
        <rFont val="Arial"/>
        <color rgb="FF202122"/>
        <sz val="10.0"/>
        <u/>
      </rPr>
      <t>Round Rock Express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PCL</t>
    </r>
    <r>
      <rPr>
        <rFont val="Arial"/>
        <sz val="10.0"/>
      </rPr>
      <t>)</t>
    </r>
  </si>
  <si>
    <t>Ernest Hawkins Field at Memorial Stadium</t>
  </si>
  <si>
    <t>Commerce</t>
  </si>
  <si>
    <r>
      <rPr>
        <rFont val="Arial"/>
        <color rgb="FF202122"/>
        <sz val="10.0"/>
        <u/>
      </rPr>
      <t>Texas A&amp;M–Commerce Lions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</si>
  <si>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Heart Health Park</t>
  </si>
  <si>
    <r>
      <rPr>
        <rFont val="Arial"/>
        <color rgb="FF202122"/>
        <sz val="10.0"/>
        <u/>
      </rPr>
      <t>Sacramento Republic FC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USL Championship</t>
    </r>
    <r>
      <rPr>
        <rFont val="Arial"/>
        <sz val="10.0"/>
      </rPr>
      <t>)</t>
    </r>
  </si>
  <si>
    <t>Principal Park</t>
  </si>
  <si>
    <r>
      <rPr>
        <rFont val="Arial"/>
        <color rgb="FF202122"/>
        <sz val="10.0"/>
        <u/>
      </rPr>
      <t>Iowa Cubs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IL</t>
    </r>
    <r>
      <rPr>
        <rFont val="Arial"/>
        <sz val="10.0"/>
      </rPr>
      <t>)</t>
    </r>
  </si>
  <si>
    <t>Kino Sports Complex</t>
  </si>
  <si>
    <r>
      <rPr>
        <rFont val="Arial"/>
        <color rgb="FF202122"/>
        <sz val="10.0"/>
        <u/>
      </rPr>
      <t>Tucson Saguaros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Pecos</t>
    </r>
    <r>
      <rPr>
        <rFont val="Arial"/>
        <sz val="10.0"/>
      </rPr>
      <t>)</t>
    </r>
  </si>
  <si>
    <t>Center Court</t>
  </si>
  <si>
    <t>Mason</t>
  </si>
  <si>
    <t>Johnson Hagood Stadium</t>
  </si>
  <si>
    <r>
      <rPr>
        <rFont val="Arial"/>
        <color rgb="FF202122"/>
        <sz val="10.0"/>
        <u/>
      </rPr>
      <t>The Citadel Bulldogs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</si>
  <si>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Peoria Sports Complex</t>
  </si>
  <si>
    <t>Peoria</t>
  </si>
  <si>
    <r>
      <rPr>
        <rFont val="Arial"/>
        <color rgb="FF202122"/>
        <sz val="10.0"/>
        <u/>
      </rPr>
      <t>Peoria Javelinas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AFL</t>
    </r>
    <r>
      <rPr>
        <rFont val="Arial"/>
        <sz val="10.0"/>
      </rPr>
      <t>)</t>
    </r>
  </si>
  <si>
    <t>Walkup Skydome</t>
  </si>
  <si>
    <t>Flagstaff</t>
  </si>
  <si>
    <r>
      <rPr>
        <rFont val="Arial"/>
        <color rgb="FF202122"/>
        <sz val="10.0"/>
        <u/>
      </rPr>
      <t>Northern Arizona Lumberjacks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</si>
  <si>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Johnny Unitas Stadium</t>
  </si>
  <si>
    <t>Towson</t>
  </si>
  <si>
    <r>
      <rPr>
        <rFont val="Arial"/>
        <color rgb="FF202122"/>
        <sz val="10.0"/>
        <u/>
      </rPr>
      <t>Towson Tigers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</si>
  <si>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Isotopes Park</t>
  </si>
  <si>
    <r>
      <rPr>
        <rFont val="Arial"/>
        <color rgb="FF202122"/>
        <sz val="10.0"/>
        <u/>
      </rPr>
      <t>Albuquerque Isotopes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PCL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New Mexico United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USL Championship</t>
    </r>
    <r>
      <rPr>
        <rFont val="Arial"/>
        <sz val="10.0"/>
      </rPr>
      <t>)</t>
    </r>
  </si>
  <si>
    <t>Alex G. Spanos Stadium</t>
  </si>
  <si>
    <t>San Luis Obispo</t>
  </si>
  <si>
    <r>
      <rPr>
        <rFont val="Arial"/>
        <color rgb="FF202122"/>
        <sz val="10.0"/>
        <u/>
      </rPr>
      <t>Cal Poly Mustangs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</si>
  <si>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George M. Steinbrenner Field</t>
  </si>
  <si>
    <r>
      <rPr>
        <rFont val="Arial"/>
        <color rgb="FF202122"/>
        <sz val="10.0"/>
        <u/>
      </rPr>
      <t>Tampa Tarpons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FSL</t>
    </r>
    <r>
      <rPr>
        <rFont val="Arial"/>
        <sz val="10.0"/>
      </rPr>
      <t>)</t>
    </r>
  </si>
  <si>
    <t>Wildcat Stadium</t>
  </si>
  <si>
    <t>New Hampshire</t>
  </si>
  <si>
    <r>
      <rPr>
        <rFont val="Arial"/>
        <color rgb="FF202122"/>
        <sz val="10.0"/>
        <u/>
      </rPr>
      <t>New Hampshire Wildcats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</si>
  <si>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Memorial Field</t>
  </si>
  <si>
    <t>Hanover</t>
  </si>
  <si>
    <r>
      <rPr>
        <rFont val="Arial"/>
        <color rgb="FF202122"/>
        <sz val="10.0"/>
        <u/>
      </rPr>
      <t>Dartmouth Big Green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</si>
  <si>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Atwood Stadium</t>
  </si>
  <si>
    <t>Flint</t>
  </si>
  <si>
    <r>
      <rPr>
        <rFont val="Arial"/>
        <color rgb="FF202122"/>
        <sz val="10.0"/>
        <u/>
      </rPr>
      <t>Flint City Bucks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USL League Two</t>
    </r>
    <r>
      <rPr>
        <rFont val="Arial"/>
        <sz val="10.0"/>
      </rPr>
      <t>)</t>
    </r>
  </si>
  <si>
    <t>Welcome Stadium</t>
  </si>
  <si>
    <t>Dayton</t>
  </si>
  <si>
    <r>
      <rPr>
        <rFont val="Arial"/>
        <color rgb="FF202122"/>
        <sz val="10.0"/>
        <u/>
      </rPr>
      <t>Dayton Flyers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</si>
  <si>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121 Financial Ballpark</t>
  </si>
  <si>
    <r>
      <rPr>
        <rFont val="Arial"/>
        <color rgb="FF202122"/>
        <sz val="10.0"/>
        <u/>
      </rPr>
      <t>Jacksonville Jumbo Shrimp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IL</t>
    </r>
    <r>
      <rPr>
        <rFont val="Arial"/>
        <sz val="10.0"/>
      </rPr>
      <t>)</t>
    </r>
  </si>
  <si>
    <t>Salt River Fields at Talking Stick</t>
  </si>
  <si>
    <r>
      <rPr>
        <rFont val="Arial"/>
        <color rgb="FF202122"/>
        <sz val="10.0"/>
        <u/>
      </rPr>
      <t>Salt River Rafters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AFL</t>
    </r>
    <r>
      <rPr>
        <rFont val="Arial"/>
        <sz val="10.0"/>
      </rPr>
      <t>)</t>
    </r>
  </si>
  <si>
    <t>Cy-Fair FCU Stadium</t>
  </si>
  <si>
    <t>Cypress</t>
  </si>
  <si>
    <t>NBT Bank Stadium</t>
  </si>
  <si>
    <r>
      <rPr>
        <rFont val="Arial"/>
        <color rgb="FF202122"/>
        <sz val="10.0"/>
        <u/>
      </rPr>
      <t>Syracuse Mets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IL</t>
    </r>
    <r>
      <rPr>
        <rFont val="Arial"/>
        <sz val="10.0"/>
      </rPr>
      <t>)</t>
    </r>
  </si>
  <si>
    <t>UC Davis Health Stadium</t>
  </si>
  <si>
    <t>Davis</t>
  </si>
  <si>
    <r>
      <rPr>
        <rFont val="Arial"/>
        <color rgb="FF202122"/>
        <sz val="10.0"/>
        <u/>
      </rPr>
      <t>UC Davis Aggies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</si>
  <si>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Baum–Walker Stadium</t>
  </si>
  <si>
    <r>
      <rPr>
        <rFont val="Arial"/>
        <color rgb="FF202122"/>
        <sz val="10.0"/>
        <u/>
      </rPr>
      <t>Arkansas Razorbacks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</si>
  <si>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Surprise Stadium</t>
  </si>
  <si>
    <t>Surprise</t>
  </si>
  <si>
    <r>
      <rPr>
        <rFont val="Arial"/>
        <color rgb="FF202122"/>
        <sz val="10.0"/>
        <u/>
      </rPr>
      <t>Surprise Saguaros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AFL</t>
    </r>
    <r>
      <rPr>
        <rFont val="Arial"/>
        <sz val="10.0"/>
      </rPr>
      <t>)</t>
    </r>
  </si>
  <si>
    <t>Chukchansi Park</t>
  </si>
  <si>
    <r>
      <rPr>
        <rFont val="Arial"/>
        <color rgb="FF202122"/>
        <sz val="10.0"/>
        <u/>
      </rPr>
      <t>Fresno Grizzlies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CL</t>
    </r>
    <r>
      <rPr>
        <rFont val="Arial"/>
        <sz val="10.0"/>
      </rPr>
      <t>)</t>
    </r>
  </si>
  <si>
    <t>Sutter Health Park</t>
  </si>
  <si>
    <r>
      <rPr>
        <rFont val="Arial"/>
        <color rgb="FF202122"/>
        <sz val="10.0"/>
        <u/>
      </rPr>
      <t>Sacramento River Cats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PCL</t>
    </r>
    <r>
      <rPr>
        <rFont val="Arial"/>
        <sz val="10.0"/>
      </rPr>
      <t>)</t>
    </r>
  </si>
  <si>
    <t>American Legion Memorial Stadium</t>
  </si>
  <si>
    <r>
      <rPr>
        <rFont val="Arial"/>
        <color rgb="FF202122"/>
        <sz val="10.0"/>
        <u/>
      </rPr>
      <t>Anthem Rugby Carolina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Major League Rugby</t>
    </r>
    <r>
      <rPr>
        <rFont val="Arial"/>
        <sz val="10.0"/>
      </rPr>
      <t xml:space="preserve">), </t>
    </r>
    <r>
      <rPr>
        <rFont val="Arial"/>
        <color rgb="FF202122"/>
        <sz val="10.0"/>
        <u/>
      </rPr>
      <t>Charlotte Independence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USL League One</t>
    </r>
    <r>
      <rPr>
        <rFont val="Arial"/>
        <sz val="10.0"/>
      </rPr>
      <t>)</t>
    </r>
  </si>
  <si>
    <t>Manning Field at John L. Guidry Stadium</t>
  </si>
  <si>
    <t>Thibodaux</t>
  </si>
  <si>
    <r>
      <rPr>
        <rFont val="Arial"/>
        <color rgb="FF202122"/>
        <sz val="10.0"/>
        <u/>
      </rPr>
      <t>Nicholls Colonels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</si>
  <si>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Greater Zion Stadium</t>
  </si>
  <si>
    <t>St. George</t>
  </si>
  <si>
    <r>
      <rPr>
        <rFont val="Arial"/>
        <color rgb="FF202122"/>
        <sz val="10.0"/>
        <u/>
      </rPr>
      <t>Utah Tech Trailblazers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</si>
  <si>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Hohokam Stadium</t>
  </si>
  <si>
    <t>Lubbers Stadium</t>
  </si>
  <si>
    <t>Allendale</t>
  </si>
  <si>
    <r>
      <rPr>
        <rFont val="Arial"/>
        <color rgb="FF202122"/>
        <sz val="10.0"/>
        <u/>
      </rPr>
      <t>Grand Valley State Lakers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</si>
  <si>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Coolray Field</t>
  </si>
  <si>
    <t>Lawrenceville</t>
  </si>
  <si>
    <r>
      <rPr>
        <rFont val="Arial"/>
        <color rgb="FF202122"/>
        <sz val="10.0"/>
        <u/>
      </rPr>
      <t>Gwinnett Stripers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IL</t>
    </r>
    <r>
      <rPr>
        <rFont val="Arial"/>
        <sz val="10.0"/>
      </rPr>
      <t>)</t>
    </r>
  </si>
  <si>
    <t>Alex Box Stadium</t>
  </si>
  <si>
    <r>
      <rPr>
        <rFont val="Arial"/>
        <color rgb="FF202122"/>
        <sz val="10.0"/>
        <u/>
      </rPr>
      <t>LSU Tigers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</si>
  <si>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Crown Field at Andy Kerr Stadium</t>
  </si>
  <si>
    <t>Hamilton</t>
  </si>
  <si>
    <t>Football, field lacrosse</t>
  </si>
  <si>
    <r>
      <rPr>
        <rFont val="Arial"/>
        <color rgb="FF202122"/>
        <sz val="10.0"/>
        <u/>
      </rPr>
      <t>Colgate Raiders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</si>
  <si>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Credit One Stadium</t>
  </si>
  <si>
    <r>
      <rPr>
        <rFont val="Arial"/>
        <color rgb="FF202122"/>
        <sz val="10.0"/>
        <u/>
      </rPr>
      <t>Charlotte Knights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IL</t>
    </r>
    <r>
      <rPr>
        <rFont val="Arial"/>
        <sz val="10.0"/>
      </rPr>
      <t>)</t>
    </r>
  </si>
  <si>
    <t>Five Star Stadium</t>
  </si>
  <si>
    <t>Macon</t>
  </si>
  <si>
    <r>
      <rPr>
        <rFont val="Arial"/>
        <color rgb="FF202122"/>
        <sz val="10.0"/>
        <u/>
      </rPr>
      <t>Mercer Bears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</si>
  <si>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Huntington Park</t>
  </si>
  <si>
    <r>
      <rPr>
        <rFont val="Arial"/>
        <color rgb="FF202122"/>
        <sz val="10.0"/>
        <u/>
      </rPr>
      <t>Columbus Clippers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IL</t>
    </r>
    <r>
      <rPr>
        <rFont val="Arial"/>
        <sz val="10.0"/>
      </rPr>
      <t>)</t>
    </r>
  </si>
  <si>
    <t>Riverfront Stadium</t>
  </si>
  <si>
    <t>Wichita</t>
  </si>
  <si>
    <r>
      <rPr>
        <rFont val="Arial"/>
        <color rgb="FF202122"/>
        <sz val="10.0"/>
        <u/>
      </rPr>
      <t>Wichita Wind Surge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Texas</t>
    </r>
    <r>
      <rPr>
        <rFont val="Arial"/>
        <sz val="10.0"/>
      </rPr>
      <t>)</t>
    </r>
  </si>
  <si>
    <t>Tiger Stadium</t>
  </si>
  <si>
    <t>Corsicana</t>
  </si>
  <si>
    <t>William H. Greene Stadium</t>
  </si>
  <si>
    <r>
      <rPr>
        <rFont val="Arial"/>
        <color rgb="FF202122"/>
        <sz val="10.0"/>
        <u/>
      </rPr>
      <t>Howard Bison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</si>
  <si>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Mitchell Stadium</t>
  </si>
  <si>
    <t>Bluefield</t>
  </si>
  <si>
    <t>Howard J. Lamade Stadium</t>
  </si>
  <si>
    <t>South Williamsport</t>
  </si>
  <si>
    <t>Little League World Series</t>
  </si>
  <si>
    <r>
      <rPr>
        <rFont val="Arial"/>
        <color rgb="FF202122"/>
        <sz val="10.0"/>
        <u/>
      </rPr>
      <t>Morgan State Bears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</si>
  <si>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Estes Stadium</t>
  </si>
  <si>
    <r>
      <rPr>
        <rFont val="Arial"/>
        <color rgb="FF202122"/>
        <sz val="10.0"/>
        <u/>
      </rPr>
      <t>Central Arkansas Bears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</si>
  <si>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Fortera Stadium</t>
  </si>
  <si>
    <t>Clarksville</t>
  </si>
  <si>
    <r>
      <rPr>
        <rFont val="Arial"/>
        <color rgb="FF202122"/>
        <sz val="10.0"/>
        <u/>
      </rPr>
      <t>Austin Peay Governors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</si>
  <si>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Alfond Stadium</t>
  </si>
  <si>
    <t>Orono</t>
  </si>
  <si>
    <t>Maine</t>
  </si>
  <si>
    <r>
      <rPr>
        <rFont val="Arial"/>
        <color rgb="FF202122"/>
        <sz val="10.0"/>
        <u/>
      </rPr>
      <t>Maine Black Bears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</si>
  <si>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FirstEnergy Stadium</t>
  </si>
  <si>
    <t>Reading</t>
  </si>
  <si>
    <r>
      <rPr>
        <rFont val="Arial"/>
        <color rgb="FF202122"/>
        <sz val="10.0"/>
        <u/>
      </rPr>
      <t>Reading Fightin Phils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Eastern</t>
    </r>
    <r>
      <rPr>
        <rFont val="Arial"/>
        <sz val="10.0"/>
      </rPr>
      <t>)</t>
    </r>
  </si>
  <si>
    <t>Howard Wood Field</t>
  </si>
  <si>
    <t>Sioux Falls</t>
  </si>
  <si>
    <t>Rice–Totten Stadium</t>
  </si>
  <si>
    <t>Itta Bena</t>
  </si>
  <si>
    <r>
      <rPr>
        <rFont val="Arial"/>
        <color rgb="FF202122"/>
        <sz val="10.0"/>
        <u/>
      </rPr>
      <t>Mississippi Valley State Delta Devils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</si>
  <si>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Alumni Memorial Field</t>
  </si>
  <si>
    <r>
      <rPr>
        <rFont val="Arial"/>
        <color rgb="FF202122"/>
        <sz val="10.0"/>
        <u/>
      </rPr>
      <t>VMI Keydets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</si>
  <si>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Jayne Stadium</t>
  </si>
  <si>
    <t>Morehead</t>
  </si>
  <si>
    <r>
      <rPr>
        <rFont val="Arial"/>
        <color rgb="FF202122"/>
        <sz val="10.0"/>
        <u/>
      </rPr>
      <t>Morehead State Eagles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</si>
  <si>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O'Brien Field</t>
  </si>
  <si>
    <r>
      <rPr>
        <rFont val="Arial"/>
        <color rgb="FF202122"/>
        <sz val="10.0"/>
        <u/>
      </rPr>
      <t>Eastern Illinois Panthers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</si>
  <si>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O'Kelly–Riddick Stadium</t>
  </si>
  <si>
    <r>
      <rPr>
        <rFont val="Arial"/>
        <color rgb="FF202122"/>
        <sz val="10.0"/>
        <u/>
      </rPr>
      <t>North Carolina Central Eagles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</si>
  <si>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PNC Field</t>
  </si>
  <si>
    <t>Moosic</t>
  </si>
  <si>
    <r>
      <rPr>
        <rFont val="Arial"/>
        <color rgb="FF202122"/>
        <sz val="10.0"/>
        <u/>
      </rPr>
      <t>Scranton/Wilkes-Barre RailRiders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IL</t>
    </r>
    <r>
      <rPr>
        <rFont val="Arial"/>
        <sz val="10.0"/>
      </rPr>
      <t>)</t>
    </r>
  </si>
  <si>
    <t>Northwestern Medicine Field</t>
  </si>
  <si>
    <t>Geneva</t>
  </si>
  <si>
    <r>
      <rPr>
        <rFont val="Arial"/>
        <color rgb="FF202122"/>
        <sz val="10.0"/>
        <u/>
      </rPr>
      <t>Kane County Cougars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American Association</t>
    </r>
    <r>
      <rPr>
        <rFont val="Arial"/>
        <sz val="10.0"/>
      </rPr>
      <t>)</t>
    </r>
  </si>
  <si>
    <t>Prince George's Stadium</t>
  </si>
  <si>
    <t>Bowie</t>
  </si>
  <si>
    <r>
      <rPr>
        <rFont val="Arial"/>
        <color rgb="FF202122"/>
        <sz val="10.0"/>
        <u/>
      </rPr>
      <t>Bowie Baysox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Eastern</t>
    </r>
    <r>
      <rPr>
        <rFont val="Arial"/>
        <sz val="10.0"/>
      </rPr>
      <t>)</t>
    </r>
  </si>
  <si>
    <t>Durham Bulls Athletic Park</t>
  </si>
  <si>
    <r>
      <rPr>
        <rFont val="Arial"/>
        <color rgb="FF202122"/>
        <sz val="10.0"/>
        <u/>
      </rPr>
      <t>Durham Bulls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IL</t>
    </r>
    <r>
      <rPr>
        <rFont val="Arial"/>
        <sz val="10.0"/>
      </rPr>
      <t>)</t>
    </r>
  </si>
  <si>
    <t>Gold Mine on Airline</t>
  </si>
  <si>
    <t>Metairie</t>
  </si>
  <si>
    <r>
      <rPr>
        <rFont val="Arial"/>
        <color rgb="FF202122"/>
        <sz val="10.0"/>
        <u/>
      </rPr>
      <t>New Orleans Gold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MLR</t>
    </r>
    <r>
      <rPr>
        <rFont val="Arial"/>
        <sz val="10.0"/>
      </rPr>
      <t>)</t>
    </r>
  </si>
  <si>
    <t>American Family Fields of Phoenix</t>
  </si>
  <si>
    <t>Autozone Park</t>
  </si>
  <si>
    <t>Baseball, Soccer</t>
  </si>
  <si>
    <r>
      <rPr>
        <rFont val="Arial"/>
        <color rgb="FF202122"/>
        <sz val="10.0"/>
        <u/>
      </rPr>
      <t>Memphis Redbirds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Memphis 901 FC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USL Championship</t>
    </r>
    <r>
      <rPr>
        <rFont val="Arial"/>
        <sz val="10.0"/>
      </rPr>
      <t>)</t>
    </r>
  </si>
  <si>
    <t>WakeMed Soccer Park</t>
  </si>
  <si>
    <t>Cary</t>
  </si>
  <si>
    <r>
      <rPr>
        <rFont val="Arial"/>
        <color rgb="FF202122"/>
        <sz val="10.0"/>
        <u/>
      </rPr>
      <t>North Carolina Courage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NWSL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North Carolina FC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USL League One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Carolina Flyers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AUDL</t>
    </r>
    <r>
      <rPr>
        <rFont val="Arial"/>
        <sz val="10.0"/>
      </rPr>
      <t>)</t>
    </r>
  </si>
  <si>
    <t>First Horizon Park</t>
  </si>
  <si>
    <r>
      <rPr>
        <rFont val="Arial"/>
        <color rgb="FF202122"/>
        <sz val="10.0"/>
        <u/>
      </rPr>
      <t>Nashville Sounds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IL</t>
    </r>
    <r>
      <rPr>
        <rFont val="Arial"/>
        <sz val="10.0"/>
      </rPr>
      <t>)</t>
    </r>
  </si>
  <si>
    <t>Wild Horse Pass Stadium</t>
  </si>
  <si>
    <t>Chandler</t>
  </si>
  <si>
    <r>
      <rPr>
        <rFont val="Arial"/>
        <color rgb="FF202122"/>
        <sz val="10.0"/>
        <u/>
      </rPr>
      <t>Phoenix Rising FC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USL Championship</t>
    </r>
    <r>
      <rPr>
        <rFont val="Arial"/>
        <sz val="10.0"/>
      </rPr>
      <t>)</t>
    </r>
  </si>
  <si>
    <t>Jerry Comalander Stadium</t>
  </si>
  <si>
    <r>
      <rPr>
        <rFont val="Arial"/>
        <color rgb="FF202122"/>
        <sz val="10.0"/>
        <u/>
      </rPr>
      <t>Rip Hewes Stadium</t>
    </r>
    <r>
      <rPr>
        <rFont val="Arial"/>
        <sz val="10.0"/>
      </rPr>
      <t>[</t>
    </r>
    <r>
      <rPr>
        <rFont val="Arial"/>
        <color rgb="FF202122"/>
        <sz val="10.0"/>
        <u/>
      </rPr>
      <t>citation needed</t>
    </r>
    <r>
      <rPr>
        <rFont val="Arial"/>
        <sz val="10.0"/>
      </rPr>
      <t>]</t>
    </r>
  </si>
  <si>
    <t>Dothan</t>
  </si>
  <si>
    <t>multipurpose</t>
  </si>
  <si>
    <t>Withington Stadium</t>
  </si>
  <si>
    <t>Kingston Stadium</t>
  </si>
  <si>
    <t>Cedar Rapids</t>
  </si>
  <si>
    <t>Suplizio Field</t>
  </si>
  <si>
    <t>Grand Junction</t>
  </si>
  <si>
    <r>
      <rPr>
        <rFont val="Arial"/>
        <color rgb="FF202122"/>
        <sz val="10.0"/>
        <u/>
      </rPr>
      <t>Grand Junction Jackalopes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Pioneer</t>
    </r>
    <r>
      <rPr>
        <rFont val="Arial"/>
        <sz val="10.0"/>
      </rPr>
      <t>)</t>
    </r>
  </si>
  <si>
    <t>Houck Stadium</t>
  </si>
  <si>
    <t>Cape Girardeau</t>
  </si>
  <si>
    <r>
      <rPr>
        <rFont val="Arial"/>
        <color rgb="FF202122"/>
        <sz val="10.0"/>
        <u/>
      </rPr>
      <t>Southeast Missouri State Redhawks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</si>
  <si>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LMCU Ballpark</t>
  </si>
  <si>
    <t>Comstock Park</t>
  </si>
  <si>
    <r>
      <rPr>
        <rFont val="Arial"/>
        <color rgb="FF202122"/>
        <sz val="10.0"/>
        <u/>
      </rPr>
      <t>West Michigan Whitecaps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Midwest League</t>
    </r>
    <r>
      <rPr>
        <rFont val="Arial"/>
        <sz val="10.0"/>
      </rPr>
      <t>)</t>
    </r>
  </si>
  <si>
    <t>Golden Wave Stadium</t>
  </si>
  <si>
    <t>Tupelo</t>
  </si>
  <si>
    <t>Tupelo Golden Wave</t>
  </si>
  <si>
    <t>This is assuming one event per month, 12 per year per stadium.</t>
  </si>
  <si>
    <t>NFL Home games = approx 8 or 9</t>
  </si>
  <si>
    <t>Major League Baseball = 81 games</t>
  </si>
  <si>
    <t>List doesn't include indoor arenas (NBA/NHL &amp; other)</t>
  </si>
  <si>
    <t>Calc doesn't include playoff games in NFL/MLB totals</t>
  </si>
  <si>
    <t>Arenas</t>
  </si>
  <si>
    <t>List of largest municipal and privately owned arenas in the United States by seating capacity</t>
  </si>
  <si>
    <r>
      <rPr>
        <rFont val="Arial"/>
        <color rgb="FF202122"/>
        <sz val="10.0"/>
      </rPr>
      <t xml:space="preserve">This is a list of </t>
    </r>
    <r>
      <rPr>
        <rFont val="Arial"/>
        <color rgb="FF202122"/>
        <sz val="10.0"/>
        <u/>
      </rPr>
      <t>seating capacities</t>
    </r>
    <r>
      <rPr>
        <rFont val="Arial"/>
        <color rgb="FF202122"/>
        <sz val="10.0"/>
      </rPr>
      <t xml:space="preserve"> for sports and entertainment arenas in the United States with at least 1,000 seats. The list is composed mostly of arenas that house sports teams (</t>
    </r>
    <r>
      <rPr>
        <rFont val="Arial"/>
        <color rgb="FF202122"/>
        <sz val="10.0"/>
        <u/>
      </rPr>
      <t>basketball</t>
    </r>
    <r>
      <rPr>
        <rFont val="Arial"/>
        <color rgb="FF202122"/>
        <sz val="10.0"/>
      </rPr>
      <t xml:space="preserve">, </t>
    </r>
    <r>
      <rPr>
        <rFont val="Arial"/>
        <color rgb="FF202122"/>
        <sz val="10.0"/>
        <u/>
      </rPr>
      <t>ice hockey</t>
    </r>
    <r>
      <rPr>
        <rFont val="Arial"/>
        <color rgb="FF202122"/>
        <sz val="10.0"/>
      </rPr>
      <t xml:space="preserve">, </t>
    </r>
    <r>
      <rPr>
        <rFont val="Arial"/>
        <color rgb="FF202122"/>
        <sz val="10.0"/>
        <u/>
      </rPr>
      <t>arena soccer</t>
    </r>
    <r>
      <rPr>
        <rFont val="Arial"/>
        <color rgb="FF202122"/>
        <sz val="10.0"/>
      </rPr>
      <t xml:space="preserve"> and </t>
    </r>
    <r>
      <rPr>
        <rFont val="Arial"/>
        <color rgb="FF202122"/>
        <sz val="10.0"/>
        <u/>
      </rPr>
      <t>arena football</t>
    </r>
    <r>
      <rPr>
        <rFont val="Arial"/>
        <color rgb="FF202122"/>
        <sz val="10.0"/>
      </rPr>
      <t xml:space="preserve">) </t>
    </r>
  </si>
  <si>
    <r>
      <rPr>
        <rFont val="Arial"/>
        <color rgb="FF202122"/>
        <sz val="10.0"/>
      </rPr>
      <t xml:space="preserve">and serve as indoor </t>
    </r>
    <r>
      <rPr>
        <rFont val="Arial"/>
        <color rgb="FF202122"/>
        <sz val="10.0"/>
        <u/>
      </rPr>
      <t>venues</t>
    </r>
    <r>
      <rPr>
        <rFont val="Arial"/>
        <color rgb="FF202122"/>
        <sz val="10.0"/>
      </rPr>
      <t xml:space="preserve"> for </t>
    </r>
    <r>
      <rPr>
        <rFont val="Arial"/>
        <color rgb="FF202122"/>
        <sz val="10.0"/>
        <u/>
      </rPr>
      <t>concerts</t>
    </r>
    <r>
      <rPr>
        <rFont val="Arial"/>
        <color rgb="FF202122"/>
        <sz val="10.0"/>
      </rPr>
      <t xml:space="preserve"> and </t>
    </r>
    <r>
      <rPr>
        <rFont val="Arial"/>
        <color rgb="FF202122"/>
        <sz val="10.0"/>
        <u/>
      </rPr>
      <t>expositions</t>
    </r>
    <r>
      <rPr>
        <rFont val="Arial"/>
        <color rgb="FF202122"/>
        <sz val="10.0"/>
      </rPr>
      <t xml:space="preserve">. The arenas in this table are ranked by maximum capacity. </t>
    </r>
    <r>
      <rPr>
        <rFont val="Arial"/>
        <color rgb="FF202122"/>
        <sz val="10.0"/>
        <u/>
      </rPr>
      <t>Domed stadiums</t>
    </r>
    <r>
      <rPr>
        <rFont val="Arial"/>
        <color rgb="FF202122"/>
        <sz val="10.0"/>
      </rPr>
      <t xml:space="preserve"> (such as the </t>
    </r>
    <r>
      <rPr>
        <rFont val="Arial"/>
        <color rgb="FF202122"/>
        <sz val="10.0"/>
        <u/>
      </rPr>
      <t>Superdome</t>
    </r>
    <r>
      <rPr>
        <rFont val="Arial"/>
        <color rgb="FF202122"/>
        <sz val="10.0"/>
      </rPr>
      <t xml:space="preserve"> in </t>
    </r>
    <r>
      <rPr>
        <rFont val="Arial"/>
        <color rgb="FF202122"/>
        <sz val="10.0"/>
        <u/>
      </rPr>
      <t>New Orleans</t>
    </r>
    <r>
      <rPr>
        <rFont val="Arial"/>
        <color rgb="FF202122"/>
        <sz val="10.0"/>
      </rPr>
      <t xml:space="preserve"> and the </t>
    </r>
    <r>
      <rPr>
        <rFont val="Arial"/>
        <color rgb="FF202122"/>
        <sz val="10.0"/>
        <u/>
      </rPr>
      <t>U.S. Bank Stadium</t>
    </r>
    <r>
      <rPr>
        <rFont val="Arial"/>
        <color rgb="FF202122"/>
        <sz val="10.0"/>
      </rPr>
      <t xml:space="preserve"> in </t>
    </r>
    <r>
      <rPr>
        <rFont val="Arial"/>
        <color rgb="FF202122"/>
        <sz val="10.0"/>
        <u/>
      </rPr>
      <t>Minneapolis</t>
    </r>
    <r>
      <rPr>
        <rFont val="Arial"/>
        <color rgb="FF202122"/>
        <sz val="10.0"/>
      </rPr>
      <t>) are excluded from this list.</t>
    </r>
  </si>
  <si>
    <t>https://en.wikipedia.org/wiki/List_of_indoor_arenas_in_the_United_States</t>
  </si>
  <si>
    <r>
      <rPr>
        <rFont val="Arial"/>
        <color rgb="FF202122"/>
        <sz val="10.0"/>
      </rPr>
      <t>Rows shaded in yellow indicates arena is permanent home to an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NBA</t>
    </r>
    <r>
      <rPr>
        <rFont val="Arial"/>
        <color rgb="FF202122"/>
        <sz val="10.0"/>
      </rPr>
      <t>,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NHL</t>
    </r>
    <r>
      <rPr>
        <rFont val="Arial"/>
        <color rgb="FF202122"/>
        <sz val="10.0"/>
      </rPr>
      <t>, or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WNBA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franchise.</t>
    </r>
  </si>
  <si>
    <t>#</t>
  </si>
  <si>
    <t>Image</t>
  </si>
  <si>
    <t>Arena/venue</t>
  </si>
  <si>
    <t>Max.</t>
  </si>
  <si>
    <t>Basket.</t>
  </si>
  <si>
    <t>Hockey</t>
  </si>
  <si>
    <t>Average Capacity</t>
  </si>
  <si>
    <t>Major tenant(s)</t>
  </si>
  <si>
    <t>Open</t>
  </si>
  <si>
    <t>Area</t>
  </si>
  <si>
    <t>Greensboro Coliseum</t>
  </si>
  <si>
    <r>
      <rPr>
        <rFont val="Arial"/>
        <color rgb="FF202122"/>
        <sz val="10.0"/>
        <u/>
      </rPr>
      <t>UNC Greensboro Spartans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</si>
  <si>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United Center</t>
  </si>
  <si>
    <r>
      <rPr>
        <rFont val="Arial"/>
        <color rgb="FF202122"/>
        <sz val="10.0"/>
        <u/>
      </rPr>
      <t>Chicago Blackhawks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Chicago Bulls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>)</t>
    </r>
  </si>
  <si>
    <t>Chicagoland</t>
  </si>
  <si>
    <t>KFC Yum! Center</t>
  </si>
  <si>
    <r>
      <rPr>
        <rFont val="Arial"/>
        <color rgb="FF202122"/>
        <sz val="10.0"/>
        <u/>
      </rPr>
      <t>Louisville Cardinals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</si>
  <si>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Tacoma Dome</t>
  </si>
  <si>
    <t>Seattle-Tacoma area</t>
  </si>
  <si>
    <t>Amerant Bank Arena</t>
  </si>
  <si>
    <t>Sunrise</t>
  </si>
  <si>
    <r>
      <rPr>
        <rFont val="Arial"/>
        <color rgb="FF202122"/>
        <sz val="10.0"/>
        <u/>
      </rPr>
      <t>Florida Panthers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>)</t>
    </r>
  </si>
  <si>
    <t>Miami metropolitan area</t>
  </si>
  <si>
    <t>Enterprise Center</t>
  </si>
  <si>
    <r>
      <rPr>
        <rFont val="Arial"/>
        <color rgb="FF202122"/>
        <sz val="10.0"/>
        <u/>
      </rPr>
      <t>St. Louis Blues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>)</t>
    </r>
  </si>
  <si>
    <t>Greater St. Louis</t>
  </si>
  <si>
    <t>Amalie Arena</t>
  </si>
  <si>
    <r>
      <rPr>
        <rFont val="Arial"/>
        <color rgb="FF202122"/>
        <sz val="10.0"/>
        <u/>
      </rPr>
      <t>Tampa Bay Lightning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>)</t>
    </r>
  </si>
  <si>
    <t>Tampa Bay</t>
  </si>
  <si>
    <t>Wells Fargo Center</t>
  </si>
  <si>
    <r>
      <rPr>
        <rFont val="Arial"/>
        <color rgb="FF202122"/>
        <sz val="10.0"/>
        <u/>
      </rPr>
      <t>Philadelphia 76ers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Philadelphia Flyers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Philadelphia Wings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NLL</t>
    </r>
    <r>
      <rPr>
        <rFont val="Arial"/>
        <sz val="10.0"/>
      </rPr>
      <t>)</t>
    </r>
  </si>
  <si>
    <t>Greater Philadelphia</t>
  </si>
  <si>
    <t>Lenovo Center</t>
  </si>
  <si>
    <r>
      <rPr>
        <rFont val="Arial"/>
        <color rgb="FF202122"/>
        <sz val="10.0"/>
        <u/>
      </rPr>
      <t>Carolina Hurricanes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NC State Wolfpack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</si>
  <si>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Rupp Arena</t>
  </si>
  <si>
    <r>
      <rPr>
        <rFont val="Arial"/>
        <color rgb="FF202122"/>
        <sz val="10.0"/>
        <u/>
      </rPr>
      <t>Kentucky Wildcats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</si>
  <si>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Delta Center</t>
  </si>
  <si>
    <r>
      <rPr>
        <rFont val="Arial"/>
        <color rgb="FF202122"/>
        <sz val="10.0"/>
        <u/>
      </rPr>
      <t>Utah Jazz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>)</t>
    </r>
  </si>
  <si>
    <t>Little Caesars Arena</t>
  </si>
  <si>
    <r>
      <rPr>
        <rFont val="Arial"/>
        <color rgb="FF202122"/>
        <sz val="10.0"/>
        <u/>
      </rPr>
      <t>Detroit Red Wings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Detroit Pistons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>)</t>
    </r>
  </si>
  <si>
    <t>Moda Center</t>
  </si>
  <si>
    <r>
      <rPr>
        <rFont val="Arial"/>
        <color rgb="FF202122"/>
        <sz val="10.0"/>
        <u/>
      </rPr>
      <t>Portland Trail Blazers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Portland Winterhawks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WHL</t>
    </r>
    <r>
      <rPr>
        <rFont val="Arial"/>
        <sz val="10.0"/>
      </rPr>
      <t>)</t>
    </r>
  </si>
  <si>
    <t>Ball Arena</t>
  </si>
  <si>
    <r>
      <rPr>
        <rFont val="Arial"/>
        <color rgb="FF202122"/>
        <sz val="10.0"/>
        <u/>
      </rPr>
      <t>Colorado Avalanche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Denver Nuggets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Colorado Mammoth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NLL</t>
    </r>
    <r>
      <rPr>
        <rFont val="Arial"/>
        <sz val="10.0"/>
      </rPr>
      <t>)</t>
    </r>
  </si>
  <si>
    <t>Denver metropolitan area</t>
  </si>
  <si>
    <t>State Farm Arena</t>
  </si>
  <si>
    <r>
      <rPr>
        <rFont val="Arial"/>
        <color rgb="FF202122"/>
        <sz val="10.0"/>
        <u/>
      </rPr>
      <t>Atlanta Hawks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>)</t>
    </r>
  </si>
  <si>
    <t>Metro Atlanta</t>
  </si>
  <si>
    <t>Capital One Arena</t>
  </si>
  <si>
    <r>
      <rPr>
        <rFont val="Arial"/>
        <color rgb="FF202122"/>
        <sz val="10.0"/>
        <u/>
      </rPr>
      <t>Washington Capitals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Washington Wizards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Georgetown Hoyas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</si>
  <si>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Washington–Baltimore metropolitan area</t>
  </si>
  <si>
    <t>Madison Square Garden</t>
  </si>
  <si>
    <t>New York City</t>
  </si>
  <si>
    <r>
      <rPr>
        <rFont val="Arial"/>
        <color rgb="FF202122"/>
        <sz val="10.0"/>
        <u/>
      </rPr>
      <t>New York Knicks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New York Rangers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St. John's Red Storm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</si>
  <si>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New York metropolitan area</t>
  </si>
  <si>
    <t>Target Center</t>
  </si>
  <si>
    <r>
      <rPr>
        <rFont val="Arial"/>
        <color rgb="FF202122"/>
        <sz val="10.0"/>
        <u/>
      </rPr>
      <t>Minnesota Timberwolves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Minnesota Lynx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WNBA</t>
    </r>
    <r>
      <rPr>
        <rFont val="Arial"/>
        <sz val="10.0"/>
      </rPr>
      <t>)</t>
    </r>
  </si>
  <si>
    <t>Twin Cities</t>
  </si>
  <si>
    <t>Spectrum Center</t>
  </si>
  <si>
    <r>
      <rPr>
        <rFont val="Arial"/>
        <color rgb="FF202122"/>
        <sz val="10.0"/>
        <u/>
      </rPr>
      <t>Charlotte Hornets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>)</t>
    </r>
  </si>
  <si>
    <t>Kaseya Center</t>
  </si>
  <si>
    <r>
      <rPr>
        <rFont val="Arial"/>
        <color rgb="FF202122"/>
        <sz val="10.0"/>
        <u/>
      </rPr>
      <t>Miami Heat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>)</t>
    </r>
  </si>
  <si>
    <t>American Airlines Center</t>
  </si>
  <si>
    <r>
      <rPr>
        <rFont val="Arial"/>
        <color rgb="FF202122"/>
        <sz val="10.0"/>
        <u/>
      </rPr>
      <t>Dallas Mavericks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Dallas Stars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>)</t>
    </r>
  </si>
  <si>
    <t>Dallas–Fort Worth metroplex</t>
  </si>
  <si>
    <t>Kia Center</t>
  </si>
  <si>
    <r>
      <rPr>
        <rFont val="Arial"/>
        <color rgb="FF202122"/>
        <sz val="10.0"/>
        <u/>
      </rPr>
      <t>Orlando Magic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Orlando Solar Bears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>)</t>
    </r>
  </si>
  <si>
    <t>Gainbridge Fieldhouse</t>
  </si>
  <si>
    <r>
      <rPr>
        <rFont val="Arial"/>
        <color rgb="FF202122"/>
        <sz val="10.0"/>
        <u/>
      </rPr>
      <t>Indiana Pacers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Indiana Fever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WNBA</t>
    </r>
    <r>
      <rPr>
        <rFont val="Arial"/>
        <sz val="10.0"/>
      </rPr>
      <t>)</t>
    </r>
  </si>
  <si>
    <t>Bridgestone Arena</t>
  </si>
  <si>
    <r>
      <rPr>
        <rFont val="Arial"/>
        <color rgb="FF202122"/>
        <sz val="10.0"/>
        <u/>
      </rPr>
      <t>Nashville Predators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>)</t>
    </r>
  </si>
  <si>
    <t>Nationwide Arena</t>
  </si>
  <si>
    <r>
      <rPr>
        <rFont val="Arial"/>
        <color rgb="FF202122"/>
        <sz val="10.0"/>
        <u/>
      </rPr>
      <t>Columbus Blue Jackets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>)</t>
    </r>
  </si>
  <si>
    <t>Oakland Arena</t>
  </si>
  <si>
    <t>Bay Area</t>
  </si>
  <si>
    <t>SAP Center at San Jose</t>
  </si>
  <si>
    <r>
      <rPr>
        <rFont val="Arial"/>
        <color rgb="FF202122"/>
        <sz val="10.0"/>
        <u/>
      </rPr>
      <t>San Jose Sharks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>)</t>
    </r>
  </si>
  <si>
    <t>Crypto.com Arena</t>
  </si>
  <si>
    <r>
      <rPr>
        <rFont val="Arial"/>
        <color rgb="FF202122"/>
        <sz val="10.0"/>
        <u/>
      </rPr>
      <t>Los Angeles Kings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Los Angeles Lakers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Los Angeles Sparks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WNBA</t>
    </r>
    <r>
      <rPr>
        <rFont val="Arial"/>
        <sz val="10.0"/>
      </rPr>
      <t>)</t>
    </r>
  </si>
  <si>
    <t>Greater Los Angeles</t>
  </si>
  <si>
    <t>T-Mobile Arena</t>
  </si>
  <si>
    <t>Paradise</t>
  </si>
  <si>
    <r>
      <rPr>
        <rFont val="Arial"/>
        <color rgb="FF202122"/>
        <sz val="10.0"/>
        <u/>
      </rPr>
      <t>Vegas Golden Knights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>)</t>
    </r>
  </si>
  <si>
    <t>Paycom Center</t>
  </si>
  <si>
    <t>Oklahoma City</t>
  </si>
  <si>
    <r>
      <rPr>
        <rFont val="Arial"/>
        <color rgb="FF202122"/>
        <sz val="10.0"/>
        <u/>
      </rPr>
      <t>Oklahoma City Thunder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Oklahoma City Blue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</si>
  <si>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TD Garden</t>
  </si>
  <si>
    <r>
      <rPr>
        <rFont val="Arial"/>
        <color rgb="FF202122"/>
        <sz val="10.0"/>
        <u/>
      </rPr>
      <t>Boston Bruins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Boston Celtics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>)</t>
    </r>
  </si>
  <si>
    <t>Greater Boston</t>
  </si>
  <si>
    <t>PPG Paints Arena</t>
  </si>
  <si>
    <r>
      <rPr>
        <rFont val="Arial"/>
        <color rgb="FF202122"/>
        <sz val="10.0"/>
        <u/>
      </rPr>
      <t>Pittsburgh Penguins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>)</t>
    </r>
  </si>
  <si>
    <t>FedExForum</t>
  </si>
  <si>
    <r>
      <rPr>
        <rFont val="Arial"/>
        <color rgb="FF202122"/>
        <sz val="10.0"/>
        <u/>
      </rPr>
      <t>Memphis Grizzlies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Memphis Tigers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</si>
  <si>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Memphis metropolitan area</t>
  </si>
  <si>
    <t>Footprint Center</t>
  </si>
  <si>
    <r>
      <rPr>
        <rFont val="Arial"/>
        <color rgb="FF202122"/>
        <sz val="10.0"/>
        <u/>
      </rPr>
      <t>Phoenix Suns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Phoenix Mercury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WNBA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Arizona Rattlers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IFL</t>
    </r>
    <r>
      <rPr>
        <rFont val="Arial"/>
        <sz val="10.0"/>
      </rPr>
      <t>)</t>
    </r>
  </si>
  <si>
    <t>Phoenix metropolitan area</t>
  </si>
  <si>
    <t>Prudential Center</t>
  </si>
  <si>
    <r>
      <rPr>
        <rFont val="Arial"/>
        <color rgb="FF202122"/>
        <sz val="10.0"/>
        <u/>
      </rPr>
      <t>New Jersey Devils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Seton Hall Pirates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</si>
  <si>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Chase Center</t>
  </si>
  <si>
    <r>
      <rPr>
        <rFont val="Arial"/>
        <color rgb="FF202122"/>
        <sz val="10.0"/>
        <u/>
      </rPr>
      <t>Golden State Warriors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>)</t>
    </r>
  </si>
  <si>
    <t>KeyBank Center</t>
  </si>
  <si>
    <r>
      <rPr>
        <rFont val="Arial"/>
        <color rgb="FF202122"/>
        <sz val="10.0"/>
        <u/>
      </rPr>
      <t>Buffalo Sabres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Buffalo Bandits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NLL</t>
    </r>
    <r>
      <rPr>
        <rFont val="Arial"/>
        <sz val="10.0"/>
      </rPr>
      <t>)</t>
    </r>
  </si>
  <si>
    <t>Rocket Mortgage FieldHouse</t>
  </si>
  <si>
    <r>
      <rPr>
        <rFont val="Arial"/>
        <color rgb="FF202122"/>
        <sz val="10.0"/>
        <u/>
      </rPr>
      <t>Cleveland Cavaliers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Cleveland Monsters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>)</t>
    </r>
  </si>
  <si>
    <t>Cleveland-Akron</t>
  </si>
  <si>
    <t>Xcel Energy Center</t>
  </si>
  <si>
    <r>
      <rPr>
        <rFont val="Arial"/>
        <color rgb="FF202122"/>
        <sz val="10.0"/>
        <u/>
      </rPr>
      <t>Minnesota Wild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>)</t>
    </r>
  </si>
  <si>
    <t>T-Mobile Center</t>
  </si>
  <si>
    <t>BOK Center</t>
  </si>
  <si>
    <r>
      <rPr>
        <rFont val="Arial"/>
        <color rgb="FF202122"/>
        <sz val="10.0"/>
        <u/>
      </rPr>
      <t>Tulsa Oilers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>)</t>
    </r>
  </si>
  <si>
    <t>Freedom Hall</t>
  </si>
  <si>
    <r>
      <rPr>
        <rFont val="Arial"/>
        <color rgb="FF202122"/>
        <sz val="10.0"/>
        <u/>
      </rPr>
      <t>Bellarmine Knights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</si>
  <si>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Climate Pledge Arena</t>
  </si>
  <si>
    <r>
      <rPr>
        <rFont val="Arial"/>
        <color rgb="FF202122"/>
        <sz val="10.0"/>
        <u/>
      </rPr>
      <t>Seattle Kraken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Seattle Storm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WNBA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Seattle Redhawks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</si>
  <si>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Frost Bank Center</t>
  </si>
  <si>
    <r>
      <rPr>
        <rFont val="Arial"/>
        <color rgb="FF202122"/>
        <sz val="10.0"/>
        <u/>
      </rPr>
      <t>San Antonio Spurs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>)</t>
    </r>
  </si>
  <si>
    <t>Barclays Center</t>
  </si>
  <si>
    <t>Brooklyn</t>
  </si>
  <si>
    <r>
      <rPr>
        <rFont val="Arial"/>
        <color rgb="FF202122"/>
        <sz val="10.0"/>
        <u/>
      </rPr>
      <t>Brooklyn Nets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New York Liberty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WNBA</t>
    </r>
    <r>
      <rPr>
        <rFont val="Arial"/>
        <sz val="10.0"/>
      </rPr>
      <t>)</t>
    </r>
  </si>
  <si>
    <t>Desert Diamond Arena</t>
  </si>
  <si>
    <t>Toyota Center</t>
  </si>
  <si>
    <r>
      <rPr>
        <rFont val="Arial"/>
        <color rgb="FF202122"/>
        <sz val="10.0"/>
        <u/>
      </rPr>
      <t>Houston Rockets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>)</t>
    </r>
  </si>
  <si>
    <t>Greater Houston</t>
  </si>
  <si>
    <t>Simmons Bank Arena</t>
  </si>
  <si>
    <t>North Little Rock</t>
  </si>
  <si>
    <t>Golden 1 Center</t>
  </si>
  <si>
    <r>
      <rPr>
        <rFont val="Arial"/>
        <color rgb="FF202122"/>
        <sz val="10.0"/>
        <u/>
      </rPr>
      <t>Sacramento Kings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>)</t>
    </r>
  </si>
  <si>
    <t>UBS Arena</t>
  </si>
  <si>
    <t>Elmont</t>
  </si>
  <si>
    <t>TBD</t>
  </si>
  <si>
    <r>
      <rPr>
        <rFont val="Arial"/>
        <color rgb="FF202122"/>
        <sz val="10.0"/>
        <u/>
      </rPr>
      <t>New York Islanders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>)</t>
    </r>
  </si>
  <si>
    <t>Legacy Arena</t>
  </si>
  <si>
    <r>
      <rPr>
        <rFont val="Arial"/>
        <color rgb="FF202122"/>
        <sz val="10.0"/>
        <u/>
      </rPr>
      <t>Birmingham Squadron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</si>
  <si>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CHI Health Center Omaha</t>
  </si>
  <si>
    <r>
      <rPr>
        <rFont val="Arial"/>
        <color rgb="FF202122"/>
        <sz val="10.0"/>
        <u/>
      </rPr>
      <t>Creighton Bluejays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</si>
  <si>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Honda Center</t>
  </si>
  <si>
    <r>
      <rPr>
        <rFont val="Arial"/>
        <color rgb="FF202122"/>
        <sz val="10.0"/>
        <u/>
      </rPr>
      <t>Anaheim Ducks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NHL</t>
    </r>
    <r>
      <rPr>
        <rFont val="Arial"/>
        <sz val="10.0"/>
      </rPr>
      <t>)</t>
    </r>
  </si>
  <si>
    <t>Allstate Arena</t>
  </si>
  <si>
    <t>Rosemont</t>
  </si>
  <si>
    <r>
      <rPr>
        <rFont val="Arial"/>
        <color rgb="FF202122"/>
        <sz val="10.0"/>
        <u/>
      </rPr>
      <t>Chicago Wolves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>)</t>
    </r>
  </si>
  <si>
    <t>Smoothie King Center</t>
  </si>
  <si>
    <r>
      <rPr>
        <rFont val="Arial"/>
        <color rgb="FF202122"/>
        <sz val="10.0"/>
        <u/>
      </rPr>
      <t>New Orleans Pelicans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>)</t>
    </r>
  </si>
  <si>
    <t>Greater New Orleans</t>
  </si>
  <si>
    <t>The Forum</t>
  </si>
  <si>
    <t>Fiserv Forum</t>
  </si>
  <si>
    <r>
      <rPr>
        <rFont val="Arial"/>
        <color rgb="FF202122"/>
        <sz val="10.0"/>
        <u/>
      </rPr>
      <t>Milwaukee Bucks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Marquette Golden Eagles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</si>
  <si>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Intuit Dome</t>
  </si>
  <si>
    <r>
      <rPr>
        <rFont val="Arial"/>
        <color rgb="FF202122"/>
        <sz val="10.0"/>
        <u/>
      </rPr>
      <t>Los Angeles Clippers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>)</t>
    </r>
  </si>
  <si>
    <t>Heritage Bank Center</t>
  </si>
  <si>
    <r>
      <rPr>
        <rFont val="Arial"/>
        <color rgb="FF202122"/>
        <sz val="10.0"/>
        <u/>
      </rPr>
      <t>Cincinnati Cyclones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>)</t>
    </r>
  </si>
  <si>
    <t>MVP Arena</t>
  </si>
  <si>
    <t>Albany</t>
  </si>
  <si>
    <r>
      <rPr>
        <rFont val="Arial"/>
        <color rgb="FF202122"/>
        <sz val="10.0"/>
        <u/>
      </rPr>
      <t>Siena Saints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Albany FireWolves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NLL</t>
    </r>
    <r>
      <rPr>
        <rFont val="Arial"/>
        <sz val="10.0"/>
      </rPr>
      <t>)</t>
    </r>
  </si>
  <si>
    <t>MGM Grand Garden Arena</t>
  </si>
  <si>
    <t>Intrust Bank Arena</t>
  </si>
  <si>
    <r>
      <rPr>
        <rFont val="Arial"/>
        <color rgb="FF202122"/>
        <sz val="10.0"/>
        <u/>
      </rPr>
      <t>Wichita Thunder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Wichita Force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CIF</t>
    </r>
    <r>
      <rPr>
        <rFont val="Arial"/>
        <sz val="10.0"/>
      </rPr>
      <t>)</t>
    </r>
  </si>
  <si>
    <t>Wells Fargo Arena</t>
  </si>
  <si>
    <r>
      <rPr>
        <rFont val="Arial"/>
        <color rgb="FF202122"/>
        <sz val="10.0"/>
        <u/>
      </rPr>
      <t>Iowa Wild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Iowa Wolves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Iowa Barnstormers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IFL</t>
    </r>
    <r>
      <rPr>
        <rFont val="Arial"/>
        <sz val="10.0"/>
      </rPr>
      <t>)</t>
    </r>
  </si>
  <si>
    <t>XL Center</t>
  </si>
  <si>
    <t>Hartford</t>
  </si>
  <si>
    <r>
      <rPr>
        <rFont val="Arial"/>
        <color rgb="FF202122"/>
        <sz val="10.0"/>
        <u/>
      </rPr>
      <t>Hartford Wolf Pack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>)</t>
    </r>
  </si>
  <si>
    <t>Cow Palace</t>
  </si>
  <si>
    <t>Daly City</t>
  </si>
  <si>
    <t>VyStar Veterans Memorial Arena</t>
  </si>
  <si>
    <r>
      <rPr>
        <rFont val="Arial"/>
        <color rgb="FF202122"/>
        <sz val="10.0"/>
        <u/>
      </rPr>
      <t>Jacksonville Icemen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Jacksonville Sharks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NAL</t>
    </r>
    <r>
      <rPr>
        <rFont val="Arial"/>
        <sz val="10.0"/>
      </rPr>
      <t>)</t>
    </r>
  </si>
  <si>
    <t>Pinnacle Bank Arena</t>
  </si>
  <si>
    <r>
      <rPr>
        <rFont val="Arial"/>
        <color rgb="FF202122"/>
        <sz val="10.0"/>
        <u/>
      </rPr>
      <t>Nebraska Cornhuskers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</si>
  <si>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Pechanga Arena</t>
  </si>
  <si>
    <r>
      <rPr>
        <rFont val="Arial"/>
        <color rgb="FF202122"/>
        <sz val="10.0"/>
        <u/>
      </rPr>
      <t>San Diego Gulls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San Diego Seals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NLL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San Diego Strike Force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IFL</t>
    </r>
    <r>
      <rPr>
        <rFont val="Arial"/>
        <sz val="10.0"/>
      </rPr>
      <t>)</t>
    </r>
  </si>
  <si>
    <t>Bon Secours Wellness Arena</t>
  </si>
  <si>
    <r>
      <rPr>
        <rFont val="Arial"/>
        <color rgb="FF202122"/>
        <sz val="10.0"/>
        <u/>
      </rPr>
      <t>Greenville Swamp Rabbits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>)</t>
    </r>
  </si>
  <si>
    <t>Prairie Surf Studios</t>
  </si>
  <si>
    <t>Mississippi Coast Coliseum</t>
  </si>
  <si>
    <t>Biloxi</t>
  </si>
  <si>
    <t>Nassau Veterans Memorial Coliseum</t>
  </si>
  <si>
    <t>Uniondale</t>
  </si>
  <si>
    <r>
      <rPr>
        <rFont val="Arial"/>
        <color rgb="FF202122"/>
        <sz val="10.0"/>
        <u/>
      </rPr>
      <t>Long Island Nets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New York Riptide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NLL</t>
    </r>
    <r>
      <rPr>
        <rFont val="Arial"/>
        <sz val="10.0"/>
      </rPr>
      <t>)</t>
    </r>
  </si>
  <si>
    <t>DCU Center</t>
  </si>
  <si>
    <r>
      <rPr>
        <rFont val="Arial"/>
        <color rgb="FF202122"/>
        <sz val="10.0"/>
        <u/>
      </rPr>
      <t>Worcester Railers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>)</t>
    </r>
  </si>
  <si>
    <t>Arizona Veterans Memorial Coliseum</t>
  </si>
  <si>
    <t>Dickies Arena</t>
  </si>
  <si>
    <r>
      <rPr>
        <rFont val="Arial"/>
        <color rgb="FF202122"/>
        <sz val="10.0"/>
        <u/>
      </rPr>
      <t>Panther City Lacrosse Club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NLL</t>
    </r>
    <r>
      <rPr>
        <rFont val="Arial"/>
        <sz val="10.0"/>
      </rPr>
      <t>)</t>
    </r>
  </si>
  <si>
    <t>Brookshire Grocery Arena</t>
  </si>
  <si>
    <t>Bossier City</t>
  </si>
  <si>
    <t>Blue Cross Arena</t>
  </si>
  <si>
    <r>
      <rPr>
        <rFont val="Arial"/>
        <color rgb="FF202122"/>
        <sz val="10.0"/>
        <u/>
      </rPr>
      <t>Rochester Americans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Rochester Knighthawks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NLL</t>
    </r>
    <r>
      <rPr>
        <rFont val="Arial"/>
        <sz val="10.0"/>
      </rPr>
      <t>)</t>
    </r>
  </si>
  <si>
    <t>CFG Bank Arena</t>
  </si>
  <si>
    <t>Amica Mutual Pavilion</t>
  </si>
  <si>
    <r>
      <rPr>
        <rFont val="Arial"/>
        <color rgb="FF202122"/>
        <sz val="10.0"/>
        <u/>
      </rPr>
      <t>Providence Bruins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Providence Friars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</si>
  <si>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Boardwalk Hall</t>
  </si>
  <si>
    <t>Atlantic City</t>
  </si>
  <si>
    <t>Hampton Coliseum</t>
  </si>
  <si>
    <t>Hampton Roads</t>
  </si>
  <si>
    <t>Norfolk Scope</t>
  </si>
  <si>
    <r>
      <rPr>
        <rFont val="Arial"/>
        <color rgb="FF202122"/>
        <sz val="10.0"/>
        <u/>
      </rPr>
      <t>Norfolk Admirals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>)</t>
    </r>
  </si>
  <si>
    <t>Long Beach Arena</t>
  </si>
  <si>
    <t>Long Beach</t>
  </si>
  <si>
    <t>Charleston Civic Center</t>
  </si>
  <si>
    <t>Cumberland County Crown Coliseum</t>
  </si>
  <si>
    <r>
      <rPr>
        <rFont val="Arial"/>
        <color rgb="FF202122"/>
        <sz val="10.0"/>
        <u/>
      </rPr>
      <t>Fayetteville Marksmen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SPHL</t>
    </r>
    <r>
      <rPr>
        <rFont val="Arial"/>
        <sz val="10.0"/>
      </rPr>
      <t>)</t>
    </r>
  </si>
  <si>
    <t>Fort Worth Convention Center</t>
  </si>
  <si>
    <t>Richmond Coliseum</t>
  </si>
  <si>
    <t>North Charleston Coliseum</t>
  </si>
  <si>
    <t>North Charleston</t>
  </si>
  <si>
    <r>
      <rPr>
        <rFont val="Arial"/>
        <color rgb="FF202122"/>
        <sz val="10.0"/>
        <u/>
      </rPr>
      <t>South Carolina Stingrays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Charleston Southern Buccaneers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</si>
  <si>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Van Andel Arena</t>
  </si>
  <si>
    <t>Grand Rapids</t>
  </si>
  <si>
    <r>
      <rPr>
        <rFont val="Arial"/>
        <color rgb="FF202122"/>
        <sz val="10.0"/>
        <u/>
      </rPr>
      <t>Grand Rapids Griffins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Grand Rapids Gold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</si>
  <si>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Ford Idaho Center</t>
  </si>
  <si>
    <t>Nampa</t>
  </si>
  <si>
    <r>
      <rPr>
        <rFont val="Arial"/>
        <color rgb="FF202122"/>
        <sz val="10.0"/>
        <u/>
      </rPr>
      <t>Idaho Horsemen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AWFC</t>
    </r>
    <r>
      <rPr>
        <rFont val="Arial"/>
        <sz val="10.0"/>
      </rPr>
      <t>)</t>
    </r>
  </si>
  <si>
    <t>Gas South Arena</t>
  </si>
  <si>
    <t>Duluth</t>
  </si>
  <si>
    <r>
      <rPr>
        <rFont val="Arial"/>
        <color rgb="FF202122"/>
        <sz val="10.0"/>
        <u/>
      </rPr>
      <t>Atlanta Gladiators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Georgia Swarm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NLL</t>
    </r>
    <r>
      <rPr>
        <rFont val="Arial"/>
        <sz val="10.0"/>
      </rPr>
      <t>)</t>
    </r>
  </si>
  <si>
    <t>Denny Sanford Premier Center</t>
  </si>
  <si>
    <r>
      <rPr>
        <rFont val="Arial"/>
        <color rgb="FF202122"/>
        <sz val="10.0"/>
        <u/>
      </rPr>
      <t>Sioux Falls Storm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CIF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Sioux Falls Stampede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USHL</t>
    </r>
    <r>
      <rPr>
        <rFont val="Arial"/>
        <sz val="10.0"/>
      </rPr>
      <t>)</t>
    </r>
  </si>
  <si>
    <t>Memorial Coliseum</t>
  </si>
  <si>
    <r>
      <rPr>
        <rFont val="Arial"/>
        <color rgb="FF202122"/>
        <sz val="10.0"/>
        <u/>
      </rPr>
      <t>Portland Winterhawks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WHL</t>
    </r>
    <r>
      <rPr>
        <rFont val="Arial"/>
        <sz val="10.0"/>
      </rPr>
      <t>)</t>
    </r>
  </si>
  <si>
    <t>Maverik Center</t>
  </si>
  <si>
    <t>West Valley City</t>
  </si>
  <si>
    <r>
      <rPr>
        <rFont val="Arial"/>
        <color rgb="FF202122"/>
        <sz val="10.0"/>
        <u/>
      </rPr>
      <t>Utah Grizzlies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>)</t>
    </r>
  </si>
  <si>
    <t>Garrett Coliseum</t>
  </si>
  <si>
    <t>Bojangles' Coliseum</t>
  </si>
  <si>
    <r>
      <rPr>
        <rFont val="Arial"/>
        <color rgb="FF202122"/>
        <sz val="10.0"/>
        <u/>
      </rPr>
      <t>Charlotte Checkers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>)</t>
    </r>
  </si>
  <si>
    <t>Giant Center</t>
  </si>
  <si>
    <r>
      <rPr>
        <rFont val="Arial"/>
        <color rgb="FF202122"/>
        <sz val="10.0"/>
        <u/>
      </rPr>
      <t>Hershey Bears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>)</t>
    </r>
  </si>
  <si>
    <t>Peoria Civic Center</t>
  </si>
  <si>
    <r>
      <rPr>
        <rFont val="Arial"/>
        <color rgb="FF202122"/>
        <sz val="10.0"/>
        <u/>
      </rPr>
      <t>Peoria Rivermen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SPHL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Bradley Braves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</si>
  <si>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UW–Milwaukee Panther Arena</t>
  </si>
  <si>
    <r>
      <rPr>
        <rFont val="Arial"/>
        <color rgb="FF202122"/>
        <sz val="10.0"/>
        <u/>
      </rPr>
      <t>Milwaukee Panthers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Milwaukee Admirals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Milwaukee Wave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MASL</t>
    </r>
    <r>
      <rPr>
        <rFont val="Arial"/>
        <sz val="10.0"/>
      </rPr>
      <t>)</t>
    </r>
  </si>
  <si>
    <t>Allen County War Memorial Coliseum</t>
  </si>
  <si>
    <t>Fort Wayne</t>
  </si>
  <si>
    <r>
      <rPr>
        <rFont val="Arial"/>
        <color rgb="FF202122"/>
        <sz val="10.0"/>
        <u/>
      </rPr>
      <t>Fort Wayne Komets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Fort Wayne Mad Ants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</si>
  <si>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Countryman Arena</t>
  </si>
  <si>
    <t>TaxSlayer Center</t>
  </si>
  <si>
    <t>Moline</t>
  </si>
  <si>
    <r>
      <rPr>
        <rFont val="Arial"/>
        <color rgb="FF202122"/>
        <sz val="10.0"/>
        <u/>
      </rPr>
      <t>Quad City Steamwheelers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Quad City Storm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SPHL</t>
    </r>
    <r>
      <rPr>
        <rFont val="Arial"/>
        <sz val="10.0"/>
      </rPr>
      <t>)</t>
    </r>
  </si>
  <si>
    <t>Quad Cities</t>
  </si>
  <si>
    <t>Michelob Ultra Arena</t>
  </si>
  <si>
    <r>
      <rPr>
        <rFont val="Arial"/>
        <color rgb="FF202122"/>
        <sz val="10.0"/>
        <u/>
      </rPr>
      <t>Las Vegas Aces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WNBA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Las Vegas Desert Dogs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NLL</t>
    </r>
    <r>
      <rPr>
        <rFont val="Arial"/>
        <sz val="10.0"/>
      </rPr>
      <t>)</t>
    </r>
  </si>
  <si>
    <t>First Interstate Arena</t>
  </si>
  <si>
    <t>Billings</t>
  </si>
  <si>
    <t>River Center Arena</t>
  </si>
  <si>
    <t>Stockton Arena</t>
  </si>
  <si>
    <t>Stockton</t>
  </si>
  <si>
    <r>
      <rPr>
        <rFont val="Arial"/>
        <color rgb="FF202122"/>
        <sz val="10.0"/>
        <u/>
      </rPr>
      <t>Stockton Kings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</si>
  <si>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Tingley Coliseum</t>
  </si>
  <si>
    <r>
      <rPr>
        <rFont val="Arial"/>
        <color rgb="FF202122"/>
        <sz val="10.0"/>
        <u/>
      </rPr>
      <t>Duke City Gladiators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IFL</t>
    </r>
    <r>
      <rPr>
        <rFont val="Arial"/>
        <sz val="10.0"/>
      </rPr>
      <t>)</t>
    </r>
  </si>
  <si>
    <t>SNHU Arena</t>
  </si>
  <si>
    <t>Manchester</t>
  </si>
  <si>
    <t>Expo Hall</t>
  </si>
  <si>
    <t>Acrisure Arena</t>
  </si>
  <si>
    <t>Palm Desert</t>
  </si>
  <si>
    <r>
      <rPr>
        <rFont val="Arial"/>
        <color rgb="FF202122"/>
        <sz val="10.0"/>
        <u/>
      </rPr>
      <t>Coachella Valley Firebirds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>)</t>
    </r>
  </si>
  <si>
    <t>Spokane Veterans Memorial Arena</t>
  </si>
  <si>
    <t>Spokane</t>
  </si>
  <si>
    <r>
      <rPr>
        <rFont val="Arial"/>
        <color rgb="FF202122"/>
        <sz val="10.0"/>
        <u/>
      </rPr>
      <t>Spokane Chiefs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WHL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Spokane Shock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IFL</t>
    </r>
    <r>
      <rPr>
        <rFont val="Arial"/>
        <sz val="10.0"/>
      </rPr>
      <t>)</t>
    </r>
  </si>
  <si>
    <t>Family Arena</t>
  </si>
  <si>
    <t>St. Charles</t>
  </si>
  <si>
    <r>
      <rPr>
        <rFont val="Arial"/>
        <color rgb="FF202122"/>
        <sz val="10.0"/>
        <u/>
      </rPr>
      <t>St. Louis Ambush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MASL</t>
    </r>
    <r>
      <rPr>
        <rFont val="Arial"/>
        <sz val="10.0"/>
      </rPr>
      <t>)</t>
    </r>
  </si>
  <si>
    <t>Selland Arena</t>
  </si>
  <si>
    <t>Now Arena</t>
  </si>
  <si>
    <t>Hoffman Estates</t>
  </si>
  <si>
    <r>
      <rPr>
        <rFont val="Arial"/>
        <color rgb="FF202122"/>
        <sz val="10.0"/>
        <u/>
      </rPr>
      <t>Chicago Mustangs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MASL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Windy City Bulls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</si>
  <si>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Toyota Arena</t>
  </si>
  <si>
    <t>Ontario</t>
  </si>
  <si>
    <r>
      <rPr>
        <rFont val="Arial"/>
        <color rgb="FF202122"/>
        <sz val="10.0"/>
        <u/>
      </rPr>
      <t>Ontario Reign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Ontario Fury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MASL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Agua Caliente Clippers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</si>
  <si>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Evansville</t>
  </si>
  <si>
    <r>
      <rPr>
        <rFont val="Arial"/>
        <color rgb="FF202122"/>
        <sz val="10.0"/>
        <u/>
      </rPr>
      <t>Evansville Thunderbolts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SPHL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Evansville Purple Aces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</si>
  <si>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Jim Norick Arena</t>
  </si>
  <si>
    <t>Albany Civic Center</t>
  </si>
  <si>
    <t>Municipal Auditorium</t>
  </si>
  <si>
    <r>
      <rPr>
        <rFont val="Arial"/>
        <color rgb="FF202122"/>
        <sz val="10.0"/>
        <u/>
      </rPr>
      <t>Kansas City Roos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</si>
  <si>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Mobile Civic Center</t>
  </si>
  <si>
    <t>Berglund Center</t>
  </si>
  <si>
    <t>Roanoke</t>
  </si>
  <si>
    <r>
      <rPr>
        <rFont val="Arial"/>
        <color rgb="FF202122"/>
        <sz val="10.0"/>
        <u/>
      </rPr>
      <t>Roanoke Rail Yard Dawgs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SPHL</t>
    </r>
    <r>
      <rPr>
        <rFont val="Arial"/>
        <sz val="10.0"/>
      </rPr>
      <t>)</t>
    </r>
  </si>
  <si>
    <t>Denver Coliseum</t>
  </si>
  <si>
    <t>PPL Center</t>
  </si>
  <si>
    <r>
      <rPr>
        <rFont val="Arial"/>
        <color rgb="FF202122"/>
        <sz val="10.0"/>
        <u/>
      </rPr>
      <t>Lehigh Valley Phantoms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Lehigh Valley Steelhawks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NAL</t>
    </r>
    <r>
      <rPr>
        <rFont val="Arial"/>
        <sz val="10.0"/>
      </rPr>
      <t>)</t>
    </r>
  </si>
  <si>
    <t>Silver Spurs Arena</t>
  </si>
  <si>
    <t>Kissimmee</t>
  </si>
  <si>
    <t>CURE Insurance Arena</t>
  </si>
  <si>
    <t>Trenton</t>
  </si>
  <si>
    <t>Rushmore Plaza Civic Center</t>
  </si>
  <si>
    <t>Rapid City</t>
  </si>
  <si>
    <r>
      <rPr>
        <rFont val="Arial"/>
        <color rgb="FF202122"/>
        <sz val="10.0"/>
        <u/>
      </rPr>
      <t>Rapid City Rush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>)</t>
    </r>
  </si>
  <si>
    <t>Wintrust Arena</t>
  </si>
  <si>
    <r>
      <rPr>
        <rFont val="Arial"/>
        <color rgb="FF202122"/>
        <sz val="10.0"/>
        <u/>
      </rPr>
      <t>Chicago Sky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WNBA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DePaul Blue Demons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</si>
  <si>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American Bank Center</t>
  </si>
  <si>
    <t>Corpus Christi</t>
  </si>
  <si>
    <t>Celeste Center</t>
  </si>
  <si>
    <t>Resch Center</t>
  </si>
  <si>
    <r>
      <rPr>
        <rFont val="Arial"/>
        <color rgb="FF202122"/>
        <sz val="10.0"/>
        <u/>
      </rPr>
      <t>Green Bay Blizzard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IFL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Green Bay Gamblers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Green Bay Phoenix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</si>
  <si>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Bismarck Event Center</t>
  </si>
  <si>
    <t>Bismarck</t>
  </si>
  <si>
    <t>Landers Center</t>
  </si>
  <si>
    <t>Southaven</t>
  </si>
  <si>
    <r>
      <rPr>
        <rFont val="Arial"/>
        <color rgb="FF202122"/>
        <sz val="10.0"/>
        <u/>
      </rPr>
      <t>Memphis Hustle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</si>
  <si>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Fort Bend Epicenter</t>
  </si>
  <si>
    <t>Rosenberg</t>
  </si>
  <si>
    <t>Pensacola Bay Center</t>
  </si>
  <si>
    <t>Pensacola</t>
  </si>
  <si>
    <r>
      <rPr>
        <rFont val="Arial"/>
        <color rgb="FF202122"/>
        <sz val="10.0"/>
        <u/>
      </rPr>
      <t>Pensacola Ice Flyers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SPHL</t>
    </r>
    <r>
      <rPr>
        <rFont val="Arial"/>
        <sz val="10.0"/>
      </rPr>
      <t>)</t>
    </r>
  </si>
  <si>
    <t>Amarillo National Center</t>
  </si>
  <si>
    <t>BancorpSouth Arena</t>
  </si>
  <si>
    <t>BMO Harris Bank Center</t>
  </si>
  <si>
    <t>Rockford</t>
  </si>
  <si>
    <r>
      <rPr>
        <rFont val="Arial"/>
        <color rgb="FF202122"/>
        <sz val="10.0"/>
        <u/>
      </rPr>
      <t>Rockford IceHogs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>)</t>
    </r>
  </si>
  <si>
    <t>Columbus Civic Center</t>
  </si>
  <si>
    <r>
      <rPr>
        <rFont val="Arial"/>
        <color rgb="FF202122"/>
        <sz val="10.0"/>
        <u/>
      </rPr>
      <t>Columbus River Dragons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FPHL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Columbus Lions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NAL</t>
    </r>
    <r>
      <rPr>
        <rFont val="Arial"/>
        <sz val="10.0"/>
      </rPr>
      <t>)</t>
    </r>
  </si>
  <si>
    <t>Angel of the Winds Arena</t>
  </si>
  <si>
    <t>Everett</t>
  </si>
  <si>
    <r>
      <rPr>
        <rFont val="Arial"/>
        <color rgb="FF202122"/>
        <sz val="10.0"/>
        <u/>
      </rPr>
      <t>Everett Silvertips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WHL</t>
    </r>
    <r>
      <rPr>
        <rFont val="Arial"/>
        <sz val="10.0"/>
      </rPr>
      <t>)</t>
    </r>
  </si>
  <si>
    <t>D.C. Armory</t>
  </si>
  <si>
    <t>Florence Center</t>
  </si>
  <si>
    <t>Huntington Center</t>
  </si>
  <si>
    <r>
      <rPr>
        <rFont val="Arial"/>
        <color rgb="FF202122"/>
        <sz val="10.0"/>
        <u/>
      </rPr>
      <t>Toledo Walleye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>)</t>
    </r>
  </si>
  <si>
    <t>Jostens Center</t>
  </si>
  <si>
    <t>Lake Buena Vista</t>
  </si>
  <si>
    <t>Kay Yeager Coliseum</t>
  </si>
  <si>
    <t>Wichita Falls</t>
  </si>
  <si>
    <r>
      <rPr>
        <rFont val="Arial"/>
        <color rgb="FF202122"/>
        <sz val="10.0"/>
        <u/>
      </rPr>
      <t>Wichita Falls Nighthawks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IFL</t>
    </r>
    <r>
      <rPr>
        <rFont val="Arial"/>
        <sz val="10.0"/>
      </rPr>
      <t>)</t>
    </r>
  </si>
  <si>
    <t>RP Funding Center</t>
  </si>
  <si>
    <t>Lakeland</t>
  </si>
  <si>
    <r>
      <rPr>
        <rFont val="Arial"/>
        <color rgb="FF202122"/>
        <sz val="10.0"/>
        <u/>
      </rPr>
      <t>Lakeland Magic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</si>
  <si>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Landon Arena</t>
  </si>
  <si>
    <t>Topeka</t>
  </si>
  <si>
    <t>Mississippi Coliseum</t>
  </si>
  <si>
    <t>Mohegan Sun Arena</t>
  </si>
  <si>
    <t>Uncasville</t>
  </si>
  <si>
    <r>
      <rPr>
        <rFont val="Arial"/>
        <color rgb="FF202122"/>
        <sz val="10.0"/>
        <u/>
      </rPr>
      <t>Connecticut Sun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WNBA</t>
    </r>
    <r>
      <rPr>
        <rFont val="Arial"/>
        <sz val="10.0"/>
      </rPr>
      <t>)</t>
    </r>
  </si>
  <si>
    <t>Mohegan Sun Arena at Casey Plaza</t>
  </si>
  <si>
    <t>Wilkes-Barre</t>
  </si>
  <si>
    <r>
      <rPr>
        <rFont val="Arial"/>
        <color rgb="FF202122"/>
        <sz val="10.0"/>
        <u/>
      </rPr>
      <t>Wilkes-Barre/Scranton Penguins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>)</t>
    </r>
  </si>
  <si>
    <t>Mechanics Bank Arena</t>
  </si>
  <si>
    <r>
      <rPr>
        <rFont val="Arial"/>
        <color rgb="FF202122"/>
        <sz val="10.0"/>
        <u/>
      </rPr>
      <t>Bakersfield Condors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>)</t>
    </r>
  </si>
  <si>
    <t>Alliant Energy PowerHouse</t>
  </si>
  <si>
    <r>
      <rPr>
        <rFont val="Arial"/>
        <color rgb="FF202122"/>
        <sz val="10.0"/>
        <u/>
      </rPr>
      <t>Cedar Rapids River Kings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IFL</t>
    </r>
    <r>
      <rPr>
        <rFont val="Arial"/>
        <sz val="10.0"/>
      </rPr>
      <t>)</t>
    </r>
  </si>
  <si>
    <t>Henderson Exposition Center</t>
  </si>
  <si>
    <t>Lufkin</t>
  </si>
  <si>
    <t>Total Mortgage Arena</t>
  </si>
  <si>
    <r>
      <rPr>
        <rFont val="Arial"/>
        <color rgb="FF202122"/>
        <sz val="10.0"/>
        <u/>
      </rPr>
      <t>Bridgeport Islanders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Fairfield Stags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</si>
  <si>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Indiana Farmers Coliseum</t>
  </si>
  <si>
    <r>
      <rPr>
        <rFont val="Arial"/>
        <color rgb="FF202122"/>
        <sz val="10.0"/>
        <u/>
      </rPr>
      <t>Indy Fuel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IUPUI Jaguars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</si>
  <si>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Alliant Energy Center</t>
  </si>
  <si>
    <r>
      <rPr>
        <rFont val="Arial"/>
        <color rgb="FF202122"/>
        <sz val="10.0"/>
        <u/>
      </rPr>
      <t>Madison Capitols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USHL</t>
    </r>
    <r>
      <rPr>
        <rFont val="Arial"/>
        <sz val="10.0"/>
      </rPr>
      <t>)</t>
    </r>
  </si>
  <si>
    <t>Ford Arena</t>
  </si>
  <si>
    <t>Ford Wyoming Center</t>
  </si>
  <si>
    <t>Casper</t>
  </si>
  <si>
    <t>Freeman Coliseum</t>
  </si>
  <si>
    <t>Tyson Events Center</t>
  </si>
  <si>
    <t>Sioux City</t>
  </si>
  <si>
    <r>
      <rPr>
        <rFont val="Arial"/>
        <color rgb="FF202122"/>
        <sz val="10.0"/>
        <u/>
      </rPr>
      <t>Sioux City Musketeers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USHL</t>
    </r>
    <r>
      <rPr>
        <rFont val="Arial"/>
        <sz val="10.0"/>
      </rPr>
      <t>)</t>
    </r>
  </si>
  <si>
    <t>Nashville Municipal Auditorium</t>
  </si>
  <si>
    <t>Sames Auto Arena</t>
  </si>
  <si>
    <t>Laredo</t>
  </si>
  <si>
    <t>Savannah Civic Center</t>
  </si>
  <si>
    <t>Savannah</t>
  </si>
  <si>
    <t>Fair Park Coliseum</t>
  </si>
  <si>
    <t>The Wigwam</t>
  </si>
  <si>
    <t>Anderson</t>
  </si>
  <si>
    <t>Celebration Arena</t>
  </si>
  <si>
    <t>Decatur</t>
  </si>
  <si>
    <t>Miami Beach Convention Center</t>
  </si>
  <si>
    <t>Miami Beach</t>
  </si>
  <si>
    <t>Enmarket Arena</t>
  </si>
  <si>
    <r>
      <rPr>
        <rFont val="Arial"/>
        <color rgb="FF202122"/>
        <sz val="10.0"/>
        <u/>
      </rPr>
      <t>Savannah Ghost Pirates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>)</t>
    </r>
  </si>
  <si>
    <t>Ocean Center</t>
  </si>
  <si>
    <t>Daytona Beach</t>
  </si>
  <si>
    <t>Luedecke Arena</t>
  </si>
  <si>
    <t>Taylor Telecom Arena</t>
  </si>
  <si>
    <t>2010s</t>
  </si>
  <si>
    <t>Macon Coliseum</t>
  </si>
  <si>
    <r>
      <rPr>
        <rFont val="Arial"/>
        <color rgb="FF202122"/>
        <sz val="10.0"/>
        <u/>
      </rPr>
      <t>Macon Mayhem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SPHL</t>
    </r>
    <r>
      <rPr>
        <rFont val="Arial"/>
        <sz val="10.0"/>
      </rPr>
      <t>)</t>
    </r>
  </si>
  <si>
    <t>Kay Bailey Hutchison Convention Center</t>
  </si>
  <si>
    <t>James Brown Arena</t>
  </si>
  <si>
    <t>Augusta</t>
  </si>
  <si>
    <t>Anaheim Convention Center</t>
  </si>
  <si>
    <t>Hill Exhibit Hall</t>
  </si>
  <si>
    <t>Orleans Arena</t>
  </si>
  <si>
    <r>
      <rPr>
        <rFont val="Arial"/>
        <color rgb="FF202122"/>
        <sz val="10.0"/>
        <u/>
      </rPr>
      <t>Henderson Silver Knights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Las Vegas Legends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MASL</t>
    </r>
    <r>
      <rPr>
        <rFont val="Arial"/>
        <sz val="10.0"/>
      </rPr>
      <t>)</t>
    </r>
  </si>
  <si>
    <t>Burton Coliseum</t>
  </si>
  <si>
    <r>
      <rPr>
        <rFont val="Arial"/>
        <color rgb="FF202122"/>
        <sz val="10.0"/>
        <u/>
      </rPr>
      <t>Portland Expo Center</t>
    </r>
    <r>
      <rPr>
        <rFont val="Arial"/>
        <sz val="10.0"/>
      </rPr>
      <t xml:space="preserve"> Hall E</t>
    </r>
  </si>
  <si>
    <t>Sevierville Convention Center</t>
  </si>
  <si>
    <t>Sevierville</t>
  </si>
  <si>
    <t>Cross Insurance Arena</t>
  </si>
  <si>
    <r>
      <rPr>
        <rFont val="Arial"/>
        <color rgb="FF202122"/>
        <sz val="10.0"/>
        <u/>
      </rPr>
      <t>Maine Mariners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>)</t>
    </r>
  </si>
  <si>
    <t>Extraco Events Center</t>
  </si>
  <si>
    <t>Mid-America Center</t>
  </si>
  <si>
    <t>Council Bluffs</t>
  </si>
  <si>
    <t>Santander Arena</t>
  </si>
  <si>
    <r>
      <rPr>
        <rFont val="Arial"/>
        <color rgb="FF202122"/>
        <sz val="10.0"/>
        <u/>
      </rPr>
      <t>Reading Royals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>)</t>
    </r>
  </si>
  <si>
    <t>Von Braun Center</t>
  </si>
  <si>
    <r>
      <rPr>
        <rFont val="Arial"/>
        <color rgb="FF202122"/>
        <sz val="10.0"/>
        <u/>
      </rPr>
      <t>Huntsville Havoc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SPHL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Alabama–Huntsville Chargers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</si>
  <si>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Broadmoor World Arena</t>
  </si>
  <si>
    <r>
      <rPr>
        <rFont val="Arial"/>
        <color rgb="FF202122"/>
        <sz val="10.0"/>
        <u/>
      </rPr>
      <t>Colorado College Tigers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</si>
  <si>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Bert Ogden Arena</t>
  </si>
  <si>
    <t>Edinburg</t>
  </si>
  <si>
    <r>
      <rPr>
        <rFont val="Arial"/>
        <color rgb="FF202122"/>
        <sz val="10.0"/>
        <u/>
      </rPr>
      <t>Rio Grande Valley Vipers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</si>
  <si>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SeaGate Convention Centre</t>
  </si>
  <si>
    <t>Empire Expo Center</t>
  </si>
  <si>
    <t>Geddes</t>
  </si>
  <si>
    <t>Seaboard Triumph Expo Center</t>
  </si>
  <si>
    <t>Tucson Convention Center</t>
  </si>
  <si>
    <r>
      <rPr>
        <rFont val="Arial"/>
        <color rgb="FF202122"/>
        <sz val="10.0"/>
        <u/>
      </rPr>
      <t>Tucson Roadrunners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>)</t>
    </r>
  </si>
  <si>
    <t>Bank of Springfield Center</t>
  </si>
  <si>
    <t>Cox Business Convention Center</t>
  </si>
  <si>
    <t>Neal Blaisdell Center</t>
  </si>
  <si>
    <t>H-E-B Center</t>
  </si>
  <si>
    <t>Cedar Park</t>
  </si>
  <si>
    <r>
      <rPr>
        <rFont val="Arial"/>
        <color rgb="FF202122"/>
        <sz val="10.0"/>
        <u/>
      </rPr>
      <t>Texas Stars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Austin Spurs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</si>
  <si>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Kitsap Sun Pavilion</t>
  </si>
  <si>
    <t>Bremerton</t>
  </si>
  <si>
    <t>Sullivan Arena</t>
  </si>
  <si>
    <t>Anchorage</t>
  </si>
  <si>
    <t>Alaska</t>
  </si>
  <si>
    <r>
      <rPr>
        <rFont val="Arial"/>
        <color rgb="FF202122"/>
        <sz val="10.0"/>
        <u/>
      </rPr>
      <t>Grand Park</t>
    </r>
    <r>
      <rPr>
        <rFont val="Arial"/>
        <sz val="10.0"/>
      </rPr>
      <t xml:space="preserve"> Events Center</t>
    </r>
  </si>
  <si>
    <t>Westfield</t>
  </si>
  <si>
    <t>Mountain Health Arena</t>
  </si>
  <si>
    <t>AMSOIL Arena</t>
  </si>
  <si>
    <r>
      <rPr>
        <rFont val="Arial"/>
        <color rgb="FF202122"/>
        <sz val="10.0"/>
        <u/>
      </rPr>
      <t>Minnesota Duluth Bulldogs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</si>
  <si>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Hertz Arena</t>
  </si>
  <si>
    <t>Estero</t>
  </si>
  <si>
    <r>
      <rPr>
        <rFont val="Arial"/>
        <color rgb="FF202122"/>
        <sz val="10.0"/>
        <u/>
      </rPr>
      <t>Florida Everblades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>)</t>
    </r>
  </si>
  <si>
    <t>Golden Spike Arena</t>
  </si>
  <si>
    <t>NRG Arena</t>
  </si>
  <si>
    <t>Pine Bluff Convention Center</t>
  </si>
  <si>
    <t>Alltech Arena</t>
  </si>
  <si>
    <t>The Oil Palace</t>
  </si>
  <si>
    <t>Tyler</t>
  </si>
  <si>
    <t>Reaves Arena</t>
  </si>
  <si>
    <t>Perry</t>
  </si>
  <si>
    <t>Southwest Motors Events Center</t>
  </si>
  <si>
    <t>Pueblo</t>
  </si>
  <si>
    <t>Mayo Clinic Health System Event Center</t>
  </si>
  <si>
    <t>Mankato</t>
  </si>
  <si>
    <r>
      <rPr>
        <rFont val="Arial"/>
        <color rgb="FF202122"/>
        <sz val="10.0"/>
        <u/>
      </rPr>
      <t>Minnesota State Mavericks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</si>
  <si>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MassMutual Center</t>
  </si>
  <si>
    <r>
      <rPr>
        <rFont val="Arial"/>
        <color rgb="FF202122"/>
        <sz val="10.0"/>
        <u/>
      </rPr>
      <t>Springfield Thunderbirds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>)</t>
    </r>
  </si>
  <si>
    <t>Farmington, New Mexico</t>
  </si>
  <si>
    <t>Allen Event Center</t>
  </si>
  <si>
    <t>Allen</t>
  </si>
  <si>
    <r>
      <rPr>
        <rFont val="Arial"/>
        <color rgb="FF202122"/>
        <sz val="10.0"/>
        <u/>
      </rPr>
      <t>Allen Americans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Dallas Sidekicks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MASL</t>
    </r>
    <r>
      <rPr>
        <rFont val="Arial"/>
        <sz val="10.0"/>
      </rPr>
      <t>)</t>
    </r>
  </si>
  <si>
    <t>AdventHealth Arena</t>
  </si>
  <si>
    <t>Bell County Expo Center</t>
  </si>
  <si>
    <t>Belton</t>
  </si>
  <si>
    <t>Chisholm Trail Coliseum</t>
  </si>
  <si>
    <t>Enid</t>
  </si>
  <si>
    <t>Ector County Coliseum</t>
  </si>
  <si>
    <t>Hersheypark Arena</t>
  </si>
  <si>
    <t>La Crosse Center</t>
  </si>
  <si>
    <t>La Crosse</t>
  </si>
  <si>
    <t>Upstate Medical University Arena at Onondaga County War Memorial</t>
  </si>
  <si>
    <r>
      <rPr>
        <rFont val="Arial"/>
        <color rgb="FF202122"/>
        <sz val="10.0"/>
        <u/>
      </rPr>
      <t>Syracuse Crunch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>)</t>
    </r>
  </si>
  <si>
    <t>ShoWare Center</t>
  </si>
  <si>
    <r>
      <rPr>
        <rFont val="Arial"/>
        <color rgb="FF202122"/>
        <sz val="10.0"/>
        <u/>
      </rPr>
      <t>Seattle Thunderbirds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WHL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Tacoma Stars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MASL</t>
    </r>
    <r>
      <rPr>
        <rFont val="Arial"/>
        <sz val="10.0"/>
      </rPr>
      <t>)</t>
    </r>
  </si>
  <si>
    <t>Sioux Falls Arena</t>
  </si>
  <si>
    <t>Sudduth Coliseum</t>
  </si>
  <si>
    <t>Grossinger Motors Arena</t>
  </si>
  <si>
    <r>
      <rPr>
        <rFont val="Arial"/>
        <color rgb="FF202122"/>
        <sz val="10.0"/>
        <u/>
      </rPr>
      <t>Central Illinois Flying Aces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USHL</t>
    </r>
    <r>
      <rPr>
        <rFont val="Arial"/>
        <sz val="10.0"/>
      </rPr>
      <t>)</t>
    </r>
  </si>
  <si>
    <t>Will Rogers Coliseum</t>
  </si>
  <si>
    <t>Farm Credit Dairy Center</t>
  </si>
  <si>
    <t>Tulare</t>
  </si>
  <si>
    <t>Erie Insurance Arena</t>
  </si>
  <si>
    <t>Erie</t>
  </si>
  <si>
    <r>
      <rPr>
        <rFont val="Arial"/>
        <color rgb="FF202122"/>
        <sz val="10.0"/>
        <u/>
      </rPr>
      <t>Erie Otters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OHL</t>
    </r>
    <r>
      <rPr>
        <rFont val="Arial"/>
        <sz val="10.0"/>
      </rPr>
      <t>)</t>
    </r>
  </si>
  <si>
    <t>Nacogdoches County Expo Center</t>
  </si>
  <si>
    <t>Allen County Memorial Expo Center</t>
  </si>
  <si>
    <t>Lee County Civic Center</t>
  </si>
  <si>
    <t>Fort Myers</t>
  </si>
  <si>
    <t>Salt Lake County Equestrian Center</t>
  </si>
  <si>
    <t>WesBanco Arena</t>
  </si>
  <si>
    <r>
      <rPr>
        <rFont val="Arial"/>
        <color rgb="FF202122"/>
        <sz val="10.0"/>
        <u/>
      </rPr>
      <t>Wheeling Nailers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>)</t>
    </r>
  </si>
  <si>
    <t>First Interstate Bank Center</t>
  </si>
  <si>
    <t>Redmond</t>
  </si>
  <si>
    <t>Yakima SunDome</t>
  </si>
  <si>
    <t>Yakima</t>
  </si>
  <si>
    <t>South Point Arena</t>
  </si>
  <si>
    <t>Kennewick</t>
  </si>
  <si>
    <r>
      <rPr>
        <rFont val="Arial"/>
        <color rgb="FF202122"/>
        <sz val="10.0"/>
        <u/>
      </rPr>
      <t>Tri-City Americans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WHL</t>
    </r>
    <r>
      <rPr>
        <rFont val="Arial"/>
        <sz val="10.0"/>
      </rPr>
      <t>)</t>
    </r>
  </si>
  <si>
    <t>Tri-Cities</t>
  </si>
  <si>
    <t>Callicott Arena</t>
  </si>
  <si>
    <t>Franklin</t>
  </si>
  <si>
    <t>John Hancock Arena</t>
  </si>
  <si>
    <t>Altamont</t>
  </si>
  <si>
    <t>Harrah's Cherokee Center</t>
  </si>
  <si>
    <t>Asheville</t>
  </si>
  <si>
    <t>Dow Event Center</t>
  </si>
  <si>
    <t>Saginaw</t>
  </si>
  <si>
    <r>
      <rPr>
        <rFont val="Arial"/>
        <color rgb="FF202122"/>
        <sz val="10.0"/>
        <u/>
      </rPr>
      <t>Saginaw Spirit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OHL</t>
    </r>
    <r>
      <rPr>
        <rFont val="Arial"/>
        <sz val="10.0"/>
      </rPr>
      <t>)</t>
    </r>
  </si>
  <si>
    <t>Agricenter Showplace Arena</t>
  </si>
  <si>
    <t>Dorton Arena</t>
  </si>
  <si>
    <t>Monroe Civic Center</t>
  </si>
  <si>
    <r>
      <rPr>
        <rFont val="Arial"/>
        <color rgb="FF202122"/>
        <sz val="10.0"/>
        <u/>
      </rPr>
      <t>Pennsylvania Farm Show</t>
    </r>
    <r>
      <rPr>
        <rFont val="Arial"/>
        <sz val="10.0"/>
      </rPr>
      <t xml:space="preserve">
Complex &amp; Expo Center</t>
    </r>
  </si>
  <si>
    <t>Harrisburg</t>
  </si>
  <si>
    <r>
      <rPr>
        <rFont val="Arial"/>
        <color rgb="FF202122"/>
        <sz val="10.0"/>
        <u/>
      </rPr>
      <t>Harrisburg Heat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MASL</t>
    </r>
    <r>
      <rPr>
        <rFont val="Arial"/>
        <sz val="10.0"/>
      </rPr>
      <t>)</t>
    </r>
  </si>
  <si>
    <t>Tony's Pizza Events Center</t>
  </si>
  <si>
    <t>Salina</t>
  </si>
  <si>
    <t>Cool Insuring Arena</t>
  </si>
  <si>
    <t>Glens Falls</t>
  </si>
  <si>
    <r>
      <rPr>
        <rFont val="Arial"/>
        <color rgb="FF202122"/>
        <sz val="10.0"/>
        <u/>
      </rPr>
      <t>Adirondack Thunder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>)</t>
    </r>
  </si>
  <si>
    <t>Butte Civic Center</t>
  </si>
  <si>
    <t>Butte</t>
  </si>
  <si>
    <t>Brown Convention Center</t>
  </si>
  <si>
    <t>Humble Civic Center Arena</t>
  </si>
  <si>
    <t>Humble</t>
  </si>
  <si>
    <t>Hutchinson Sports Arena</t>
  </si>
  <si>
    <t>Hutchinson</t>
  </si>
  <si>
    <t>Eihusen Arena</t>
  </si>
  <si>
    <t>Grand Island</t>
  </si>
  <si>
    <r>
      <rPr>
        <rFont val="Arial"/>
        <color rgb="FF202122"/>
        <sz val="10.0"/>
        <u/>
      </rPr>
      <t>Nebraska Danger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IFL</t>
    </r>
    <r>
      <rPr>
        <rFont val="Arial"/>
        <sz val="10.0"/>
      </rPr>
      <t>)</t>
    </r>
  </si>
  <si>
    <t>Lone Star Expo Center</t>
  </si>
  <si>
    <t>Conroe</t>
  </si>
  <si>
    <t>Reno Events Center</t>
  </si>
  <si>
    <t>Rio Rancho Events Center</t>
  </si>
  <si>
    <t>Rio Rancho</t>
  </si>
  <si>
    <t>Arnold Hall/Reilly Coliseum</t>
  </si>
  <si>
    <t>Adams Arena</t>
  </si>
  <si>
    <t>Fort Pierce</t>
  </si>
  <si>
    <t>National Western Complex Events Center</t>
  </si>
  <si>
    <t>Budweiser Events Center</t>
  </si>
  <si>
    <t>Loveland</t>
  </si>
  <si>
    <r>
      <rPr>
        <rFont val="Arial"/>
        <color rgb="FF202122"/>
        <sz val="10.0"/>
        <u/>
      </rPr>
      <t>Colorado Eagles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Colorado Crush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IFL</t>
    </r>
    <r>
      <rPr>
        <rFont val="Arial"/>
        <sz val="10.0"/>
      </rPr>
      <t>)</t>
    </r>
  </si>
  <si>
    <t>Leonard E. Merrill Center</t>
  </si>
  <si>
    <t>Katy</t>
  </si>
  <si>
    <t>Mayo Civic Center</t>
  </si>
  <si>
    <t>Show Me Center</t>
  </si>
  <si>
    <r>
      <rPr>
        <rFont val="Arial"/>
        <color rgb="FF202122"/>
        <sz val="10.0"/>
        <u/>
      </rPr>
      <t>Southeast Missouri State Redhawks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</si>
  <si>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Knoxville Civic Coliseum</t>
  </si>
  <si>
    <r>
      <rPr>
        <rFont val="Arial"/>
        <color rgb="FF202122"/>
        <sz val="10.0"/>
        <u/>
      </rPr>
      <t>Knoxville Ice Bears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SPHL</t>
    </r>
    <r>
      <rPr>
        <rFont val="Arial"/>
        <sz val="10.0"/>
      </rPr>
      <t>)</t>
    </r>
  </si>
  <si>
    <t>Escambia County Equestrian Center</t>
  </si>
  <si>
    <t>Quillen Arena</t>
  </si>
  <si>
    <t>Harrington</t>
  </si>
  <si>
    <t>Owensboro Sportscenter</t>
  </si>
  <si>
    <t>Owensboro</t>
  </si>
  <si>
    <t>Oceanfront Arena</t>
  </si>
  <si>
    <t>Wildwood</t>
  </si>
  <si>
    <t>Bill Graham Civic Auditorium</t>
  </si>
  <si>
    <t>Mesquite Arena</t>
  </si>
  <si>
    <t>Visions Veterans Memorial Arena</t>
  </si>
  <si>
    <t>Binghamton</t>
  </si>
  <si>
    <r>
      <rPr>
        <rFont val="Arial"/>
        <color rgb="FF202122"/>
        <sz val="10.0"/>
        <u/>
      </rPr>
      <t>Binghamton Black Bears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FPHL</t>
    </r>
    <r>
      <rPr>
        <rFont val="Arial"/>
        <sz val="10.0"/>
      </rPr>
      <t>)</t>
    </r>
  </si>
  <si>
    <t>Appalachian Wireless Arena</t>
  </si>
  <si>
    <t>Pikeville</t>
  </si>
  <si>
    <t>Genesis Convention Center</t>
  </si>
  <si>
    <t>Gary</t>
  </si>
  <si>
    <t>Cable Dahmer Arena</t>
  </si>
  <si>
    <t>Independence</t>
  </si>
  <si>
    <r>
      <rPr>
        <rFont val="Arial"/>
        <color rgb="FF202122"/>
        <sz val="10.0"/>
        <u/>
      </rPr>
      <t>Kansas City Mavericks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Missouri Comets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MASL</t>
    </r>
    <r>
      <rPr>
        <rFont val="Arial"/>
        <sz val="10.0"/>
      </rPr>
      <t>)</t>
    </r>
  </si>
  <si>
    <t>The Hippodrome</t>
  </si>
  <si>
    <t>Waterloo</t>
  </si>
  <si>
    <t>Taft Coliseum</t>
  </si>
  <si>
    <t>Oregon State Fairgrounds Pavilion</t>
  </si>
  <si>
    <t>Salem</t>
  </si>
  <si>
    <t>Scheels Arena</t>
  </si>
  <si>
    <r>
      <rPr>
        <rFont val="Arial"/>
        <color rgb="FF202122"/>
        <sz val="10.0"/>
        <u/>
      </rPr>
      <t>Fargo Force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USHL</t>
    </r>
    <r>
      <rPr>
        <rFont val="Arial"/>
        <sz val="10.0"/>
      </rPr>
      <t>)</t>
    </r>
  </si>
  <si>
    <t>Majestic Valley Arena</t>
  </si>
  <si>
    <t>Kalispell</t>
  </si>
  <si>
    <t>Hard Rock Live at Etess Arena</t>
  </si>
  <si>
    <t>Moody Gardens Exposition Hall</t>
  </si>
  <si>
    <t>Galveston</t>
  </si>
  <si>
    <t>Comerica Center</t>
  </si>
  <si>
    <r>
      <rPr>
        <rFont val="Arial"/>
        <color rgb="FF202122"/>
        <sz val="10.0"/>
        <u/>
      </rPr>
      <t>Texas Legends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</si>
  <si>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Lea County Event Center</t>
  </si>
  <si>
    <t>Hobbs</t>
  </si>
  <si>
    <t>Battelle Hall</t>
  </si>
  <si>
    <t>Salem Civic Center</t>
  </si>
  <si>
    <t>Idaho Central Arena</t>
  </si>
  <si>
    <r>
      <rPr>
        <rFont val="Arial"/>
        <color rgb="FF202122"/>
        <sz val="10.0"/>
        <u/>
      </rPr>
      <t>Idaho Steelheads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>)</t>
    </r>
  </si>
  <si>
    <t>Payne Arena</t>
  </si>
  <si>
    <t>Hidalgo</t>
  </si>
  <si>
    <t>Dixie Center</t>
  </si>
  <si>
    <t>Augusta Civic Center</t>
  </si>
  <si>
    <t>Wicomico Youth and Civic Center</t>
  </si>
  <si>
    <t>Salisbury</t>
  </si>
  <si>
    <t>Claremore Expo Center</t>
  </si>
  <si>
    <t>Claremore</t>
  </si>
  <si>
    <t>Amarillo Civic Center</t>
  </si>
  <si>
    <t>Broadbent Arena</t>
  </si>
  <si>
    <t>Lamar Dixon Expo Center</t>
  </si>
  <si>
    <t>Gonzales</t>
  </si>
  <si>
    <t>Farm Bureau Expo Center</t>
  </si>
  <si>
    <t>Lebanon</t>
  </si>
  <si>
    <t>Jamestown Civic Center</t>
  </si>
  <si>
    <t>Jamestown</t>
  </si>
  <si>
    <t>Ike Hamilton Expo Center</t>
  </si>
  <si>
    <t>West Monroe</t>
  </si>
  <si>
    <t>Foster Communications Coliseum</t>
  </si>
  <si>
    <t>San Angelo</t>
  </si>
  <si>
    <t>Carlson Center</t>
  </si>
  <si>
    <t>Fairbanks</t>
  </si>
  <si>
    <t>Rapides Parish Coliseum</t>
  </si>
  <si>
    <t>Alexandria</t>
  </si>
  <si>
    <t>Beaumont Civic Center</t>
  </si>
  <si>
    <t>Jacksonville Equestrian Center</t>
  </si>
  <si>
    <t>Jim R. Miller Event Center</t>
  </si>
  <si>
    <t>Marietta</t>
  </si>
  <si>
    <t>Corteva Agriscience Center</t>
  </si>
  <si>
    <t>Four States Arena</t>
  </si>
  <si>
    <t>Texarkana</t>
  </si>
  <si>
    <t>Hartman Arena</t>
  </si>
  <si>
    <t>Park City</t>
  </si>
  <si>
    <r>
      <rPr>
        <rFont val="Arial"/>
        <color rgb="FF202122"/>
        <sz val="10.0"/>
        <u/>
      </rPr>
      <t>Wichita B-52s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MASL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Wichita Force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CIF</t>
    </r>
    <r>
      <rPr>
        <rFont val="Arial"/>
        <sz val="10.0"/>
      </rPr>
      <t>)</t>
    </r>
  </si>
  <si>
    <t>Kellogg Arena</t>
  </si>
  <si>
    <t>Battle Creek</t>
  </si>
  <si>
    <t>Sacramento Convention Center</t>
  </si>
  <si>
    <t>Viking Hall</t>
  </si>
  <si>
    <t>Bristol</t>
  </si>
  <si>
    <t>Star of the Desert Arena</t>
  </si>
  <si>
    <t>Primm</t>
  </si>
  <si>
    <t>Dort Federal Credit Union Event Center</t>
  </si>
  <si>
    <r>
      <rPr>
        <rFont val="Arial"/>
        <color rgb="FF202122"/>
        <sz val="10.0"/>
        <u/>
      </rPr>
      <t>Flint Firebirds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OHL</t>
    </r>
    <r>
      <rPr>
        <rFont val="Arial"/>
        <sz val="10.0"/>
      </rPr>
      <t>)</t>
    </r>
  </si>
  <si>
    <t>Corbin Arena</t>
  </si>
  <si>
    <t>Corbin</t>
  </si>
  <si>
    <t>DECC Arena</t>
  </si>
  <si>
    <t>Halenbeck Hall</t>
  </si>
  <si>
    <t>St. Cloud</t>
  </si>
  <si>
    <r>
      <rPr>
        <rFont val="Arial"/>
        <color rgb="FF202122"/>
        <sz val="10.0"/>
        <u/>
      </rPr>
      <t>St. Cloud State Huskies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 Division II</t>
    </r>
    <r>
      <rPr>
        <rFont val="Arial"/>
        <sz val="10.0"/>
      </rPr>
      <t>)</t>
    </r>
  </si>
  <si>
    <t>Miller Expo Centre</t>
  </si>
  <si>
    <t>Essex Junction</t>
  </si>
  <si>
    <t>Vermont</t>
  </si>
  <si>
    <t>Mercy Health Arena</t>
  </si>
  <si>
    <t>Muskegon</t>
  </si>
  <si>
    <r>
      <rPr>
        <rFont val="Arial"/>
        <color rgb="FF202122"/>
        <sz val="10.0"/>
        <u/>
      </rPr>
      <t>Muskegon Lumberjacks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USHL</t>
    </r>
    <r>
      <rPr>
        <rFont val="Arial"/>
        <sz val="10.0"/>
      </rPr>
      <t>)</t>
    </r>
  </si>
  <si>
    <t>Legacy Event Center</t>
  </si>
  <si>
    <t>Farmington</t>
  </si>
  <si>
    <t>Expo Square Pavilion</t>
  </si>
  <si>
    <r>
      <rPr>
        <rFont val="Arial"/>
        <color rgb="FF202122"/>
        <sz val="10.0"/>
        <u/>
      </rPr>
      <t>Tulsa Revolution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MASL</t>
    </r>
    <r>
      <rPr>
        <rFont val="Arial"/>
        <sz val="10.0"/>
      </rPr>
      <t>)</t>
    </r>
  </si>
  <si>
    <t>Covelli Centre</t>
  </si>
  <si>
    <r>
      <rPr>
        <rFont val="Arial"/>
        <color rgb="FF202122"/>
        <sz val="10.0"/>
        <u/>
      </rPr>
      <t>Youngstown Phantoms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USHL</t>
    </r>
    <r>
      <rPr>
        <rFont val="Arial"/>
        <sz val="10.0"/>
      </rPr>
      <t>)</t>
    </r>
  </si>
  <si>
    <t>Wings Event Center</t>
  </si>
  <si>
    <r>
      <rPr>
        <rFont val="Arial"/>
        <color rgb="FF202122"/>
        <sz val="10.0"/>
        <u/>
      </rPr>
      <t>Kalamazoo Wings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>)</t>
    </r>
  </si>
  <si>
    <t>Wilson Logistics Arena</t>
  </si>
  <si>
    <r>
      <rPr>
        <rFont val="Arial"/>
        <color rgb="FF202122"/>
        <sz val="10.0"/>
        <u/>
      </rPr>
      <t>Ozarks Lunkers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TAL</t>
    </r>
    <r>
      <rPr>
        <rFont val="Arial"/>
        <sz val="10.0"/>
      </rPr>
      <t>)</t>
    </r>
  </si>
  <si>
    <t>Reno-Sparks Livestock Events Center</t>
  </si>
  <si>
    <t>Bank OZK Arena</t>
  </si>
  <si>
    <t>Hot Springs</t>
  </si>
  <si>
    <t>Stormont Vail Exhibition Hall</t>
  </si>
  <si>
    <t>Findlay Toyota Center</t>
  </si>
  <si>
    <t>Prescott Valley</t>
  </si>
  <si>
    <t>Four Seasons Arena</t>
  </si>
  <si>
    <t>Great Falls</t>
  </si>
  <si>
    <t>Legacy Events Center</t>
  </si>
  <si>
    <t>1stBank Center</t>
  </si>
  <si>
    <t>Broomfield</t>
  </si>
  <si>
    <t>Arthur Ashe Athletic Center</t>
  </si>
  <si>
    <t>F&amp;M Bank Arena</t>
  </si>
  <si>
    <r>
      <rPr>
        <rFont val="Arial"/>
        <color rgb="FF202122"/>
        <sz val="10.0"/>
        <u/>
      </rPr>
      <t>Austin Peay State Governors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</si>
  <si>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Bill Harris Arena</t>
  </si>
  <si>
    <t>Boutwell Memorial Auditorium</t>
  </si>
  <si>
    <t>Cambria County War Memorial Arena</t>
  </si>
  <si>
    <t>Johnstown</t>
  </si>
  <si>
    <t>El Paso County Coliseum</t>
  </si>
  <si>
    <t>Xtream Arena</t>
  </si>
  <si>
    <t>Coralville</t>
  </si>
  <si>
    <r>
      <rPr>
        <rFont val="Arial"/>
        <color rgb="FF202122"/>
        <sz val="10.0"/>
        <u/>
      </rPr>
      <t>Iowa Heartlanders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>)</t>
    </r>
  </si>
  <si>
    <t>Hero Arena</t>
  </si>
  <si>
    <t>Idaho Falls</t>
  </si>
  <si>
    <r>
      <rPr>
        <rFont val="Arial"/>
        <color rgb="FF202122"/>
        <sz val="10.0"/>
        <u/>
      </rPr>
      <t>Idaho Falls Spud Kings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USPHL</t>
    </r>
    <r>
      <rPr>
        <rFont val="Arial"/>
        <sz val="10.0"/>
      </rPr>
      <t>)</t>
    </r>
  </si>
  <si>
    <t>Louisville Gardens</t>
  </si>
  <si>
    <t>Tunica Arena and Exposition Center</t>
  </si>
  <si>
    <t>Tunica</t>
  </si>
  <si>
    <t>Dollar Loan Center</t>
  </si>
  <si>
    <t>Henderson</t>
  </si>
  <si>
    <r>
      <rPr>
        <rFont val="Arial"/>
        <color rgb="FF202122"/>
        <sz val="10.0"/>
        <u/>
      </rPr>
      <t>Henderson Silver Knights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NBA G League Ignite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</si>
  <si>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Kansas Star Arena</t>
  </si>
  <si>
    <t>Mulvane</t>
  </si>
  <si>
    <t>Murieta Equestrian Center</t>
  </si>
  <si>
    <t>Rancho Cordova</t>
  </si>
  <si>
    <t>Big E Coliseum</t>
  </si>
  <si>
    <t>West Springfield</t>
  </si>
  <si>
    <t>The Show Place Arena</t>
  </si>
  <si>
    <t>Upper Marlboro</t>
  </si>
  <si>
    <t>Roy Wilkins Auditorium</t>
  </si>
  <si>
    <t>Cross Insurance Center</t>
  </si>
  <si>
    <t>Bangor</t>
  </si>
  <si>
    <r>
      <rPr>
        <rFont val="Arial"/>
        <color rgb="FF202122"/>
        <sz val="10.0"/>
        <u/>
      </rPr>
      <t>Maine Black Bears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</si>
  <si>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Town Toyota Center</t>
  </si>
  <si>
    <t>Wenatchee</t>
  </si>
  <si>
    <r>
      <rPr>
        <rFont val="Arial"/>
        <color rgb="FF202122"/>
        <sz val="10.0"/>
        <u/>
      </rPr>
      <t>Wenatchee Wild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WHL</t>
    </r>
    <r>
      <rPr>
        <rFont val="Arial"/>
        <sz val="10.0"/>
      </rPr>
      <t>)</t>
    </r>
  </si>
  <si>
    <t>Lee &amp; Rose Warner Coliseum</t>
  </si>
  <si>
    <t>Falcon Heights</t>
  </si>
  <si>
    <t>Summit County Arena</t>
  </si>
  <si>
    <t>Tallmadge</t>
  </si>
  <si>
    <t>Adirondack Bank Center</t>
  </si>
  <si>
    <t>Utica</t>
  </si>
  <si>
    <r>
      <rPr>
        <rFont val="Arial"/>
        <color rgb="FF202122"/>
        <sz val="10.0"/>
        <u/>
      </rPr>
      <t>Utica Comets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Utica City FC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MASL</t>
    </r>
    <r>
      <rPr>
        <rFont val="Arial"/>
        <sz val="10.0"/>
      </rPr>
      <t>)</t>
    </r>
  </si>
  <si>
    <t>Oman Arena</t>
  </si>
  <si>
    <t>McAllen Convention Center</t>
  </si>
  <si>
    <t>Utz Arena</t>
  </si>
  <si>
    <t>York</t>
  </si>
  <si>
    <t>United Wireless Arena</t>
  </si>
  <si>
    <t>Dodge City</t>
  </si>
  <si>
    <r>
      <rPr>
        <rFont val="Arial"/>
        <color rgb="FF202122"/>
        <sz val="10.0"/>
        <u/>
      </rPr>
      <t>Dodge City Law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CIF</t>
    </r>
    <r>
      <rPr>
        <rFont val="Arial"/>
        <sz val="10.0"/>
      </rPr>
      <t>)</t>
    </r>
  </si>
  <si>
    <t>ION International Training Center</t>
  </si>
  <si>
    <t>Leesburg</t>
  </si>
  <si>
    <t>LandMark Implement Arena</t>
  </si>
  <si>
    <t>Kearney</t>
  </si>
  <si>
    <t>Veterans Memorial Coliseum</t>
  </si>
  <si>
    <t>Marion</t>
  </si>
  <si>
    <t>Kaiser Convention Center</t>
  </si>
  <si>
    <t>Androscoggin Bank Colisée</t>
  </si>
  <si>
    <t>Lewiston</t>
  </si>
  <si>
    <r>
      <rPr>
        <rFont val="Arial"/>
        <color rgb="FF202122"/>
        <sz val="10.0"/>
        <u/>
      </rPr>
      <t>Maine Nordiques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NAHL</t>
    </r>
    <r>
      <rPr>
        <rFont val="Arial"/>
        <sz val="10.0"/>
      </rPr>
      <t>)</t>
    </r>
  </si>
  <si>
    <t>Hibbing Memorial Building</t>
  </si>
  <si>
    <t>Hibbing</t>
  </si>
  <si>
    <t>St. John Arena</t>
  </si>
  <si>
    <t>Steubenville</t>
  </si>
  <si>
    <t>Hobart Arena</t>
  </si>
  <si>
    <t>Mojave Crossing</t>
  </si>
  <si>
    <t>Fort Mohave</t>
  </si>
  <si>
    <t>All Seasons Arena</t>
  </si>
  <si>
    <t>Minot</t>
  </si>
  <si>
    <t>Lane Events Center</t>
  </si>
  <si>
    <t>Shipley Arena</t>
  </si>
  <si>
    <t>Westminster</t>
  </si>
  <si>
    <t>Seven Feathers Event Center</t>
  </si>
  <si>
    <t>Central Point</t>
  </si>
  <si>
    <t>Hammond Civic Center</t>
  </si>
  <si>
    <t>Hammond</t>
  </si>
  <si>
    <t>Five Flags Civic Center</t>
  </si>
  <si>
    <t>Dubuque</t>
  </si>
  <si>
    <t>Canton Memorial Civic Center</t>
  </si>
  <si>
    <t>Big Boy Arena</t>
  </si>
  <si>
    <t>Fraser</t>
  </si>
  <si>
    <r>
      <rPr>
        <rFont val="Arial"/>
        <color rgb="FF202122"/>
        <sz val="10.0"/>
        <u/>
      </rPr>
      <t>Motor City Rockers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FPHL</t>
    </r>
    <r>
      <rPr>
        <rFont val="Arial"/>
        <sz val="10.0"/>
      </rPr>
      <t>)</t>
    </r>
  </si>
  <si>
    <t>Sunnyview Covered Arena</t>
  </si>
  <si>
    <t>Oshkosh</t>
  </si>
  <si>
    <t>Special Events Center, East Wing</t>
  </si>
  <si>
    <t>Forrest County Multipurpose Center</t>
  </si>
  <si>
    <t>Canadian County Expo Center</t>
  </si>
  <si>
    <t>El Reno</t>
  </si>
  <si>
    <t>Edwards Hall</t>
  </si>
  <si>
    <t>Northeast Alabama Agri-Business Center</t>
  </si>
  <si>
    <t>Rainsville</t>
  </si>
  <si>
    <t>Ice Box</t>
  </si>
  <si>
    <r>
      <rPr>
        <rFont val="Arial"/>
        <color rgb="FF202122"/>
        <sz val="10.0"/>
        <u/>
      </rPr>
      <t>Lincoln Stars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USHL</t>
    </r>
    <r>
      <rPr>
        <rFont val="Arial"/>
        <sz val="10.0"/>
      </rPr>
      <t>)</t>
    </r>
  </si>
  <si>
    <t>Meadowlands Exposition Center</t>
  </si>
  <si>
    <t>Secaucus</t>
  </si>
  <si>
    <r>
      <rPr>
        <rFont val="Arial"/>
        <color rgb="FF202122"/>
        <sz val="10.0"/>
        <u/>
      </rPr>
      <t>Expo Center at the</t>
    </r>
    <r>
      <rPr>
        <rFont val="Arial"/>
        <sz val="10.0"/>
      </rPr>
      <t xml:space="preserve">
South Florida Fairgrounds</t>
    </r>
  </si>
  <si>
    <t>West Palm Beach</t>
  </si>
  <si>
    <t>Virginia Beach Sports Center</t>
  </si>
  <si>
    <t>Virginia Beach</t>
  </si>
  <si>
    <r>
      <rPr>
        <rFont val="Arial"/>
        <color rgb="FF202122"/>
        <sz val="10.0"/>
        <u/>
      </rPr>
      <t>Island Grove</t>
    </r>
    <r>
      <rPr>
        <rFont val="Arial"/>
        <sz val="10.0"/>
      </rPr>
      <t xml:space="preserve"> Events Center</t>
    </r>
  </si>
  <si>
    <t>Greeley</t>
  </si>
  <si>
    <t>Viaero Event Center</t>
  </si>
  <si>
    <r>
      <rPr>
        <rFont val="Arial"/>
        <color rgb="FF202122"/>
        <sz val="10.0"/>
        <u/>
      </rPr>
      <t>Tri-City Storm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USHL</t>
    </r>
    <r>
      <rPr>
        <rFont val="Arial"/>
        <sz val="10.0"/>
      </rPr>
      <t>)</t>
    </r>
  </si>
  <si>
    <t>Black River Coliseum</t>
  </si>
  <si>
    <t>Poplar Bluff</t>
  </si>
  <si>
    <t>First Arena</t>
  </si>
  <si>
    <t>Elmira</t>
  </si>
  <si>
    <r>
      <rPr>
        <rFont val="Arial"/>
        <color rgb="FF202122"/>
        <sz val="10.0"/>
        <u/>
      </rPr>
      <t>Elmira Enforcers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FPHL</t>
    </r>
    <r>
      <rPr>
        <rFont val="Arial"/>
        <sz val="10.0"/>
      </rPr>
      <t>)</t>
    </r>
  </si>
  <si>
    <t>Hale Arena</t>
  </si>
  <si>
    <t>Houma Terrebonne Civic Center</t>
  </si>
  <si>
    <t>Houma</t>
  </si>
  <si>
    <t>Houston County Farm Center</t>
  </si>
  <si>
    <t>Minot Municipal Auditorium</t>
  </si>
  <si>
    <t>Roland E. Powell Convention Center</t>
  </si>
  <si>
    <t>Ocean City</t>
  </si>
  <si>
    <t>Rostraver Ice Garden</t>
  </si>
  <si>
    <t>Belle Vernon</t>
  </si>
  <si>
    <t>Taylor County Expo Center</t>
  </si>
  <si>
    <t>Westchester County Center</t>
  </si>
  <si>
    <t>White Plains</t>
  </si>
  <si>
    <r>
      <rPr>
        <rFont val="Arial"/>
        <color rgb="FF202122"/>
        <sz val="10.0"/>
        <u/>
      </rPr>
      <t>Westchester Knicks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</si>
  <si>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Lifetime Activities Center</t>
  </si>
  <si>
    <t>Taylorsville</t>
  </si>
  <si>
    <r>
      <rPr>
        <rFont val="Arial"/>
        <color rgb="FF202122"/>
        <sz val="10.0"/>
        <u/>
      </rPr>
      <t>Salt Lake City Stars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</si>
  <si>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Main Street Armory</t>
  </si>
  <si>
    <t>Del Mar Arena</t>
  </si>
  <si>
    <t>Del Mar</t>
  </si>
  <si>
    <t>Damus Pavilion</t>
  </si>
  <si>
    <t>San Bernardino</t>
  </si>
  <si>
    <t>Gateway Center Arena</t>
  </si>
  <si>
    <r>
      <rPr>
        <rFont val="Arial"/>
        <color rgb="FF202122"/>
        <sz val="10.0"/>
        <u/>
      </rPr>
      <t>Atlanta Dream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WNBA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College Park Skyhawks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</si>
  <si>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Pelham Civic Center</t>
  </si>
  <si>
    <t>Pelham</t>
  </si>
  <si>
    <r>
      <rPr>
        <rFont val="Arial"/>
        <color rgb="FF202122"/>
        <sz val="10.0"/>
        <u/>
      </rPr>
      <t>Birmingham Bulls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SPHL</t>
    </r>
    <r>
      <rPr>
        <rFont val="Arial"/>
        <sz val="10.0"/>
      </rPr>
      <t>)</t>
    </r>
  </si>
  <si>
    <t>N/A</t>
  </si>
  <si>
    <t>Turning Stone Events Center</t>
  </si>
  <si>
    <t>Verona</t>
  </si>
  <si>
    <t>Camp Jordan Arena</t>
  </si>
  <si>
    <t>Aldrich Arena</t>
  </si>
  <si>
    <t>Maplewood</t>
  </si>
  <si>
    <t>Robarts Arena</t>
  </si>
  <si>
    <t>Sarasota</t>
  </si>
  <si>
    <t>Presque Isle Forum</t>
  </si>
  <si>
    <t>Presque Isle</t>
  </si>
  <si>
    <t>FireLake Arena</t>
  </si>
  <si>
    <t>Shawnee</t>
  </si>
  <si>
    <t>Odeum Expo Center</t>
  </si>
  <si>
    <t>Villa Park</t>
  </si>
  <si>
    <t>Akins Ford Arena</t>
  </si>
  <si>
    <r>
      <rPr>
        <rFont val="Arial"/>
        <color rgb="FF202122"/>
        <sz val="10.0"/>
        <u/>
      </rPr>
      <t>UGA Ice Dawgs hockey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SECHC</t>
    </r>
    <r>
      <rPr>
        <rFont val="Arial"/>
        <sz val="10.0"/>
      </rPr>
      <t>)</t>
    </r>
  </si>
  <si>
    <t>Tahoe Blue Event Center</t>
  </si>
  <si>
    <t>Stateline</t>
  </si>
  <si>
    <r>
      <rPr>
        <rFont val="Arial"/>
        <color rgb="FF202122"/>
        <sz val="10.0"/>
        <u/>
      </rPr>
      <t>Lake Tahoe ECHL team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>)</t>
    </r>
  </si>
  <si>
    <t>Joseph J. Gentile Arena</t>
  </si>
  <si>
    <r>
      <rPr>
        <rFont val="Arial"/>
        <color rgb="FF202122"/>
        <sz val="10.0"/>
        <u/>
      </rPr>
      <t>Loyola Chicago Ramblers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</si>
  <si>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East Grand Forks Civic Center</t>
  </si>
  <si>
    <t>East Grand Forks</t>
  </si>
  <si>
    <t>Deseret Peak Indoor Arena</t>
  </si>
  <si>
    <t>Tooele</t>
  </si>
  <si>
    <t>Lamar County Multipurpose Center</t>
  </si>
  <si>
    <t>Purvis</t>
  </si>
  <si>
    <t>Hocklander Hall</t>
  </si>
  <si>
    <t>Ft. Smith Convention Center</t>
  </si>
  <si>
    <t>Fort Smith</t>
  </si>
  <si>
    <t>Schroeder Expo Center</t>
  </si>
  <si>
    <t>Paducah</t>
  </si>
  <si>
    <t>David S. Palmer Arena</t>
  </si>
  <si>
    <t>Danville</t>
  </si>
  <si>
    <r>
      <rPr>
        <rFont val="Arial"/>
        <color rgb="FF202122"/>
        <sz val="10.0"/>
        <u/>
      </rPr>
      <t>Vermilion County Bobcats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SPHL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</si>
  <si>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Century II Performing Arts</t>
    </r>
    <r>
      <rPr>
        <rFont val="Arial"/>
        <sz val="10.0"/>
      </rPr>
      <t xml:space="preserve">
&amp; Convention Center</t>
    </r>
  </si>
  <si>
    <t>Erie Fairgrounds Event Center</t>
  </si>
  <si>
    <t>Hamburg</t>
  </si>
  <si>
    <t>Lauderdale County Agri-Center</t>
  </si>
  <si>
    <t>Meridian</t>
  </si>
  <si>
    <t>Calpooia Arena</t>
  </si>
  <si>
    <t>USA Hockey Arena</t>
  </si>
  <si>
    <t>Plymouth</t>
  </si>
  <si>
    <r>
      <rPr>
        <rFont val="Arial"/>
        <color rgb="FF202122"/>
        <sz val="10.0"/>
        <u/>
      </rPr>
      <t>USA NTDP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USHL</t>
    </r>
    <r>
      <rPr>
        <rFont val="Arial"/>
        <sz val="10.0"/>
      </rPr>
      <t>)</t>
    </r>
  </si>
  <si>
    <t>Springfield Expo Center</t>
  </si>
  <si>
    <t>Jacobson Exhibition Center</t>
  </si>
  <si>
    <t>Midland County Horseshoe</t>
  </si>
  <si>
    <t>Midland</t>
  </si>
  <si>
    <t>Ruby Community Center</t>
  </si>
  <si>
    <t>Henrico Sports and Events Center</t>
  </si>
  <si>
    <t>Glen Allen</t>
  </si>
  <si>
    <t>Stock Arena</t>
  </si>
  <si>
    <t>Haynes Pavilion</t>
  </si>
  <si>
    <t>The Legacy Center</t>
  </si>
  <si>
    <r>
      <rPr>
        <rFont val="Arial"/>
        <color rgb="FF202122"/>
        <sz val="10.0"/>
        <u/>
      </rPr>
      <t>McNeese Cowboys and Cowgirls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</si>
  <si>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East Grand Forks Civic Arena</t>
  </si>
  <si>
    <t>Oshkosh Arena</t>
  </si>
  <si>
    <r>
      <rPr>
        <rFont val="Arial"/>
        <color rgb="FF202122"/>
        <sz val="10.0"/>
        <u/>
      </rPr>
      <t>Wisconsin Herd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</si>
  <si>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St. Elizabeths East Entertainment</t>
    </r>
    <r>
      <rPr>
        <rFont val="Arial"/>
        <sz val="10.0"/>
      </rPr>
      <t xml:space="preserve">
and Sports Arena</t>
    </r>
  </si>
  <si>
    <r>
      <rPr>
        <rFont val="Arial"/>
        <color rgb="FF202122"/>
        <sz val="10.0"/>
        <u/>
      </rPr>
      <t>Washington Mystics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WNBA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Capital City Go-Go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</si>
  <si>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St. Joseph Civic Arena</t>
  </si>
  <si>
    <t>St. Joseph</t>
  </si>
  <si>
    <t>Tech CU Arena</t>
  </si>
  <si>
    <r>
      <rPr>
        <rFont val="Arial"/>
        <color rgb="FF202122"/>
        <sz val="10.0"/>
        <u/>
      </rPr>
      <t>San Jose Barracuda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AHL</t>
    </r>
    <r>
      <rPr>
        <rFont val="Arial"/>
        <sz val="10.0"/>
      </rPr>
      <t>)</t>
    </r>
  </si>
  <si>
    <t>Walter Pyramid</t>
  </si>
  <si>
    <r>
      <rPr>
        <rFont val="Arial"/>
        <color rgb="FF202122"/>
        <sz val="10.0"/>
        <u/>
      </rPr>
      <t>Long Beach State athletics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</si>
  <si>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Aleppo Shriners Auditorium</t>
  </si>
  <si>
    <t>Wilmington</t>
  </si>
  <si>
    <t>Davis Pavilion</t>
  </si>
  <si>
    <t>Red Bluff</t>
  </si>
  <si>
    <t>Rockin A Arena</t>
  </si>
  <si>
    <t>Palmyra</t>
  </si>
  <si>
    <r>
      <rPr>
        <rFont val="Arial"/>
        <color rgb="FF202122"/>
        <sz val="10.0"/>
        <u/>
      </rPr>
      <t>Topsfield Fair</t>
    </r>
    <r>
      <rPr>
        <rFont val="Arial"/>
        <sz val="10.0"/>
      </rPr>
      <t xml:space="preserve"> Arena</t>
    </r>
  </si>
  <si>
    <t>Topsfield</t>
  </si>
  <si>
    <t>Rochester Recreation Center</t>
  </si>
  <si>
    <t>Devlin Fieldhouse</t>
  </si>
  <si>
    <r>
      <rPr>
        <rFont val="Arial"/>
        <color rgb="FF202122"/>
        <sz val="10.0"/>
        <u/>
      </rPr>
      <t>Tulane Green Wave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</si>
  <si>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Dalton Convention Center</t>
  </si>
  <si>
    <t>Dalton</t>
  </si>
  <si>
    <r>
      <rPr>
        <rFont val="Arial"/>
        <color rgb="FF202122"/>
        <sz val="10.0"/>
        <u/>
      </rPr>
      <t>Dalton State College</t>
    </r>
    <r>
      <rPr>
        <rFont val="Arial"/>
        <sz val="10.0"/>
      </rPr>
      <t xml:space="preserve"> Roadrunners</t>
    </r>
  </si>
  <si>
    <t>Rocky Mount Event Center</t>
  </si>
  <si>
    <t>Rocky Mount</t>
  </si>
  <si>
    <t>Watertown Municipal Arena</t>
  </si>
  <si>
    <t>Watertown</t>
  </si>
  <si>
    <r>
      <rPr>
        <rFont val="Arial"/>
        <color rgb="FF202122"/>
        <sz val="10.0"/>
        <u/>
      </rPr>
      <t>Watertown Wolves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FPHL</t>
    </r>
    <r>
      <rPr>
        <rFont val="Arial"/>
        <sz val="10.0"/>
      </rPr>
      <t>)</t>
    </r>
  </si>
  <si>
    <t>Winston-Salem Fairgrounds Annex</t>
  </si>
  <si>
    <r>
      <rPr>
        <rFont val="Arial"/>
        <color rgb="FF202122"/>
        <sz val="10.0"/>
        <u/>
      </rPr>
      <t>Carolina Thunderbirds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FPHL</t>
    </r>
    <r>
      <rPr>
        <rFont val="Arial"/>
        <sz val="10.0"/>
      </rPr>
      <t>)</t>
    </r>
  </si>
  <si>
    <t>Alachua County Agriculture and Equestrian Center</t>
  </si>
  <si>
    <t>Newberry</t>
  </si>
  <si>
    <t>Bradenton Area Convention Center</t>
  </si>
  <si>
    <t>Bradenton</t>
  </si>
  <si>
    <t>Lattimore Arena</t>
  </si>
  <si>
    <t>King Coal Beckley Automall Arena</t>
  </si>
  <si>
    <t>Beckley</t>
  </si>
  <si>
    <r>
      <rPr>
        <rFont val="Arial"/>
        <color rgb="FF202122"/>
        <sz val="10.0"/>
        <u/>
      </rPr>
      <t>WVU Tech Golden Bears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NAIA</t>
    </r>
    <r>
      <rPr>
        <rFont val="Arial"/>
        <sz val="10.0"/>
      </rPr>
      <t>)</t>
    </r>
  </si>
  <si>
    <t>Titan Gym</t>
  </si>
  <si>
    <t>Fullerton</t>
  </si>
  <si>
    <r>
      <rPr>
        <rFont val="Arial"/>
        <color rgb="FF202122"/>
        <sz val="10.0"/>
        <u/>
      </rPr>
      <t>Cal State Fullerton Titans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</si>
  <si>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The Cube</t>
  </si>
  <si>
    <t>Findlay</t>
  </si>
  <si>
    <t>Vadalabene Center</t>
  </si>
  <si>
    <t>Edwardsville</t>
  </si>
  <si>
    <r>
      <rPr>
        <rFont val="Arial"/>
        <color rgb="FF202122"/>
        <sz val="10.0"/>
        <u/>
      </rPr>
      <t>SIU Edwardsville Cougars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</si>
  <si>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Kansas State Fair</t>
    </r>
    <r>
      <rPr>
        <rFont val="Arial"/>
        <sz val="10.0"/>
      </rPr>
      <t xml:space="preserve"> Expo Center</t>
    </r>
  </si>
  <si>
    <r>
      <rPr>
        <rFont val="Arial"/>
        <color rgb="FF202122"/>
        <sz val="10.0"/>
        <u/>
      </rPr>
      <t>Midland County Fair</t>
    </r>
    <r>
      <rPr>
        <rFont val="Arial"/>
        <sz val="10.0"/>
      </rPr>
      <t xml:space="preserve"> Center</t>
    </r>
  </si>
  <si>
    <t>Gersten Pavilion</t>
  </si>
  <si>
    <r>
      <rPr>
        <rFont val="Arial"/>
        <color rgb="FF202122"/>
        <sz val="10.0"/>
        <u/>
      </rPr>
      <t>Loyola Marymount Lions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</si>
  <si>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Great Plains Coliseum</t>
  </si>
  <si>
    <t>Lawton</t>
  </si>
  <si>
    <t>Iron Trail Motors Event Center</t>
  </si>
  <si>
    <t>Prather Coliseum</t>
  </si>
  <si>
    <r>
      <rPr>
        <rFont val="Arial"/>
        <color rgb="FF202122"/>
        <sz val="10.0"/>
        <u/>
      </rPr>
      <t>Northwestern State Demons and Lady Demons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</si>
  <si>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Stride Bank Arena</t>
  </si>
  <si>
    <t>ImOn Ice Arena</t>
  </si>
  <si>
    <r>
      <rPr>
        <rFont val="Arial"/>
        <color rgb="FF202122"/>
        <sz val="10.0"/>
        <u/>
      </rPr>
      <t>Cedar Rapids RoughRiders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USHL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</si>
  <si>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Expo Idaho</t>
    </r>
    <r>
      <rPr>
        <rFont val="Arial"/>
        <sz val="10.0"/>
      </rPr>
      <t xml:space="preserve"> Building</t>
    </r>
  </si>
  <si>
    <t>Garden City</t>
  </si>
  <si>
    <t>Rochester Recreation Gymnasium</t>
  </si>
  <si>
    <t>JCFEC Covered Arena</t>
  </si>
  <si>
    <t>Grants Pass</t>
  </si>
  <si>
    <t>Hopkinsville Sportsplex</t>
  </si>
  <si>
    <t>Hopkinsville</t>
  </si>
  <si>
    <r>
      <rPr>
        <rFont val="Arial"/>
        <color rgb="FF202122"/>
        <sz val="10.0"/>
        <u/>
      </rPr>
      <t>Legacy Park</t>
    </r>
    <r>
      <rPr>
        <rFont val="Arial"/>
        <sz val="10.0"/>
      </rPr>
      <t xml:space="preserve"> Indoor Arena</t>
    </r>
  </si>
  <si>
    <t>Hurricane</t>
  </si>
  <si>
    <t>Stopher Gymnasium</t>
  </si>
  <si>
    <r>
      <rPr>
        <rFont val="Arial"/>
        <color rgb="FF202122"/>
        <sz val="10.0"/>
        <u/>
      </rPr>
      <t>Nicholls Colonels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</si>
  <si>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Terry Haws Center</t>
  </si>
  <si>
    <t>Centerline Western Stores Arena</t>
  </si>
  <si>
    <t>Elma</t>
  </si>
  <si>
    <t>Maine Sports Arena</t>
  </si>
  <si>
    <t>Saco</t>
  </si>
  <si>
    <t>Pontchartrain Center</t>
  </si>
  <si>
    <t>Kenner</t>
  </si>
  <si>
    <t>Muskogee Civic Center</t>
  </si>
  <si>
    <t>Muskogee</t>
  </si>
  <si>
    <t>Fantasy Springs Special Events Center</t>
  </si>
  <si>
    <t>Indio</t>
  </si>
  <si>
    <t>Visalia Convention Center</t>
  </si>
  <si>
    <t>Visalia</t>
  </si>
  <si>
    <t>Ozark Civic Center</t>
  </si>
  <si>
    <t>Ozark</t>
  </si>
  <si>
    <r>
      <rPr>
        <rFont val="Arial"/>
        <color rgb="FF202122"/>
        <sz val="10.0"/>
        <u/>
      </rPr>
      <t>Benton County</t>
    </r>
    <r>
      <rPr>
        <rFont val="Arial"/>
        <sz val="10.0"/>
      </rPr>
      <t xml:space="preserve"> Indoor Arena</t>
    </r>
  </si>
  <si>
    <t>Walla Walla Expo Building</t>
  </si>
  <si>
    <t>Walla Walla</t>
  </si>
  <si>
    <t>Pape Machinery Arena</t>
  </si>
  <si>
    <t>Lynden</t>
  </si>
  <si>
    <t>Myrtle Beach Convention Center</t>
  </si>
  <si>
    <t>Myrtle Beach</t>
  </si>
  <si>
    <t>Afook-Chinen Civic Auditorium</t>
  </si>
  <si>
    <t>Hilo</t>
  </si>
  <si>
    <r>
      <rPr>
        <rFont val="Arial"/>
        <color rgb="FF202122"/>
        <sz val="10.0"/>
        <u/>
      </rPr>
      <t>Hawaii Hilo Vulcans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</si>
  <si>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Equidome</t>
  </si>
  <si>
    <t>Burbank</t>
  </si>
  <si>
    <t>Harang Auditorium</t>
  </si>
  <si>
    <t>Baldwin County Coliseum</t>
  </si>
  <si>
    <t>Robertsdale</t>
  </si>
  <si>
    <t>Northwest Arena</t>
  </si>
  <si>
    <t>Mid-Hudson Civic Center</t>
  </si>
  <si>
    <t>Poughkeepsie</t>
  </si>
  <si>
    <t>Bonnie Castle Recreation Center</t>
  </si>
  <si>
    <t>Alexandria Bay</t>
  </si>
  <si>
    <t>Washington County Convention Center</t>
  </si>
  <si>
    <t>Buccaneer Arena</t>
  </si>
  <si>
    <t>Urbandale</t>
  </si>
  <si>
    <r>
      <rPr>
        <rFont val="Arial"/>
        <color rgb="FF202122"/>
        <sz val="10.0"/>
        <u/>
      </rPr>
      <t>Des Moines Buccaneers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USHL</t>
    </r>
    <r>
      <rPr>
        <rFont val="Arial"/>
        <sz val="10.0"/>
      </rPr>
      <t>)</t>
    </r>
  </si>
  <si>
    <t>World Equestrian Center</t>
  </si>
  <si>
    <t>Ocala</t>
  </si>
  <si>
    <t>Kissimmee Civic Center</t>
  </si>
  <si>
    <t>Fairgrounds Arena</t>
  </si>
  <si>
    <t>Sanford Pentagon</t>
  </si>
  <si>
    <r>
      <rPr>
        <rFont val="Arial"/>
        <color rgb="FF202122"/>
        <sz val="10.0"/>
        <u/>
      </rPr>
      <t>Sioux Falls Skyforce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</si>
  <si>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War Memorial Gymnasium</t>
  </si>
  <si>
    <t>1950s</t>
  </si>
  <si>
    <t>Alan Jay Arena</t>
  </si>
  <si>
    <t>Sebring</t>
  </si>
  <si>
    <t>Washington County Multipurpose Building</t>
  </si>
  <si>
    <t>Sumter County Civic Center</t>
  </si>
  <si>
    <t>Sumter</t>
  </si>
  <si>
    <t>Decatur Civic Center</t>
  </si>
  <si>
    <t>Arlin R. Horton Sports Center</t>
  </si>
  <si>
    <t>Pensacola Christian Eagles</t>
  </si>
  <si>
    <t>UC Riverside Student Recreation Center</t>
  </si>
  <si>
    <t>Riverside</t>
  </si>
  <si>
    <t>UC Riverside Highlanders</t>
  </si>
  <si>
    <t>Dothan Civic Center</t>
  </si>
  <si>
    <t>Mystique Ice Center</t>
  </si>
  <si>
    <r>
      <rPr>
        <rFont val="Arial"/>
        <color rgb="FF202122"/>
        <sz val="10.0"/>
        <u/>
      </rPr>
      <t>Dubuque Fighting Saints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USHL</t>
    </r>
    <r>
      <rPr>
        <rFont val="Arial"/>
        <sz val="10.0"/>
      </rPr>
      <t>)</t>
    </r>
  </si>
  <si>
    <t>Robert A. Mott Athletics Center</t>
  </si>
  <si>
    <r>
      <rPr>
        <rFont val="Arial"/>
        <color rgb="FF202122"/>
        <sz val="10.0"/>
        <u/>
      </rPr>
      <t>Cal Poly Mustangs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</si>
  <si>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McGough Arena</t>
  </si>
  <si>
    <t>Danbury Ice Arena</t>
  </si>
  <si>
    <t>Danbury</t>
  </si>
  <si>
    <r>
      <rPr>
        <rFont val="Arial"/>
        <color rgb="FF202122"/>
        <sz val="10.0"/>
        <u/>
      </rPr>
      <t>Danbury Hat Tricks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FPHL</t>
    </r>
    <r>
      <rPr>
        <rFont val="Arial"/>
        <sz val="10.0"/>
      </rPr>
      <t>)</t>
    </r>
  </si>
  <si>
    <t>Edge Ice Arena</t>
  </si>
  <si>
    <t>Bensenville</t>
  </si>
  <si>
    <r>
      <rPr>
        <rFont val="Arial"/>
        <color rgb="FF202122"/>
        <sz val="10.0"/>
        <u/>
      </rPr>
      <t>Chicago Steel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USHL</t>
    </r>
    <r>
      <rPr>
        <rFont val="Arial"/>
        <sz val="10.0"/>
      </rPr>
      <t>)</t>
    </r>
  </si>
  <si>
    <t>Brazos County Expo North Arena</t>
  </si>
  <si>
    <t>Bryan</t>
  </si>
  <si>
    <t>McMorran Arena</t>
  </si>
  <si>
    <t>Port Huron</t>
  </si>
  <si>
    <r>
      <rPr>
        <rFont val="Arial"/>
        <color rgb="FF202122"/>
        <sz val="10.0"/>
        <u/>
      </rPr>
      <t>Port Huron Prowlers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FPHL</t>
    </r>
    <r>
      <rPr>
        <rFont val="Arial"/>
        <sz val="10.0"/>
      </rPr>
      <t>)</t>
    </r>
  </si>
  <si>
    <t>Portland Exposition Building</t>
  </si>
  <si>
    <r>
      <rPr>
        <rFont val="Arial"/>
        <color rgb="FF202122"/>
        <sz val="10.0"/>
        <u/>
      </rPr>
      <t>Maine Celtics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</si>
  <si>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La Porte Civic Auditorium</t>
  </si>
  <si>
    <t>LaPorte</t>
  </si>
  <si>
    <t>Lawrence Arena</t>
  </si>
  <si>
    <t>DeLand</t>
  </si>
  <si>
    <t>JFK Memorial Coliseum</t>
  </si>
  <si>
    <t>O'Reilly Family Event Center</t>
  </si>
  <si>
    <r>
      <rPr>
        <rFont val="Arial"/>
        <color rgb="FF202122"/>
        <sz val="10.0"/>
        <u/>
      </rPr>
      <t>Drury Panthers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 Division II</t>
    </r>
    <r>
      <rPr>
        <rFont val="Arial"/>
        <sz val="10.0"/>
      </rPr>
      <t>)</t>
    </r>
  </si>
  <si>
    <t>Dobson Arena</t>
  </si>
  <si>
    <t>Vail</t>
  </si>
  <si>
    <t>Vail Yeti</t>
  </si>
  <si>
    <r>
      <rPr>
        <rFont val="Arial"/>
        <color rgb="FF202122"/>
        <sz val="10.0"/>
        <u/>
      </rPr>
      <t>Tippecanoe County Fair</t>
    </r>
    <r>
      <rPr>
        <rFont val="Arial"/>
        <sz val="10.0"/>
      </rPr>
      <t xml:space="preserve"> Event Center</t>
    </r>
  </si>
  <si>
    <t>Kaiser Permanente Arena</t>
  </si>
  <si>
    <t>Santa Cruz</t>
  </si>
  <si>
    <r>
      <rPr>
        <rFont val="Arial"/>
        <color rgb="FF202122"/>
        <sz val="10.0"/>
        <u/>
      </rPr>
      <t>Santa Cruz Warriors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</si>
  <si>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Chase Fieldhouse</t>
  </si>
  <si>
    <r>
      <rPr>
        <rFont val="Arial"/>
        <color rgb="FF202122"/>
        <sz val="10.0"/>
        <u/>
      </rPr>
      <t>Delaware Blue Coats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</si>
  <si>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FivePoint Arena</t>
  </si>
  <si>
    <t>Irvine</t>
  </si>
  <si>
    <t>Lucas County Recreation Center</t>
  </si>
  <si>
    <t>Maumee</t>
  </si>
  <si>
    <t>Garfield County Events Center</t>
  </si>
  <si>
    <t>Rifle</t>
  </si>
  <si>
    <t>Hickory Metro Convention Center</t>
  </si>
  <si>
    <t>Hickory</t>
  </si>
  <si>
    <t>Alario Center</t>
  </si>
  <si>
    <t>Westwego</t>
  </si>
  <si>
    <t>Lahaina Civic Center</t>
  </si>
  <si>
    <t>Lahaina</t>
  </si>
  <si>
    <t>Eureka Municipal Auditorium</t>
  </si>
  <si>
    <t>Eureka</t>
  </si>
  <si>
    <t>Big Dipper Ice Arena</t>
  </si>
  <si>
    <r>
      <rPr>
        <rFont val="Arial"/>
        <color rgb="FF202122"/>
        <sz val="10.0"/>
        <u/>
      </rPr>
      <t>Prairie Knights</t>
    </r>
    <r>
      <rPr>
        <rFont val="Arial"/>
        <sz val="10.0"/>
      </rPr>
      <t xml:space="preserve"> Pavilion</t>
    </r>
  </si>
  <si>
    <t>Mandan</t>
  </si>
  <si>
    <t>1990s</t>
  </si>
  <si>
    <t>Greensboro Coliseum Fieldhouse</t>
  </si>
  <si>
    <r>
      <rPr>
        <rFont val="Arial"/>
        <color rgb="FF202122"/>
        <sz val="10.0"/>
        <u/>
      </rPr>
      <t>Greensboro Swarm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</si>
  <si>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Dave Torrey Arena</t>
  </si>
  <si>
    <t>Maysa Arena</t>
  </si>
  <si>
    <t>Swinney Recreation Center</t>
  </si>
  <si>
    <r>
      <rPr>
        <rFont val="Arial"/>
        <color rgb="FF202122"/>
        <sz val="10.0"/>
        <u/>
      </rPr>
      <t>Kansas City Roos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</si>
  <si>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Mentor Civic Arena</t>
  </si>
  <si>
    <t>Mentor</t>
  </si>
  <si>
    <t>Odde Ice Center</t>
  </si>
  <si>
    <t>Aberdeen</t>
  </si>
  <si>
    <r>
      <rPr>
        <rFont val="Arial"/>
        <color rgb="FF202122"/>
        <sz val="10.0"/>
        <u/>
      </rPr>
      <t>Aberdeen Wings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NAHL</t>
    </r>
    <r>
      <rPr>
        <rFont val="Arial"/>
        <sz val="10.0"/>
      </rPr>
      <t>)</t>
    </r>
  </si>
  <si>
    <t>SugArena</t>
  </si>
  <si>
    <t>New Iberia</t>
  </si>
  <si>
    <t>John F. Kennedy Civic Arena</t>
  </si>
  <si>
    <t>Rome</t>
  </si>
  <si>
    <t>Sharp Gym</t>
  </si>
  <si>
    <r>
      <rPr>
        <rFont val="Arial"/>
        <color rgb="FF202122"/>
        <sz val="10.0"/>
        <u/>
      </rPr>
      <t>Houston Christian Huskies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</si>
  <si>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Future</t>
  </si>
  <si>
    <r>
      <rPr>
        <rFont val="Arial"/>
        <sz val="10.0"/>
      </rPr>
      <t>[</t>
    </r>
    <r>
      <rPr>
        <rFont val="Arial"/>
        <sz val="10.0"/>
        <u/>
      </rPr>
      <t>edit</t>
    </r>
    <r>
      <rPr>
        <rFont val="Arial"/>
        <sz val="10.0"/>
      </rPr>
      <t>]</t>
    </r>
  </si>
  <si>
    <t>Venue</t>
  </si>
  <si>
    <t>Location</t>
  </si>
  <si>
    <t>Professional/college teams</t>
  </si>
  <si>
    <t>Opening year</t>
  </si>
  <si>
    <t>Notes</t>
  </si>
  <si>
    <t>Classic Center Arena</t>
  </si>
  <si>
    <t>Athens, Georgia</t>
  </si>
  <si>
    <r>
      <rPr>
        <rFont val="Arial"/>
        <color rgb="FF202122"/>
        <sz val="10.0"/>
        <u/>
      </rPr>
      <t>UGA Ice Dawgs hockey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CHS</t>
    </r>
    <r>
      <rPr>
        <rFont val="Arial"/>
        <sz val="10.0"/>
      </rPr>
      <t xml:space="preserve">)
</t>
    </r>
    <r>
      <rPr>
        <rFont val="Arial"/>
        <color rgb="FF202122"/>
        <sz val="10.0"/>
        <u/>
      </rPr>
      <t>Athens Rock Lobsters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FPHL</t>
    </r>
    <r>
      <rPr>
        <rFont val="Arial"/>
        <sz val="10.0"/>
      </rPr>
      <t>)</t>
    </r>
  </si>
  <si>
    <t>Fishers Event Center</t>
  </si>
  <si>
    <t>Fishers, Indiana</t>
  </si>
  <si>
    <r>
      <rPr>
        <rFont val="Arial"/>
        <color rgb="FF202122"/>
        <sz val="10.0"/>
        <u/>
      </rPr>
      <t>Indy Fuel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ECHL</t>
    </r>
    <r>
      <rPr>
        <rFont val="Arial"/>
        <sz val="10.0"/>
      </rPr>
      <t>)</t>
    </r>
  </si>
  <si>
    <t>Noblesville Event Center</t>
  </si>
  <si>
    <t>Noblesville, Indiana</t>
  </si>
  <si>
    <r>
      <rPr>
        <rFont val="Arial"/>
        <color rgb="FF202122"/>
        <sz val="10.0"/>
        <u/>
      </rPr>
      <t>Indiana Mad Ants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 G League</t>
    </r>
    <r>
      <rPr>
        <rFont val="Arial"/>
        <sz val="10.0"/>
      </rPr>
      <t>)</t>
    </r>
  </si>
  <si>
    <t>76 Place at Market East</t>
  </si>
  <si>
    <t>Philadelphia, Pennsylvania</t>
  </si>
  <si>
    <r>
      <rPr>
        <rFont val="Arial"/>
        <color rgb="FF202122"/>
        <sz val="10.0"/>
        <u/>
      </rPr>
      <t>Philadelphia 76ers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NBA</t>
    </r>
    <r>
      <rPr>
        <rFont val="Arial"/>
        <sz val="10.0"/>
      </rPr>
      <t>)</t>
    </r>
  </si>
  <si>
    <t>Midway Arena</t>
  </si>
  <si>
    <t>San Diego, California</t>
  </si>
  <si>
    <t>Historic</t>
  </si>
  <si>
    <r>
      <rPr>
        <rFont val="Arial"/>
        <sz val="10.0"/>
      </rPr>
      <t>[</t>
    </r>
    <r>
      <rPr>
        <rFont val="Arial"/>
        <sz val="10.0"/>
        <u/>
      </rPr>
      <t>edit</t>
    </r>
    <r>
      <rPr>
        <rFont val="Arial"/>
        <sz val="10.0"/>
      </rPr>
      <t>]</t>
    </r>
  </si>
  <si>
    <t>Note: "Historic" denotes either demolished, not in practical use or unused.</t>
  </si>
  <si>
    <r>
      <rPr>
        <rFont val="Arial"/>
        <color rgb="FF202122"/>
        <sz val="10.0"/>
        <u/>
      </rPr>
      <t>Amway Arena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Orlando, Florida</t>
    </r>
  </si>
  <si>
    <r>
      <rPr>
        <rFont val="Arial"/>
        <color rgb="FF202122"/>
        <sz val="10.0"/>
        <u/>
      </rPr>
      <t>ARCO Arena (1985)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Sacramento, California</t>
    </r>
  </si>
  <si>
    <r>
      <rPr>
        <rFont val="Arial"/>
        <color rgb="FF202122"/>
        <sz val="10.0"/>
        <u/>
      </rPr>
      <t>Bayfront Arena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St. Petersburg, Florida</t>
    </r>
  </si>
  <si>
    <r>
      <rPr>
        <rFont val="Arial"/>
        <color rgb="FF202122"/>
        <sz val="10.0"/>
        <u/>
      </rPr>
      <t>Boston Garden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Boston</t>
    </r>
  </si>
  <si>
    <r>
      <rPr>
        <rFont val="Arial"/>
        <color rgb="FF202122"/>
        <sz val="10.0"/>
        <u/>
      </rPr>
      <t>Bradley Center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Milwaukee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(also known as BMO Harris Bradley Center)</t>
    </r>
  </si>
  <si>
    <r>
      <rPr>
        <rFont val="Arial"/>
        <color rgb="FF202122"/>
        <sz val="10.0"/>
        <u/>
      </rPr>
      <t>Britt Brown Arena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at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Kansas Coliseum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Valley Center, Kansas</t>
    </r>
  </si>
  <si>
    <r>
      <rPr>
        <rFont val="Arial"/>
        <color rgb="FF202122"/>
        <sz val="10.0"/>
        <u/>
      </rPr>
      <t>Brown County Veterans Memorial Arena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Green Bay, Wisconsin</t>
    </r>
  </si>
  <si>
    <r>
      <rPr>
        <rFont val="Arial"/>
        <color rgb="FF202122"/>
        <sz val="10.0"/>
        <u/>
      </rPr>
      <t>Buffalo Memorial Auditorium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Buffalo, New York</t>
    </r>
  </si>
  <si>
    <r>
      <rPr>
        <rFont val="Arial"/>
        <color rgb="FF202122"/>
        <sz val="10.0"/>
        <u/>
      </rPr>
      <t>Capital Centre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Landover, Maryland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(also known as USAir Arena and US Airways Arena during its existence)</t>
    </r>
  </si>
  <si>
    <r>
      <rPr>
        <rFont val="Arial"/>
        <color rgb="FF202122"/>
        <sz val="10.0"/>
        <u/>
      </rPr>
      <t>Charlotte Coliseum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Charlotte, North Carolina</t>
    </r>
  </si>
  <si>
    <r>
      <rPr>
        <rFont val="Arial"/>
        <color rgb="FF202122"/>
        <sz val="10.0"/>
        <u/>
      </rPr>
      <t>Chicago Coliseum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Chicago</t>
    </r>
  </si>
  <si>
    <r>
      <rPr>
        <rFont val="Arial"/>
        <color rgb="FF202122"/>
        <sz val="10.0"/>
        <u/>
      </rPr>
      <t>Chicago Stadium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Chicago</t>
    </r>
  </si>
  <si>
    <r>
      <rPr>
        <rFont val="Arial"/>
        <color rgb="FF202122"/>
        <sz val="10.0"/>
        <u/>
      </rPr>
      <t>Civic Arena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Pittsburgh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(also known as Mellon Arena)</t>
    </r>
  </si>
  <si>
    <r>
      <rPr>
        <rFont val="Arial"/>
        <color rgb="FF202122"/>
        <sz val="10.0"/>
        <u/>
      </rPr>
      <t>Cleveland Arena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Cleveland, Ohio</t>
    </r>
  </si>
  <si>
    <r>
      <rPr>
        <rFont val="Arial"/>
        <color rgb="FF202122"/>
        <sz val="10.0"/>
        <u/>
      </rPr>
      <t>Coconut Grove Convention Center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Miami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(formerly known as the Dinner Key Auditorium)</t>
    </r>
  </si>
  <si>
    <r>
      <rPr>
        <rFont val="Arial"/>
        <color rgb="FF202122"/>
        <sz val="10.0"/>
        <u/>
      </rPr>
      <t>Coliseum at Richfield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Richfield, Ohio</t>
    </r>
  </si>
  <si>
    <r>
      <rPr>
        <rFont val="Arial"/>
        <color rgb="FF202122"/>
        <sz val="10.0"/>
        <u/>
      </rPr>
      <t>Compaq Center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Houston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(formerly known as The Summit; now the main worship center for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Lakewood Church</t>
    </r>
    <r>
      <rPr>
        <rFont val="Arial"/>
        <color rgb="FF202122"/>
        <sz val="10.0"/>
      </rPr>
      <t>)</t>
    </r>
  </si>
  <si>
    <r>
      <rPr>
        <rFont val="Arial"/>
        <color rgb="FF202122"/>
        <sz val="10.0"/>
        <u/>
      </rPr>
      <t>Curtis Hixon Hall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Tampa, Florida</t>
    </r>
  </si>
  <si>
    <r>
      <rPr>
        <rFont val="Arial"/>
        <color rgb="FF202122"/>
        <sz val="10.0"/>
        <u/>
      </rPr>
      <t>Denver Coliseum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Denver</t>
    </r>
  </si>
  <si>
    <r>
      <rPr>
        <rFont val="Arial"/>
        <color rgb="FF202122"/>
        <sz val="10.0"/>
        <u/>
      </rPr>
      <t>Duquesne Gardens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Pittsburgh</t>
    </r>
  </si>
  <si>
    <r>
      <rPr>
        <rFont val="Arial"/>
        <color rgb="FF202122"/>
        <sz val="10.0"/>
        <u/>
      </rPr>
      <t>Hara Arena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Trotwood, Ohio</t>
    </r>
  </si>
  <si>
    <r>
      <rPr>
        <rFont val="Arial"/>
        <color rgb="FF202122"/>
        <sz val="10.0"/>
        <u/>
      </rPr>
      <t>HemisFair Arena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San Antonio, Texas</t>
    </r>
  </si>
  <si>
    <r>
      <rPr>
        <rFont val="Arial"/>
        <color rgb="FF202122"/>
        <sz val="10.0"/>
        <u/>
      </rPr>
      <t>Hollywood Sportatorium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Pembroke Pines, Florida</t>
    </r>
  </si>
  <si>
    <r>
      <rPr>
        <rFont val="Arial"/>
        <color rgb="FF202122"/>
        <sz val="10.0"/>
        <u/>
      </rPr>
      <t>International Amphitheatre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Chicago</t>
    </r>
  </si>
  <si>
    <r>
      <rPr>
        <rFont val="Arial"/>
        <color rgb="FF202122"/>
        <sz val="10.0"/>
        <u/>
      </rPr>
      <t>Island Garden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West Hempstead, New York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(original arena demolished in 1973)</t>
    </r>
  </si>
  <si>
    <r>
      <rPr>
        <rFont val="Arial"/>
        <color rgb="FF202122"/>
        <sz val="10.0"/>
        <u/>
      </rPr>
      <t>Jacksonville Memorial Coliseum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Jacksonville, Florida</t>
    </r>
  </si>
  <si>
    <r>
      <rPr>
        <rFont val="Arial"/>
        <color rgb="FF202122"/>
        <sz val="10.0"/>
        <u/>
      </rPr>
      <t>Joe Louis Arena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Detroit</t>
    </r>
  </si>
  <si>
    <r>
      <rPr>
        <rFont val="Arial"/>
        <color rgb="FF202122"/>
        <sz val="10.0"/>
        <u/>
      </rPr>
      <t>Kiel Auditorium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St. Louis, Missouri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(Enterprise Center stands on the site)</t>
    </r>
  </si>
  <si>
    <r>
      <rPr>
        <rFont val="Arial"/>
        <color rgb="FF202122"/>
        <sz val="10.0"/>
        <u/>
      </rPr>
      <t>Kingdome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Seattle</t>
    </r>
  </si>
  <si>
    <r>
      <rPr>
        <rFont val="Arial"/>
        <color rgb="FF202122"/>
        <sz val="10.0"/>
        <u/>
      </rPr>
      <t>Long Island Arena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Commack, New York</t>
    </r>
  </si>
  <si>
    <r>
      <rPr>
        <rFont val="Arial"/>
        <color rgb="FF202122"/>
        <sz val="10.0"/>
        <u/>
      </rPr>
      <t>Los Angeles Memorial Sports Arena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 Los Angeles</t>
    </r>
  </si>
  <si>
    <r>
      <rPr>
        <rFont val="Arial"/>
        <color rgb="FF202122"/>
        <sz val="10.0"/>
        <u/>
      </rPr>
      <t>Madison Square Garden (second)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New York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(built on the site of the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first Madison Square Garden</t>
    </r>
    <r>
      <rPr>
        <rFont val="Arial"/>
        <color rgb="FF202122"/>
        <sz val="10.0"/>
      </rPr>
      <t>; the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New York Life Building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now stands on the site)</t>
    </r>
  </si>
  <si>
    <r>
      <rPr>
        <rFont val="Arial"/>
        <color rgb="FF202122"/>
        <sz val="10.0"/>
        <u/>
      </rPr>
      <t>Madison Square Garden (third)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New York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(demolished in 1968; used as a parking lot until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One Worldwide Plaza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was built on the site in 1989)</t>
    </r>
  </si>
  <si>
    <t>Note: The first Madison Square Garden was not an indoor arena. Although used for many sports, it had no roof.</t>
  </si>
  <si>
    <r>
      <rPr>
        <rFont val="Arial"/>
        <color rgb="FF202122"/>
        <sz val="10.0"/>
        <u/>
      </rPr>
      <t>Market Square Arena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Indianapolis</t>
    </r>
  </si>
  <si>
    <r>
      <rPr>
        <rFont val="Arial"/>
        <color rgb="FF202122"/>
        <sz val="10.0"/>
        <u/>
      </rPr>
      <t>McNichols Sports Arena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Denver, Colorado</t>
    </r>
  </si>
  <si>
    <r>
      <rPr>
        <rFont val="Arial"/>
        <color rgb="FF202122"/>
        <sz val="10.0"/>
        <u/>
      </rPr>
      <t>Metropolitan Sports Center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Bloomington, Minnesota</t>
    </r>
  </si>
  <si>
    <r>
      <rPr>
        <rFont val="Arial"/>
        <color rgb="FF202122"/>
        <sz val="10.0"/>
        <u/>
      </rPr>
      <t>Mid-South Coliseum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Memphis, Tennessee</t>
    </r>
  </si>
  <si>
    <r>
      <rPr>
        <rFont val="Arial"/>
        <color rgb="FF202122"/>
        <sz val="10.0"/>
        <u/>
      </rPr>
      <t>Minneapolis Auditorium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Minneapolis</t>
    </r>
  </si>
  <si>
    <r>
      <rPr>
        <rFont val="Arial"/>
        <color rgb="FF202122"/>
        <sz val="10.0"/>
        <u/>
      </rPr>
      <t>Motor Square Garden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Pittsburgh</t>
    </r>
  </si>
  <si>
    <r>
      <rPr>
        <rFont val="Arial"/>
        <color rgb="FF202122"/>
        <sz val="10.0"/>
        <u/>
      </rPr>
      <t>Municipal Auditorium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New Orleans</t>
    </r>
  </si>
  <si>
    <r>
      <rPr>
        <rFont val="Arial"/>
        <color rgb="FF202122"/>
        <sz val="10.0"/>
        <u/>
      </rPr>
      <t>New Haven Veterans Memorial Coliseum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New Haven, Connecticut</t>
    </r>
  </si>
  <si>
    <r>
      <rPr>
        <rFont val="Arial"/>
        <color rgb="FF202122"/>
        <sz val="10.0"/>
        <u/>
      </rPr>
      <t>Olympia Stadium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Detroit</t>
    </r>
  </si>
  <si>
    <r>
      <rPr>
        <rFont val="Arial"/>
        <color rgb="FF202122"/>
        <sz val="10.0"/>
        <u/>
      </rPr>
      <t>Omni Coliseum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Atlanta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(State Farm Arena now stands on the site)</t>
    </r>
  </si>
  <si>
    <r>
      <rPr>
        <rFont val="Arial"/>
        <color rgb="FF202122"/>
        <sz val="10.0"/>
        <u/>
      </rPr>
      <t>The Palace of Auburn Hills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-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Auburn Hills, Michigan</t>
    </r>
  </si>
  <si>
    <r>
      <rPr>
        <rFont val="Arial"/>
        <color rgb="FF202122"/>
        <sz val="10.0"/>
        <u/>
      </rPr>
      <t>Philadelphia Arena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Philadelphia</t>
    </r>
  </si>
  <si>
    <r>
      <rPr>
        <rFont val="Arial"/>
        <color rgb="FF202122"/>
        <sz val="10.0"/>
        <u/>
      </rPr>
      <t>Philadelphia Civic Center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Philadelphia</t>
    </r>
  </si>
  <si>
    <r>
      <rPr>
        <rFont val="Arial"/>
        <color rgb="FF202122"/>
        <sz val="10.0"/>
        <u/>
      </rPr>
      <t>Philadelphia Convention Hall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Philadelphia</t>
    </r>
  </si>
  <si>
    <r>
      <rPr>
        <rFont val="Arial"/>
        <color rgb="FF202122"/>
        <sz val="10.0"/>
        <u/>
      </rPr>
      <t>Pyramid Arena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Memphis, Tennessee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(now 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Bass Pro Shops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megastore)</t>
    </r>
  </si>
  <si>
    <r>
      <rPr>
        <rFont val="Arial"/>
        <color rgb="FF202122"/>
        <sz val="10.0"/>
        <u/>
      </rPr>
      <t>San Francisco Civic Auditorium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 San Francisco</t>
    </r>
  </si>
  <si>
    <r>
      <rPr>
        <rFont val="Arial"/>
        <color rgb="FF202122"/>
        <sz val="10.0"/>
        <u/>
      </rPr>
      <t>St. Louis Arena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St. Louis, Missouri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(also known as the Checkerdome)</t>
    </r>
  </si>
  <si>
    <r>
      <rPr>
        <rFont val="Arial"/>
        <color rgb="FF202122"/>
        <sz val="10.0"/>
        <u/>
      </rPr>
      <t>St. Paul Civic Center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Saint Paul, Minnesota</t>
    </r>
  </si>
  <si>
    <r>
      <rPr>
        <rFont val="Arial"/>
        <color rgb="FF202122"/>
        <sz val="10.0"/>
        <u/>
      </rPr>
      <t>Salt Palace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Salt Lake City</t>
    </r>
  </si>
  <si>
    <r>
      <rPr>
        <rFont val="Arial"/>
        <color rgb="FF202122"/>
        <sz val="10.0"/>
        <u/>
      </rPr>
      <t>Sam Houston Coliseum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Houston</t>
    </r>
  </si>
  <si>
    <r>
      <rPr>
        <rFont val="Arial"/>
        <color rgb="FF202122"/>
        <sz val="10.0"/>
        <u/>
      </rPr>
      <t>Sleep Train Arena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Sacramento, California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(also known as the second ARCO Arena, and later as Power Balance Pavilion)</t>
    </r>
  </si>
  <si>
    <r>
      <rPr>
        <rFont val="Arial"/>
        <color rgb="FF202122"/>
        <sz val="10.0"/>
        <u/>
      </rPr>
      <t>The Spectrum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Philadelphia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(also known as CoreStates Spectrum, First Union Spectrum and Wachovia Spectrum)</t>
    </r>
  </si>
  <si>
    <r>
      <rPr>
        <rFont val="Arial"/>
        <color rgb="FF202122"/>
        <sz val="10.0"/>
        <u/>
      </rPr>
      <t>Teaneck Armory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Teaneck, New Jersey</t>
    </r>
  </si>
  <si>
    <r>
      <rPr>
        <rFont val="Arial"/>
        <color rgb="FF202122"/>
        <sz val="10.0"/>
        <u/>
      </rPr>
      <t>War Memorial Gymnasium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 San Francisco</t>
    </r>
  </si>
  <si>
    <r>
      <rPr>
        <rFont val="Arial"/>
        <color rgb="FF202122"/>
        <sz val="10.0"/>
        <u/>
      </rPr>
      <t>Washington Coliseum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– Washington, D.C. (formerly Uline Arena)</t>
    </r>
  </si>
  <si>
    <t>List of largest university-owned sports arenas in the United States by seating capacity</t>
  </si>
  <si>
    <r>
      <rPr>
        <rFont val="Arial"/>
        <sz val="10.0"/>
      </rPr>
      <t>[</t>
    </r>
    <r>
      <rPr>
        <rFont val="Arial"/>
        <sz val="10.0"/>
        <u/>
      </rPr>
      <t>edit</t>
    </r>
    <r>
      <rPr>
        <rFont val="Arial"/>
        <sz val="10.0"/>
      </rPr>
      <t>]</t>
    </r>
  </si>
  <si>
    <r>
      <rPr>
        <rFont val="Arial"/>
        <i/>
        <color rgb="FF202122"/>
        <sz val="10.0"/>
      </rPr>
      <t>Main article:</t>
    </r>
    <r>
      <rPr>
        <rFont val="Arial"/>
        <i/>
        <color rgb="FF202122"/>
        <sz val="10.0"/>
      </rPr>
      <t xml:space="preserve"> </t>
    </r>
    <r>
      <rPr>
        <rFont val="Arial"/>
        <i/>
        <color rgb="FF202122"/>
        <sz val="10.0"/>
        <u/>
      </rPr>
      <t>List of NCAA Division I basketball arenas</t>
    </r>
  </si>
  <si>
    <r>
      <rPr>
        <rFont val="Arial"/>
        <i/>
        <color rgb="FF202122"/>
        <sz val="10.0"/>
      </rPr>
      <t>Main article:</t>
    </r>
    <r>
      <rPr>
        <rFont val="Arial"/>
        <i/>
        <color rgb="FF202122"/>
        <sz val="10.0"/>
      </rPr>
      <t xml:space="preserve"> </t>
    </r>
    <r>
      <rPr>
        <rFont val="Arial"/>
        <i/>
        <color rgb="FF202122"/>
        <sz val="10.0"/>
        <u/>
      </rPr>
      <t>List of NCAA Division I ice hockey arenas</t>
    </r>
  </si>
  <si>
    <t>College/University Arenas</t>
  </si>
  <si>
    <r>
      <rPr>
        <rFont val="Arial"/>
        <b/>
        <color rgb="FF202122"/>
        <sz val="10.0"/>
      </rPr>
      <t xml:space="preserve">This table includes indoor arenas by </t>
    </r>
    <r>
      <rPr>
        <rFont val="Arial"/>
        <b/>
        <color rgb="FF202122"/>
        <sz val="10.0"/>
        <u/>
      </rPr>
      <t>seating capacity</t>
    </r>
    <r>
      <rPr>
        <rFont val="Arial"/>
        <b/>
        <color rgb="FF202122"/>
        <sz val="10.0"/>
      </rPr>
      <t>, which are owned and operated by universities and colleges and serve as home to college sports teams. Arenas with a capacity of at</t>
    </r>
  </si>
  <si>
    <r>
      <rPr>
        <rFont val="Arial"/>
        <b/>
        <color rgb="FF202122"/>
        <sz val="10.0"/>
      </rPr>
      <t xml:space="preserve">least 10,000 are included. Arenas which are shared by both professional and college teams, appear on the table of municipal arenas above. </t>
    </r>
    <r>
      <rPr>
        <rFont val="Arial"/>
        <b/>
        <color rgb="FF202122"/>
        <sz val="10.0"/>
        <u/>
      </rPr>
      <t>Domed stadiums</t>
    </r>
    <r>
      <rPr>
        <rFont val="Arial"/>
        <b/>
        <color rgb="FF202122"/>
        <sz val="10.0"/>
      </rPr>
      <t xml:space="preserve"> are excluded from this list,</t>
    </r>
  </si>
  <si>
    <r>
      <rPr>
        <rFont val="Arial"/>
        <b/>
        <color rgb="FF202122"/>
        <sz val="10.0"/>
      </rPr>
      <t xml:space="preserve">with the exception of those which can be configured to serve as the home of major college basketball programs (i.e. the </t>
    </r>
    <r>
      <rPr>
        <rFont val="Arial"/>
        <b/>
        <color rgb="FF202122"/>
        <sz val="10.0"/>
        <u/>
      </rPr>
      <t>JMA Wireless Dome</t>
    </r>
    <r>
      <rPr>
        <rFont val="Arial"/>
        <b/>
        <color rgb="FF202122"/>
        <sz val="10.0"/>
      </rPr>
      <t>).</t>
    </r>
  </si>
  <si>
    <t>Average</t>
  </si>
  <si>
    <t>Syracuse Orange</t>
  </si>
  <si>
    <t>Dean Smith Center</t>
  </si>
  <si>
    <t>North Carolina Tar Heels</t>
  </si>
  <si>
    <t>Thompson–Boling Arena</t>
  </si>
  <si>
    <t>Tennessee Volunteers</t>
  </si>
  <si>
    <t>Thomas &amp; Mack Center</t>
  </si>
  <si>
    <t>UNLV Runnin' Rebels</t>
  </si>
  <si>
    <t>Bud Walton Arena</t>
  </si>
  <si>
    <t>Arkansas Razorbacks</t>
  </si>
  <si>
    <t>Colonial Life Arena</t>
  </si>
  <si>
    <t>South Carolina Gamecocks</t>
  </si>
  <si>
    <t>Marriott Center</t>
  </si>
  <si>
    <t>BYU Cougars</t>
  </si>
  <si>
    <t>Value City Arena</t>
  </si>
  <si>
    <t>Ohio State Buckeyes</t>
  </si>
  <si>
    <t>Xfinity Center</t>
  </si>
  <si>
    <t>Maryland Terrapins</t>
  </si>
  <si>
    <t>Kohl Center</t>
  </si>
  <si>
    <t>Wisconsin Badgers</t>
  </si>
  <si>
    <t>Simon Skjodt Assembly Hall</t>
  </si>
  <si>
    <t>Indiana Hoosiers</t>
  </si>
  <si>
    <t>Allen Fieldhouse</t>
  </si>
  <si>
    <t>Kansas Jayhawks</t>
  </si>
  <si>
    <t>Save Mart Center</t>
  </si>
  <si>
    <t>Fresno State Bulldogs</t>
  </si>
  <si>
    <t>State Farm Center</t>
  </si>
  <si>
    <t>Illinois Fighting Illini</t>
  </si>
  <si>
    <t>Dreamstyle Arena</t>
  </si>
  <si>
    <t>New Mexico Lobos</t>
  </si>
  <si>
    <t>Carver–Hawkeye Arena</t>
  </si>
  <si>
    <t>Iowa Hawkeyes</t>
  </si>
  <si>
    <t>Coleman Coliseum</t>
  </si>
  <si>
    <t>Alabama Crimson Tide</t>
  </si>
  <si>
    <t>Bryce Jordan Center</t>
  </si>
  <si>
    <t>Penn State Nittany Lions</t>
  </si>
  <si>
    <t>United Supermarkets Arena</t>
  </si>
  <si>
    <t>Texas Tech Red Raiders</t>
  </si>
  <si>
    <t>Mizzou Arena</t>
  </si>
  <si>
    <t>Missouri Tigers</t>
  </si>
  <si>
    <t>Arena-Auditorium</t>
  </si>
  <si>
    <t>Wyoming Cowboys and Cowgirls</t>
  </si>
  <si>
    <t>Jon M. Huntsman Center</t>
  </si>
  <si>
    <t>Utah Utes</t>
  </si>
  <si>
    <t>Moody Center</t>
  </si>
  <si>
    <t>Texas Longhorns</t>
  </si>
  <si>
    <t>Mackey Arena</t>
  </si>
  <si>
    <t>Purdue Boilermakers</t>
  </si>
  <si>
    <t>Breslin Student Events Center</t>
  </si>
  <si>
    <t>Michigan State Spartans</t>
  </si>
  <si>
    <t>Lawrence Joel Veterans Memorial Coliseum</t>
  </si>
  <si>
    <t>Wake Forest Demon Deacons</t>
  </si>
  <si>
    <t>McKale Center</t>
  </si>
  <si>
    <t>Arizona Wildcats</t>
  </si>
  <si>
    <t>Williams Arena</t>
  </si>
  <si>
    <t>Minnesota Golden Gophers</t>
  </si>
  <si>
    <t>John Paul Jones Arena</t>
  </si>
  <si>
    <t>Virginia Cavaliers</t>
  </si>
  <si>
    <t>Hilton Coliseum</t>
  </si>
  <si>
    <t>Iowa State Cyclones</t>
  </si>
  <si>
    <t>Memorial Gymnasium</t>
  </si>
  <si>
    <t>Vanderbilt Commodores</t>
  </si>
  <si>
    <t>WVU Coliseum</t>
  </si>
  <si>
    <t>West Virginia Mountaineers</t>
  </si>
  <si>
    <t>Pauley Pavilion</t>
  </si>
  <si>
    <t>UCLA Bruins</t>
  </si>
  <si>
    <t>Gallagher-Iba Arena</t>
  </si>
  <si>
    <t>Oklahoma State Cowboys and Cowgirls</t>
  </si>
  <si>
    <t>Hearnes Center</t>
  </si>
  <si>
    <t>Wolstein Center</t>
  </si>
  <si>
    <t>Cleveland State Vikings</t>
  </si>
  <si>
    <t>Cajundome</t>
  </si>
  <si>
    <t>Louisiana Ragin' Cajuns</t>
  </si>
  <si>
    <t>University of Dayton Arena</t>
  </si>
  <si>
    <t>Dayton Flyers</t>
  </si>
  <si>
    <t>ExtraMile Arena</t>
  </si>
  <si>
    <t>Boise State Broncos</t>
  </si>
  <si>
    <t>Pete Maravich Assembly Center</t>
  </si>
  <si>
    <t>LSU Tigers</t>
  </si>
  <si>
    <t>Fifth Third Arena</t>
  </si>
  <si>
    <t>Cincinnati Bearcats</t>
  </si>
  <si>
    <t>Convocation Center</t>
  </si>
  <si>
    <t>Ohio Bobcats</t>
  </si>
  <si>
    <t>Reed Arena</t>
  </si>
  <si>
    <t>Texas A&amp;M Aggies</t>
  </si>
  <si>
    <t>Crisler Center</t>
  </si>
  <si>
    <t>Michigan Wolverines</t>
  </si>
  <si>
    <t>Bramlage Coliseum</t>
  </si>
  <si>
    <t>Kansas State Wildcats</t>
  </si>
  <si>
    <t>Petersen Events Center</t>
  </si>
  <si>
    <t>Pittsburgh Panthers</t>
  </si>
  <si>
    <t>Donald L. Tucker Civic Center</t>
  </si>
  <si>
    <t>Florida State Seminoles</t>
  </si>
  <si>
    <t>Pan American Center</t>
  </si>
  <si>
    <t>New Mexico State Aggies</t>
  </si>
  <si>
    <t>Viejas Arena</t>
  </si>
  <si>
    <t>San Diego State Aztecs</t>
  </si>
  <si>
    <t>Matthew Knight Arena</t>
  </si>
  <si>
    <t>Oregon Ducks</t>
  </si>
  <si>
    <t>Don Haskins Center</t>
  </si>
  <si>
    <t>UTEP Miners</t>
  </si>
  <si>
    <t>Haas Pavilion</t>
  </si>
  <si>
    <t>California Golden Bears</t>
  </si>
  <si>
    <t>Beasley Coliseum</t>
  </si>
  <si>
    <t>Washington State Cougars</t>
  </si>
  <si>
    <t>Ralph Engelstad Arena</t>
  </si>
  <si>
    <t>North Dakota Fighting Hawks</t>
  </si>
  <si>
    <t>Lawlor Events Center</t>
  </si>
  <si>
    <t>Nevada Wolf Pack</t>
  </si>
  <si>
    <t>Lloyd Noble Center</t>
  </si>
  <si>
    <t>Oklahoma Sooners</t>
  </si>
  <si>
    <t>Murphy Center</t>
  </si>
  <si>
    <t>Middle Tennessee Blue Raiders</t>
  </si>
  <si>
    <t>Dee Events Center</t>
  </si>
  <si>
    <t>Weber State Wildcats</t>
  </si>
  <si>
    <t>Worthen Arena</t>
  </si>
  <si>
    <t>Ball State Cardinals</t>
  </si>
  <si>
    <t>Kaplan Arena</t>
  </si>
  <si>
    <t>William &amp; Mary Tribe</t>
  </si>
  <si>
    <t>Northern Arizona Lumberjacks</t>
  </si>
  <si>
    <t>CU Events Center</t>
  </si>
  <si>
    <t>Colorado Buffaloes</t>
  </si>
  <si>
    <t>Great Southern Bank Arena</t>
  </si>
  <si>
    <t>Missouri State Bears</t>
  </si>
  <si>
    <t>McKenzie Arena</t>
  </si>
  <si>
    <t>Chattanooga Mocs</t>
  </si>
  <si>
    <t>Montagne Center</t>
  </si>
  <si>
    <t>Lamar Cardinals</t>
  </si>
  <si>
    <t>Chaifetz Arena</t>
  </si>
  <si>
    <t>Saint Louis Billikens</t>
  </si>
  <si>
    <t>Humphrey Coliseum</t>
  </si>
  <si>
    <t>Mississippi State Bulldogs</t>
  </si>
  <si>
    <t>First National Bank Arena</t>
  </si>
  <si>
    <t>Arkansas State Red Wolves</t>
  </si>
  <si>
    <t>Mabee Center</t>
  </si>
  <si>
    <t>Oral Roberts Golden Eagles</t>
  </si>
  <si>
    <t>Stegeman Coliseum</t>
  </si>
  <si>
    <t>Georgia Bulldogs</t>
  </si>
  <si>
    <t>Charles Koch Arena</t>
  </si>
  <si>
    <t>Wichita State Shockers</t>
  </si>
  <si>
    <t>Gentry Complex</t>
  </si>
  <si>
    <t>Tennessee State Tigers</t>
  </si>
  <si>
    <t>O'Connell Center</t>
  </si>
  <si>
    <t>Florida Gators</t>
  </si>
  <si>
    <t>Yuengling Center</t>
  </si>
  <si>
    <t>South Florida Bulls</t>
  </si>
  <si>
    <t>Ferrell Center</t>
  </si>
  <si>
    <t>Baylor Bears</t>
  </si>
  <si>
    <t>Stan Sheriff Center</t>
  </si>
  <si>
    <t>Hawaii Rainbow Warriors</t>
  </si>
  <si>
    <t>Smith Spectrum</t>
  </si>
  <si>
    <t>Utah State Aggies</t>
  </si>
  <si>
    <t>Galen Center</t>
  </si>
  <si>
    <t>USC Trojans</t>
  </si>
  <si>
    <t>Cintas Center</t>
  </si>
  <si>
    <t>Xavier Musketeers</t>
  </si>
  <si>
    <t>CEFCU Arena</t>
  </si>
  <si>
    <t>Illinois State Redbirds</t>
  </si>
  <si>
    <t>Liacouras Center</t>
  </si>
  <si>
    <t>Temple Owls</t>
  </si>
  <si>
    <t>Hulman Center</t>
  </si>
  <si>
    <t>Indiana State Sycamores</t>
  </si>
  <si>
    <t>Harry A. Gampel Pavilion</t>
  </si>
  <si>
    <t>Storrs</t>
  </si>
  <si>
    <t>UConn Huskies</t>
  </si>
  <si>
    <t>Cassell Coliseum</t>
  </si>
  <si>
    <t>Virginia Tech Hokies</t>
  </si>
  <si>
    <t>Mitchell Center</t>
  </si>
  <si>
    <t>South Alabama Jaguars</t>
  </si>
  <si>
    <t>Alaska Airlines Arena at Hec Edmundson Pavilion</t>
  </si>
  <si>
    <t>Washington Huskies</t>
  </si>
  <si>
    <t>Strahan Arena</t>
  </si>
  <si>
    <t>Texas State Bobcats</t>
  </si>
  <si>
    <t>EagleBank Arena</t>
  </si>
  <si>
    <t>Fairfax</t>
  </si>
  <si>
    <t>George Mason Patriots</t>
  </si>
  <si>
    <t>3M Arena at Mariucci</t>
  </si>
  <si>
    <t>Northern Illinois Huskies</t>
  </si>
  <si>
    <t>MSU Dome</t>
  </si>
  <si>
    <t>Minot State Beavers</t>
  </si>
  <si>
    <t>Total Monthly Revenue</t>
  </si>
  <si>
    <t>Total Potential Market Revenue</t>
  </si>
  <si>
    <t>Capacity 5,000 - 10,000</t>
  </si>
  <si>
    <t>This table includes indoor arenas by seating capacity, which are owned and operated by universities and colleges and serve as home to college</t>
  </si>
  <si>
    <t xml:space="preserve"> sports teams. Arenas with a capacity of at least 5,000 are included.</t>
  </si>
  <si>
    <t>Arena</t>
  </si>
  <si>
    <t>Team</t>
  </si>
  <si>
    <t>Conference</t>
  </si>
  <si>
    <t>Opened</t>
  </si>
  <si>
    <t>Al Lawson Center</t>
  </si>
  <si>
    <t>Florida A&amp;M</t>
  </si>
  <si>
    <t>SWAC</t>
  </si>
  <si>
    <t>Gill Coliseum</t>
  </si>
  <si>
    <t>Oregon State</t>
  </si>
  <si>
    <t>Pac-12</t>
  </si>
  <si>
    <t>The Sandy and John Black Pavilion at Ole Miss</t>
  </si>
  <si>
    <t>Ole Miss</t>
  </si>
  <si>
    <t>SEC</t>
  </si>
  <si>
    <t>Mullins Center</t>
  </si>
  <si>
    <t>Atlantic 10</t>
  </si>
  <si>
    <t>Addition Financial Arena</t>
  </si>
  <si>
    <t>UCF</t>
  </si>
  <si>
    <r>
      <rPr>
        <rFont val="Arial"/>
        <color rgb="FF202122"/>
        <sz val="10.0"/>
        <u/>
      </rPr>
      <t>The American</t>
    </r>
    <r>
      <rPr>
        <rFont val="Arial"/>
        <sz val="10.0"/>
      </rPr>
      <t xml:space="preserve">
(</t>
    </r>
    <r>
      <rPr>
        <rFont val="Arial"/>
        <color rgb="FF202122"/>
        <sz val="10.0"/>
        <u/>
      </rPr>
      <t>Big 12</t>
    </r>
    <r>
      <rPr>
        <rFont val="Arial"/>
        <sz val="10.0"/>
      </rPr>
      <t xml:space="preserve"> in 2023)</t>
    </r>
  </si>
  <si>
    <t>Truist Arena</t>
  </si>
  <si>
    <t>Highland Heights</t>
  </si>
  <si>
    <t>Northern Kentucky</t>
  </si>
  <si>
    <t>Horizon</t>
  </si>
  <si>
    <t>Cameron Indoor Stadium</t>
  </si>
  <si>
    <t>Duke</t>
  </si>
  <si>
    <t>ACC</t>
  </si>
  <si>
    <t>Eblen Center</t>
  </si>
  <si>
    <t>Tennessee Tech</t>
  </si>
  <si>
    <t>Ohio Valley</t>
  </si>
  <si>
    <t>Edmund P. Joyce Center</t>
  </si>
  <si>
    <t>Dale F. Halton Arena</t>
  </si>
  <si>
    <r>
      <rPr>
        <rFont val="Arial"/>
        <color rgb="FF202122"/>
        <sz val="10.0"/>
        <u/>
      </rPr>
      <t>C-USA</t>
    </r>
    <r>
      <rPr>
        <rFont val="Arial"/>
        <sz val="10.0"/>
      </rPr>
      <t xml:space="preserve">
(</t>
    </r>
    <r>
      <rPr>
        <rFont val="Arial"/>
        <color rgb="FF202122"/>
        <sz val="10.0"/>
        <u/>
      </rPr>
      <t>The American</t>
    </r>
    <r>
      <rPr>
        <rFont val="Arial"/>
        <sz val="10.0"/>
      </rPr>
      <t xml:space="preserve"> in 2023)</t>
    </r>
  </si>
  <si>
    <t>Hinkle Fieldhouse</t>
  </si>
  <si>
    <t>Butler</t>
  </si>
  <si>
    <t>Big East</t>
  </si>
  <si>
    <t>Cam Henderson Center</t>
  </si>
  <si>
    <t>Marshall</t>
  </si>
  <si>
    <r>
      <rPr>
        <rFont val="Arial"/>
        <color rgb="FF202122"/>
        <sz val="10.0"/>
        <u/>
      </rPr>
      <t>C-USA</t>
    </r>
    <r>
      <rPr>
        <rFont val="Arial"/>
        <sz val="10.0"/>
      </rPr>
      <t xml:space="preserve">
(</t>
    </r>
    <r>
      <rPr>
        <rFont val="Arial"/>
        <color rgb="FF202122"/>
        <sz val="10.0"/>
        <u/>
      </rPr>
      <t>Sun Belt</t>
    </r>
    <r>
      <rPr>
        <rFont val="Arial"/>
        <sz val="10.0"/>
      </rPr>
      <t xml:space="preserve"> in 2023)</t>
    </r>
  </si>
  <si>
    <t>Dunn Center</t>
  </si>
  <si>
    <t>Austin Peay</t>
  </si>
  <si>
    <t>ASUN</t>
  </si>
  <si>
    <t>Littlejohn Coliseum</t>
  </si>
  <si>
    <t>Lakefront Arena</t>
  </si>
  <si>
    <t>Southland</t>
  </si>
  <si>
    <t>George Gervin GameAbove Center</t>
  </si>
  <si>
    <t>Eastern Michigan</t>
  </si>
  <si>
    <t>MAC</t>
  </si>
  <si>
    <t>Moby Arena</t>
  </si>
  <si>
    <t>Colorado State</t>
  </si>
  <si>
    <t>Mountain West</t>
  </si>
  <si>
    <t>Palestra</t>
  </si>
  <si>
    <t>Penn</t>
  </si>
  <si>
    <t>Ivy</t>
  </si>
  <si>
    <t>Conte Forum</t>
  </si>
  <si>
    <t>Boston College</t>
  </si>
  <si>
    <t>CFSB Center</t>
  </si>
  <si>
    <t>Murray State</t>
  </si>
  <si>
    <t>Missouri Valley</t>
  </si>
  <si>
    <t>Hank McCamish Pavilion</t>
  </si>
  <si>
    <t>Georgia Tech</t>
  </si>
  <si>
    <t>Bartow Arena</t>
  </si>
  <si>
    <t>UAB</t>
  </si>
  <si>
    <r>
      <rPr>
        <rFont val="Arial"/>
        <color rgb="FF202122"/>
        <sz val="10.0"/>
        <u/>
      </rPr>
      <t>C-USA</t>
    </r>
    <r>
      <rPr>
        <rFont val="Arial"/>
        <sz val="10.0"/>
      </rPr>
      <t xml:space="preserve">
(</t>
    </r>
    <r>
      <rPr>
        <rFont val="Arial"/>
        <color rgb="FF202122"/>
        <sz val="10.0"/>
        <u/>
      </rPr>
      <t>The American</t>
    </r>
    <r>
      <rPr>
        <rFont val="Arial"/>
        <sz val="10.0"/>
      </rPr>
      <t xml:space="preserve"> in 2023)</t>
    </r>
  </si>
  <si>
    <t>Atlantic Union Bank Center</t>
  </si>
  <si>
    <t>James Madison</t>
  </si>
  <si>
    <t>Sun Belt</t>
  </si>
  <si>
    <t>UCCU Center</t>
  </si>
  <si>
    <t>Orem</t>
  </si>
  <si>
    <t>Utah Valley</t>
  </si>
  <si>
    <t>WAC</t>
  </si>
  <si>
    <t>Schollmaier Arena</t>
  </si>
  <si>
    <t>TCU</t>
  </si>
  <si>
    <t>Big 12</t>
  </si>
  <si>
    <t>Chartway Arena</t>
  </si>
  <si>
    <t>Old Dominion</t>
  </si>
  <si>
    <r>
      <rPr>
        <rFont val="Arial"/>
        <color rgb="FF202122"/>
        <sz val="10.0"/>
        <u/>
      </rPr>
      <t>Sacred Heart men</t>
    </r>
    <r>
      <rPr>
        <rFont val="Arial"/>
        <sz val="10.0"/>
      </rPr>
      <t xml:space="preserve"> &amp; </t>
    </r>
    <r>
      <rPr>
        <rFont val="Arial"/>
        <color rgb="FF202122"/>
        <sz val="10.0"/>
        <u/>
      </rPr>
      <t>women</t>
    </r>
  </si>
  <si>
    <r>
      <rPr>
        <rFont val="Arial"/>
        <color rgb="FF202122"/>
        <sz val="10.0"/>
        <u/>
      </rPr>
      <t>Atlantic Hockey</t>
    </r>
    <r>
      <rPr>
        <rFont val="Arial"/>
        <sz val="10.0"/>
      </rPr>
      <t xml:space="preserve"> (men)
</t>
    </r>
    <r>
      <rPr>
        <rFont val="Arial"/>
        <color rgb="FF202122"/>
        <sz val="10.0"/>
        <u/>
      </rPr>
      <t>NEWHA</t>
    </r>
    <r>
      <rPr>
        <rFont val="Arial"/>
        <sz val="10.0"/>
      </rPr>
      <t xml:space="preserve"> (women)</t>
    </r>
  </si>
  <si>
    <t>William D. Mullins Memorial Center</t>
  </si>
  <si>
    <t>Hockey East</t>
  </si>
  <si>
    <t>Reynolds Center</t>
  </si>
  <si>
    <t>The American</t>
  </si>
  <si>
    <t>Banterra Center</t>
  </si>
  <si>
    <t>Southern Illinois</t>
  </si>
  <si>
    <t>George M. Holmes Convocation Center</t>
  </si>
  <si>
    <t>Appalachian State</t>
  </si>
  <si>
    <t>Calihan Hall</t>
  </si>
  <si>
    <t>Detroit Mercy</t>
  </si>
  <si>
    <t>Health and Physical Education Arena</t>
  </si>
  <si>
    <t>Texas Southern</t>
  </si>
  <si>
    <t>Thomas Assembly Center</t>
  </si>
  <si>
    <t>Louisiana Tech</t>
  </si>
  <si>
    <t>C-USA</t>
  </si>
  <si>
    <t>Reed Green Coliseum</t>
  </si>
  <si>
    <t>Southern Miss</t>
  </si>
  <si>
    <t>Wachs Arena</t>
  </si>
  <si>
    <t>Northern State</t>
  </si>
  <si>
    <t>Northern Sun</t>
  </si>
  <si>
    <t>Carmichael Arena</t>
  </si>
  <si>
    <t>North Carolina women</t>
  </si>
  <si>
    <t>Williams Arena at Minges Coliseum</t>
  </si>
  <si>
    <t>East Carolina</t>
  </si>
  <si>
    <t>Williams Assembly Center</t>
  </si>
  <si>
    <t>Jackson State</t>
  </si>
  <si>
    <t>Holt Arena</t>
  </si>
  <si>
    <t>Idaho State men</t>
  </si>
  <si>
    <t>Big Sky</t>
  </si>
  <si>
    <t>Jersey Mike's Arena</t>
  </si>
  <si>
    <t>Rutgers</t>
  </si>
  <si>
    <t>Big Ten</t>
  </si>
  <si>
    <t>Kentucky women</t>
  </si>
  <si>
    <t>Watsco Center</t>
  </si>
  <si>
    <t>Coral Gables</t>
  </si>
  <si>
    <t>Miami (FL)</t>
  </si>
  <si>
    <t>Baxter Arena</t>
  </si>
  <si>
    <t>NCHC</t>
  </si>
  <si>
    <r>
      <rPr>
        <rFont val="Arial"/>
        <color rgb="FF202122"/>
        <sz val="10.0"/>
        <u/>
      </rPr>
      <t>Boston College men</t>
    </r>
    <r>
      <rPr>
        <rFont val="Arial"/>
        <sz val="10.0"/>
      </rPr>
      <t xml:space="preserve"> &amp; </t>
    </r>
    <r>
      <rPr>
        <rFont val="Arial"/>
        <color rgb="FF202122"/>
        <sz val="10.0"/>
        <u/>
      </rPr>
      <t>women</t>
    </r>
  </si>
  <si>
    <t>Ramsey Center</t>
  </si>
  <si>
    <t>Western Carolina</t>
  </si>
  <si>
    <t>Southern</t>
  </si>
  <si>
    <t>Ryan Center</t>
  </si>
  <si>
    <t>Kingston</t>
  </si>
  <si>
    <t>Siegel Center</t>
  </si>
  <si>
    <t>Virginia Commonwealth</t>
  </si>
  <si>
    <t>The Pavilion at ARC</t>
  </si>
  <si>
    <t>UC Davis</t>
  </si>
  <si>
    <t>Big West</t>
  </si>
  <si>
    <t>University Center</t>
  </si>
  <si>
    <t>Southeastern Louisiana</t>
  </si>
  <si>
    <t>Fredrick C. Hobdy Assembly Center</t>
  </si>
  <si>
    <t>Summit</t>
  </si>
  <si>
    <t>FG Clark Center</t>
  </si>
  <si>
    <t>Dunn–Oliver Acadome</t>
  </si>
  <si>
    <t>Alabama State</t>
  </si>
  <si>
    <t>Maples Pavilion</t>
  </si>
  <si>
    <t>EA Diddle Arena</t>
  </si>
  <si>
    <t>Western Kentucky</t>
  </si>
  <si>
    <t>Dahlberg Arena</t>
  </si>
  <si>
    <t>Georgia State Convocation Center</t>
  </si>
  <si>
    <t>Georgia State</t>
  </si>
  <si>
    <t>Savage Arena</t>
  </si>
  <si>
    <t>Brick Breeden Fieldhouse</t>
  </si>
  <si>
    <t>Montana State</t>
  </si>
  <si>
    <t>William R. Johnson Coliseum</t>
  </si>
  <si>
    <t>Stephen F. Austin</t>
  </si>
  <si>
    <t>Robins Center</t>
  </si>
  <si>
    <t>Magness Arena</t>
  </si>
  <si>
    <t>Hampton Convocation Center</t>
  </si>
  <si>
    <t>CAA</t>
  </si>
  <si>
    <t>Fertitta Center</t>
  </si>
  <si>
    <r>
      <rPr>
        <rFont val="Arial"/>
        <color rgb="FF202122"/>
        <sz val="10.0"/>
        <u/>
      </rPr>
      <t>The American</t>
    </r>
    <r>
      <rPr>
        <rFont val="Arial"/>
        <sz val="10.0"/>
      </rPr>
      <t xml:space="preserve">
(</t>
    </r>
    <r>
      <rPr>
        <rFont val="Arial"/>
        <color rgb="FF202122"/>
        <sz val="10.0"/>
        <u/>
      </rPr>
      <t>Big 12</t>
    </r>
    <r>
      <rPr>
        <rFont val="Arial"/>
        <sz val="10.0"/>
      </rPr>
      <t xml:space="preserve"> in 2023)</t>
    </r>
  </si>
  <si>
    <t>Fant–Ewing Coliseum</t>
  </si>
  <si>
    <t>Louisiana–Monroe</t>
  </si>
  <si>
    <t>Welsh–Ryan Arena</t>
  </si>
  <si>
    <t>Northwestern</t>
  </si>
  <si>
    <t>McLeod Center</t>
  </si>
  <si>
    <t>Northern Iowa</t>
  </si>
  <si>
    <t>Moody Coliseum</t>
  </si>
  <si>
    <t>SMU</t>
  </si>
  <si>
    <t>College Park Center</t>
  </si>
  <si>
    <t>UT Arlington</t>
  </si>
  <si>
    <t>Global Credit Union Arena</t>
  </si>
  <si>
    <t>Grand Canyon</t>
  </si>
  <si>
    <t>Emil and Patricia Jones Convocation Center</t>
  </si>
  <si>
    <t>Chicago State</t>
  </si>
  <si>
    <t>Conference TBA</t>
  </si>
  <si>
    <t>Davey Whitney Complex</t>
  </si>
  <si>
    <t>Alcorn State</t>
  </si>
  <si>
    <t>Southeast Missouri State</t>
  </si>
  <si>
    <t>Credit Union 1 Arena</t>
  </si>
  <si>
    <t>UIC</t>
  </si>
  <si>
    <t>American International</t>
  </si>
  <si>
    <t>Atlantic Hockey</t>
  </si>
  <si>
    <t>Jadwin Gymnasium</t>
  </si>
  <si>
    <t>Gross Memorial Coliseum</t>
  </si>
  <si>
    <t>Hays</t>
  </si>
  <si>
    <t>Fort Hays State</t>
  </si>
  <si>
    <t>MIAA</t>
  </si>
  <si>
    <t>Alumni Coliseum</t>
  </si>
  <si>
    <t>Eastern Kentucky</t>
  </si>
  <si>
    <t>William J. Nicks Building</t>
  </si>
  <si>
    <t>Prairie View A&amp;M</t>
  </si>
  <si>
    <r>
      <t>1968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3</t>
    </r>
    <r>
      <rPr>
        <rFont val="Arial"/>
        <sz val="10.0"/>
      </rPr>
      <t>]</t>
    </r>
  </si>
  <si>
    <t>Jerry M. Hughes Athletics Center</t>
  </si>
  <si>
    <t>Warrensburg</t>
  </si>
  <si>
    <t>Central Missouri</t>
  </si>
  <si>
    <t>Frost Arena</t>
  </si>
  <si>
    <t>South Dakota State</t>
  </si>
  <si>
    <t>Beeghly Center</t>
  </si>
  <si>
    <t>Youngstown State</t>
  </si>
  <si>
    <t>Ellis Johnson Arena</t>
  </si>
  <si>
    <t>Morehead State</t>
  </si>
  <si>
    <t>Tsongas Center</t>
  </si>
  <si>
    <t>Lowell</t>
  </si>
  <si>
    <t>UMass Lowell</t>
  </si>
  <si>
    <t>America East</t>
  </si>
  <si>
    <t>Munn Ice Arena</t>
  </si>
  <si>
    <t>Michigan State</t>
  </si>
  <si>
    <t>The Coliseum</t>
  </si>
  <si>
    <t>Carrollton</t>
  </si>
  <si>
    <t>West Georgia Wolves</t>
  </si>
  <si>
    <t>GSC</t>
  </si>
  <si>
    <r>
      <t>2009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5</t>
    </r>
    <r>
      <rPr>
        <rFont val="Arial"/>
        <sz val="10.0"/>
      </rPr>
      <t>]</t>
    </r>
  </si>
  <si>
    <t>Knapp Center</t>
  </si>
  <si>
    <t>Drake</t>
  </si>
  <si>
    <t>St. Cloud State Huskies</t>
  </si>
  <si>
    <t>Millett Hall</t>
  </si>
  <si>
    <t>Miami (Ohio)</t>
  </si>
  <si>
    <t>Memorial Athletic and Convocation Center</t>
  </si>
  <si>
    <t>Kent State</t>
  </si>
  <si>
    <t>Alex G. Spanos Center</t>
  </si>
  <si>
    <t>Pacific</t>
  </si>
  <si>
    <t>West Coast</t>
  </si>
  <si>
    <t>Agganis Arena</t>
  </si>
  <si>
    <t>Boston University men</t>
  </si>
  <si>
    <t>Freedom Hall Civic Center</t>
  </si>
  <si>
    <t>Johnson City</t>
  </si>
  <si>
    <t>East Tennessee State</t>
  </si>
  <si>
    <t>Winthrop Coliseum</t>
  </si>
  <si>
    <t>Rock Hill</t>
  </si>
  <si>
    <t>Winthrop</t>
  </si>
  <si>
    <t>Big South</t>
  </si>
  <si>
    <t>Alumni Arena</t>
  </si>
  <si>
    <t>Bernard Johnson Coliseum</t>
  </si>
  <si>
    <t>Sam Houston</t>
  </si>
  <si>
    <r>
      <rPr>
        <rFont val="Arial"/>
        <color rgb="FF202122"/>
        <sz val="10.0"/>
        <u/>
      </rPr>
      <t>WAC</t>
    </r>
    <r>
      <rPr>
        <rFont val="Arial"/>
        <sz val="10.0"/>
      </rPr>
      <t xml:space="preserve">
(</t>
    </r>
    <r>
      <rPr>
        <rFont val="Arial"/>
        <color rgb="FF202122"/>
        <sz val="10.0"/>
        <u/>
      </rPr>
      <t>C-USA</t>
    </r>
    <r>
      <rPr>
        <rFont val="Arial"/>
        <sz val="10.0"/>
      </rPr>
      <t xml:space="preserve"> in 2023)</t>
    </r>
  </si>
  <si>
    <t>Pegula Ice Arena</t>
  </si>
  <si>
    <r>
      <rPr>
        <rFont val="Arial"/>
        <color rgb="FF202122"/>
        <sz val="10.0"/>
        <u/>
      </rPr>
      <t>Penn State men</t>
    </r>
    <r>
      <rPr>
        <rFont val="Arial"/>
        <sz val="10.0"/>
      </rPr>
      <t xml:space="preserve"> &amp; </t>
    </r>
    <r>
      <rPr>
        <rFont val="Arial"/>
        <color rgb="FF202122"/>
        <sz val="10.0"/>
        <u/>
      </rPr>
      <t>women</t>
    </r>
  </si>
  <si>
    <r>
      <rPr>
        <rFont val="Arial"/>
        <color rgb="FF202122"/>
        <sz val="10.0"/>
        <u/>
      </rPr>
      <t>Big Ten</t>
    </r>
    <r>
      <rPr>
        <rFont val="Arial"/>
        <sz val="10.0"/>
      </rPr>
      <t xml:space="preserve"> (men)
</t>
    </r>
    <r>
      <rPr>
        <rFont val="Arial"/>
        <color rgb="FF202122"/>
        <sz val="10.0"/>
        <u/>
      </rPr>
      <t>CHA</t>
    </r>
    <r>
      <rPr>
        <rFont val="Arial"/>
        <sz val="10.0"/>
      </rPr>
      <t xml:space="preserve"> (women)</t>
    </r>
  </si>
  <si>
    <t>Stabler Arena</t>
  </si>
  <si>
    <t>Lehigh</t>
  </si>
  <si>
    <t>Patriot</t>
  </si>
  <si>
    <t>McCarthey Athletic Center</t>
  </si>
  <si>
    <t>Gonzaga</t>
  </si>
  <si>
    <t>Whittemore Center</t>
  </si>
  <si>
    <r>
      <rPr>
        <rFont val="Arial"/>
        <color rgb="FF202122"/>
        <sz val="10.0"/>
        <u/>
      </rPr>
      <t>New Hampshire men</t>
    </r>
    <r>
      <rPr>
        <rFont val="Arial"/>
        <sz val="10.0"/>
      </rPr>
      <t xml:space="preserve"> &amp; </t>
    </r>
    <r>
      <rPr>
        <rFont val="Arial"/>
        <color rgb="FF202122"/>
        <sz val="10.0"/>
        <u/>
      </rPr>
      <t>women</t>
    </r>
  </si>
  <si>
    <t>Alabama A&amp;M Events Center</t>
  </si>
  <si>
    <t>Alabama A&amp;M</t>
  </si>
  <si>
    <t>Sanford Coyote Sports Center</t>
  </si>
  <si>
    <t>Vermillion</t>
  </si>
  <si>
    <t>Farris Center</t>
  </si>
  <si>
    <t>Central Arkansas</t>
  </si>
  <si>
    <t>Matthews Arena</t>
  </si>
  <si>
    <t>Northeastern men</t>
  </si>
  <si>
    <t>Forbes Arena</t>
  </si>
  <si>
    <t>Morehouse Maroon Tigers</t>
  </si>
  <si>
    <t>SIAC</t>
  </si>
  <si>
    <r>
      <t>1996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6</t>
    </r>
    <r>
      <rPr>
        <rFont val="Arial"/>
        <sz val="10.0"/>
      </rPr>
      <t>]</t>
    </r>
  </si>
  <si>
    <t>Reese Court</t>
  </si>
  <si>
    <t>Cheney</t>
  </si>
  <si>
    <t>Eastern Washington</t>
  </si>
  <si>
    <t>Cadet Field House</t>
  </si>
  <si>
    <t>Air Force</t>
  </si>
  <si>
    <t>Yost Ice Arena</t>
  </si>
  <si>
    <t>Cameron Hall</t>
  </si>
  <si>
    <t>VMI</t>
  </si>
  <si>
    <t>UNF Arena</t>
  </si>
  <si>
    <t>North Florida</t>
  </si>
  <si>
    <t>Brooks Center</t>
  </si>
  <si>
    <r>
      <rPr>
        <rFont val="Arial"/>
        <color rgb="FF202122"/>
        <sz val="10.0"/>
        <u/>
      </rPr>
      <t>St. Cloud State men</t>
    </r>
    <r>
      <rPr>
        <rFont val="Arial"/>
        <sz val="10.0"/>
      </rPr>
      <t xml:space="preserve"> &amp; </t>
    </r>
    <r>
      <rPr>
        <rFont val="Arial"/>
        <color rgb="FF202122"/>
        <sz val="10.0"/>
        <u/>
      </rPr>
      <t>women</t>
    </r>
  </si>
  <si>
    <r>
      <rPr>
        <rFont val="Arial"/>
        <color rgb="FF202122"/>
        <sz val="10.0"/>
        <u/>
      </rPr>
      <t>NCHC</t>
    </r>
    <r>
      <rPr>
        <rFont val="Arial"/>
        <sz val="10.0"/>
      </rPr>
      <t xml:space="preserve"> (men)
</t>
    </r>
    <r>
      <rPr>
        <rFont val="Arial"/>
        <color rgb="FF202122"/>
        <sz val="10.0"/>
        <u/>
      </rPr>
      <t>WCHA</t>
    </r>
    <r>
      <rPr>
        <rFont val="Arial"/>
        <sz val="10.0"/>
      </rPr>
      <t xml:space="preserve"> (women)</t>
    </r>
  </si>
  <si>
    <t>Tudor Fieldhouse</t>
  </si>
  <si>
    <t>Rice</t>
  </si>
  <si>
    <r>
      <rPr>
        <rFont val="Arial"/>
        <color rgb="FF202122"/>
        <sz val="10.0"/>
        <u/>
      </rPr>
      <t>C-USA</t>
    </r>
    <r>
      <rPr>
        <rFont val="Arial"/>
        <sz val="10.0"/>
      </rPr>
      <t xml:space="preserve">
(</t>
    </r>
    <r>
      <rPr>
        <rFont val="Arial"/>
        <color rgb="FF202122"/>
        <sz val="10.0"/>
        <u/>
      </rPr>
      <t>The American</t>
    </r>
    <r>
      <rPr>
        <rFont val="Arial"/>
        <sz val="10.0"/>
      </rPr>
      <t xml:space="preserve"> in 2023)</t>
    </r>
  </si>
  <si>
    <t>Alumni Hall</t>
  </si>
  <si>
    <t>Navy</t>
  </si>
  <si>
    <t>Scheels Center</t>
  </si>
  <si>
    <t>North Dakota State</t>
  </si>
  <si>
    <t>Corbett Sports Center</t>
  </si>
  <si>
    <t>North Carolina A&amp;T</t>
  </si>
  <si>
    <t>Bren Events Center</t>
  </si>
  <si>
    <t>UC Irvine</t>
  </si>
  <si>
    <t>Carnesecca Arena</t>
  </si>
  <si>
    <t>Queens</t>
  </si>
  <si>
    <t>St. John's women</t>
  </si>
  <si>
    <t>UC Santa Barbara Events Center</t>
  </si>
  <si>
    <t>UC Santa Barbara</t>
  </si>
  <si>
    <t>Jack Stephens Center</t>
  </si>
  <si>
    <t>Reynolds Coliseum</t>
  </si>
  <si>
    <t>North Carolina State women</t>
  </si>
  <si>
    <t>James A. Rhodes Arena</t>
  </si>
  <si>
    <t>Hytche Athletic Center</t>
  </si>
  <si>
    <t>Princess Anne</t>
  </si>
  <si>
    <t>Maryland Eastern Shore</t>
  </si>
  <si>
    <t>MEAC</t>
  </si>
  <si>
    <r>
      <t>1999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7</t>
    </r>
    <r>
      <rPr>
        <rFont val="Arial"/>
        <sz val="10.0"/>
      </rPr>
      <t>]</t>
    </r>
  </si>
  <si>
    <t>Rafael A. Mangual Coliseum</t>
  </si>
  <si>
    <t>Puerto Rico-Mayagüez Tarzans and Janes</t>
  </si>
  <si>
    <r>
      <rPr>
        <rFont val="Arial"/>
        <color rgb="FF202122"/>
        <sz val="10.0"/>
        <u/>
      </rPr>
      <t>NCAA D-II Independent</t>
    </r>
    <r>
      <rPr>
        <rFont val="Arial"/>
        <sz val="10.0"/>
      </rPr>
      <t xml:space="preserve">
</t>
    </r>
    <r>
      <rPr>
        <rFont val="Arial"/>
        <color rgb="FF202122"/>
        <sz val="10.0"/>
        <u/>
      </rPr>
      <t>LAI</t>
    </r>
  </si>
  <si>
    <t>Reilly Center</t>
  </si>
  <si>
    <t>St. Bonaventure</t>
  </si>
  <si>
    <t>University Arena</t>
  </si>
  <si>
    <t>Western Michigan</t>
  </si>
  <si>
    <t>The Complex</t>
  </si>
  <si>
    <t>Valdosta</t>
  </si>
  <si>
    <t>Valdosta State Blazers</t>
  </si>
  <si>
    <t>Gulf South</t>
  </si>
  <si>
    <t>McGuirk Arena</t>
  </si>
  <si>
    <t>Central Michigan</t>
  </si>
  <si>
    <t>America First Event Center</t>
  </si>
  <si>
    <t>Cedar City</t>
  </si>
  <si>
    <t>Southern Utah</t>
  </si>
  <si>
    <t>Lantz Arena</t>
  </si>
  <si>
    <t>Eastern Illinois</t>
  </si>
  <si>
    <t>The Sobrato Center</t>
  </si>
  <si>
    <t>John M. Belk Arena</t>
  </si>
  <si>
    <t>Davidson</t>
  </si>
  <si>
    <t>SECU Arena</t>
  </si>
  <si>
    <t>Trojan Arena</t>
  </si>
  <si>
    <t>Trask Coliseum</t>
  </si>
  <si>
    <t>UNC Wilmington</t>
  </si>
  <si>
    <t>Binghamton University Events Center</t>
  </si>
  <si>
    <t>Vestal</t>
  </si>
  <si>
    <t>Western Hall</t>
  </si>
  <si>
    <t>Western Illinois</t>
  </si>
  <si>
    <t>Mack Sports Complex</t>
  </si>
  <si>
    <t>Hofstra</t>
  </si>
  <si>
    <t>Alfond Arena</t>
  </si>
  <si>
    <r>
      <rPr>
        <rFont val="Arial"/>
        <color rgb="FF202122"/>
        <sz val="10.0"/>
        <u/>
      </rPr>
      <t>Maine men</t>
    </r>
    <r>
      <rPr>
        <rFont val="Arial"/>
        <sz val="10.0"/>
      </rPr>
      <t xml:space="preserve"> &amp; </t>
    </r>
    <r>
      <rPr>
        <rFont val="Arial"/>
        <color rgb="FF202122"/>
        <sz val="10.0"/>
        <u/>
      </rPr>
      <t>women</t>
    </r>
  </si>
  <si>
    <t>Jenny Craig Pavilion</t>
  </si>
  <si>
    <t>TD Arena</t>
  </si>
  <si>
    <t>Schar Center</t>
  </si>
  <si>
    <t>VSU Multi-Purpose Center</t>
  </si>
  <si>
    <t>Ettrick</t>
  </si>
  <si>
    <t>Virginia State Trojans</t>
  </si>
  <si>
    <t>CIAA</t>
  </si>
  <si>
    <r>
      <t>2016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9</t>
    </r>
    <r>
      <rPr>
        <rFont val="Arial"/>
        <sz val="10.0"/>
      </rPr>
      <t>]</t>
    </r>
  </si>
  <si>
    <t>Health and Sports Center</t>
  </si>
  <si>
    <t>Nebraska–Kearney Lopers</t>
  </si>
  <si>
    <r>
      <t>1990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10</t>
    </r>
    <r>
      <rPr>
        <rFont val="Arial"/>
        <sz val="10.0"/>
      </rPr>
      <t>]</t>
    </r>
  </si>
  <si>
    <t>Curb Event Center</t>
  </si>
  <si>
    <t>Belmont</t>
  </si>
  <si>
    <t>CBU Events Center</t>
  </si>
  <si>
    <t>California Baptist</t>
  </si>
  <si>
    <t>Christl Arena</t>
  </si>
  <si>
    <t>Army</t>
  </si>
  <si>
    <t>Allen Arena</t>
  </si>
  <si>
    <t>Lipscomb</t>
  </si>
  <si>
    <t>Compton Family Ice Arena</t>
  </si>
  <si>
    <t>Tex Turner Arena</t>
  </si>
  <si>
    <t>Harrogate</t>
  </si>
  <si>
    <t>Lincoln Memorial Railsplitters</t>
  </si>
  <si>
    <t>South Atlantic</t>
  </si>
  <si>
    <t>Harrison HPER Complex</t>
  </si>
  <si>
    <t>Mississippi Valley State</t>
  </si>
  <si>
    <r>
      <t>1970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12</t>
    </r>
    <r>
      <rPr>
        <rFont val="Arial"/>
        <sz val="10.0"/>
      </rPr>
      <t>]</t>
    </r>
  </si>
  <si>
    <t>Charles E. Smith Center</t>
  </si>
  <si>
    <t>DC</t>
  </si>
  <si>
    <t>George Washington</t>
  </si>
  <si>
    <t>Edmunds Center</t>
  </si>
  <si>
    <t>Stetson</t>
  </si>
  <si>
    <t>Bob Carpenter Center</t>
  </si>
  <si>
    <t>Ocean Bank Convocation Center</t>
  </si>
  <si>
    <t>FIU</t>
  </si>
  <si>
    <t>Slater Family Ice Arena</t>
  </si>
  <si>
    <t>CCHA</t>
  </si>
  <si>
    <t>Athletics–Recreation Center</t>
  </si>
  <si>
    <t>Valparaiso</t>
  </si>
  <si>
    <t>Provident Credit Union Event Center</t>
  </si>
  <si>
    <t>San Jose State</t>
  </si>
  <si>
    <t>Kathleen and Tom Elam Center</t>
  </si>
  <si>
    <t>Martin</t>
  </si>
  <si>
    <t>Tennessee-Martin</t>
  </si>
  <si>
    <t>Mullett Arena</t>
  </si>
  <si>
    <t>Arizona State</t>
  </si>
  <si>
    <t>Independent</t>
  </si>
  <si>
    <t>Texas A&amp;M–Commerce Field House</t>
  </si>
  <si>
    <t>Texas A&amp;M–Commerce</t>
  </si>
  <si>
    <t>Van Noord Arena</t>
  </si>
  <si>
    <t>Calvin</t>
  </si>
  <si>
    <t>MIAC</t>
  </si>
  <si>
    <t>R.L. Vaughn Center</t>
  </si>
  <si>
    <t>Elizabeth City</t>
  </si>
  <si>
    <t>Elizabeth City State Vikings</t>
  </si>
  <si>
    <t>CIAC</t>
  </si>
  <si>
    <r>
      <t>1976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13</t>
    </r>
    <r>
      <rPr>
        <rFont val="Arial"/>
        <sz val="10.0"/>
      </rPr>
      <t>]</t>
    </r>
  </si>
  <si>
    <t>Sawyer Center</t>
  </si>
  <si>
    <t>Bethany</t>
  </si>
  <si>
    <t>Southern Nazarene Crimson Storm</t>
  </si>
  <si>
    <t>Great American</t>
  </si>
  <si>
    <t>Alaska Airlines Center</t>
  </si>
  <si>
    <t>Alaska Anchorage Seawolves</t>
  </si>
  <si>
    <t>GNAC</t>
  </si>
  <si>
    <t>William L. White Auditorium</t>
  </si>
  <si>
    <t>Emporia</t>
  </si>
  <si>
    <t>Emporia State Hornets</t>
  </si>
  <si>
    <t>Kovalchick Convention and Athletic Complex</t>
  </si>
  <si>
    <t>IUP Crimson Hawks</t>
  </si>
  <si>
    <t>PSAC</t>
  </si>
  <si>
    <t>HPER Complex</t>
  </si>
  <si>
    <t>Albany State Golden Rams</t>
  </si>
  <si>
    <r>
      <t>1997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14</t>
    </r>
    <r>
      <rPr>
        <rFont val="Arial"/>
        <sz val="10.0"/>
      </rPr>
      <t>]</t>
    </r>
  </si>
  <si>
    <t>HPE Basketball Arena/Wildcat Arena</t>
  </si>
  <si>
    <t>Fort Valley</t>
  </si>
  <si>
    <t>Fort Valley State Wildcats</t>
  </si>
  <si>
    <t>Tiger Arena</t>
  </si>
  <si>
    <t>Savannah State Tigers and Lady Tigers</t>
  </si>
  <si>
    <t>Daniel "Chappie" James Center</t>
  </si>
  <si>
    <t>Tuskegee</t>
  </si>
  <si>
    <t>Tuskegee Golden Tigers</t>
  </si>
  <si>
    <r>
      <t>1987</t>
    </r>
    <r>
      <rPr>
        <rFont val="Arial"/>
        <color rgb="FF202122"/>
        <sz val="10.0"/>
        <u/>
      </rPr>
      <t>[</t>
    </r>
    <r>
      <rPr>
        <rFont val="Arial"/>
        <color rgb="FF202122"/>
        <sz val="10.0"/>
        <u/>
      </rPr>
      <t>16</t>
    </r>
    <r>
      <rPr>
        <rFont val="Arial"/>
        <sz val="10.0"/>
      </rPr>
      <t>]</t>
    </r>
  </si>
  <si>
    <r>
      <rPr>
        <rFont val="Arial"/>
        <sz val="10.0"/>
      </rPr>
      <t>[</t>
    </r>
    <r>
      <rPr>
        <rFont val="Arial"/>
        <sz val="10.0"/>
        <u/>
      </rPr>
      <t>edit</t>
    </r>
    <r>
      <rPr>
        <rFont val="Arial"/>
        <sz val="10.0"/>
      </rPr>
      <t>]</t>
    </r>
  </si>
  <si>
    <t>Arena Name</t>
  </si>
  <si>
    <t>Max capacity</t>
  </si>
  <si>
    <t>Basketball</t>
  </si>
  <si>
    <t>Main Team</t>
  </si>
  <si>
    <t>Opening Date</t>
  </si>
  <si>
    <t>Jack and Ruth Ann Hill Convocation Center</t>
  </si>
  <si>
    <r>
      <rPr>
        <rFont val="Arial"/>
        <color rgb="FF202122"/>
        <sz val="10.0"/>
        <u/>
      </rPr>
      <t>Georgia Southern Eagles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</si>
  <si>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Lee and Penny Anderson Arena</t>
  </si>
  <si>
    <t>Saint Paul</t>
  </si>
  <si>
    <r>
      <rPr>
        <rFont val="Arial"/>
        <color rgb="FF202122"/>
        <sz val="10.0"/>
        <u/>
      </rPr>
      <t>St. Thomas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</si>
  <si>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r>
      <rPr>
        <rFont val="Arial"/>
        <color rgb="FF202122"/>
        <sz val="10.0"/>
        <u/>
      </rPr>
      <t>Grand Sierra Resort</t>
    </r>
    <r>
      <rPr>
        <rFont val="Arial"/>
        <sz val="10.0"/>
      </rPr>
      <t xml:space="preserve"> Arena</t>
    </r>
  </si>
  <si>
    <r>
      <rPr>
        <rFont val="Arial"/>
        <color rgb="FF202122"/>
        <sz val="10.0"/>
        <u/>
      </rPr>
      <t>Nevada (men)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</si>
  <si>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New Alabama Arena</t>
  </si>
  <si>
    <r>
      <rPr>
        <rFont val="Arial"/>
        <color rgb="FF202122"/>
        <sz val="10.0"/>
        <u/>
      </rPr>
      <t>Alabama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</si>
  <si>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TBA</t>
  </si>
  <si>
    <t>New LSU Arena</t>
  </si>
  <si>
    <r>
      <rPr>
        <rFont val="Arial"/>
        <color rgb="FF202122"/>
        <sz val="10.0"/>
        <u/>
      </rPr>
      <t>LSU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</si>
  <si>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New Marshall Arena</t>
  </si>
  <si>
    <r>
      <rPr>
        <rFont val="Arial"/>
        <color rgb="FF202122"/>
        <sz val="10.0"/>
        <u/>
      </rPr>
      <t>Marshall</t>
    </r>
    <r>
      <rPr>
        <rFont val="Arial"/>
        <sz val="10.0"/>
      </rPr>
      <t xml:space="preserve"> (</t>
    </r>
    <r>
      <rPr>
        <rFont val="Arial"/>
        <color rgb="FF202122"/>
        <sz val="10.0"/>
        <u/>
      </rPr>
      <t>NCAA</t>
    </r>
    <r>
      <rPr>
        <rFont val="Arial"/>
        <sz val="10.0"/>
      </rPr>
      <t>)</t>
    </r>
  </si>
  <si>
    <t>See also</t>
  </si>
  <si>
    <r>
      <rPr>
        <rFont val="Arial"/>
        <sz val="10.0"/>
      </rPr>
      <t>[</t>
    </r>
    <r>
      <rPr>
        <rFont val="Arial"/>
        <sz val="10.0"/>
        <u/>
      </rPr>
      <t>edit</t>
    </r>
    <r>
      <rPr>
        <rFont val="Arial"/>
        <sz val="10.0"/>
      </rPr>
      <t>]</t>
    </r>
  </si>
  <si>
    <r>
      <rPr>
        <rFont val="Arial"/>
        <color rgb="FF202122"/>
        <sz val="10.0"/>
      </rPr>
      <t>Wikimedia Commons has media related to</t>
    </r>
    <r>
      <rPr>
        <rFont val="Arial"/>
        <color rgb="FF202122"/>
        <sz val="10.0"/>
      </rPr>
      <t xml:space="preserve"> </t>
    </r>
    <r>
      <rPr>
        <rFont val="Arial"/>
        <b/>
        <i/>
        <color rgb="FF202122"/>
        <sz val="10.0"/>
        <u/>
      </rPr>
      <t>Indoor arenas in the United States</t>
    </r>
    <r>
      <rPr>
        <rFont val="Arial"/>
        <color rgb="FF202122"/>
        <sz val="10.0"/>
      </rPr>
      <t>.</t>
    </r>
  </si>
  <si>
    <t>List of NCAA Division I basketball arenas</t>
  </si>
  <si>
    <t>List of NCAA Division I ice hockey arenas</t>
  </si>
  <si>
    <t>List of NBA arenas</t>
  </si>
  <si>
    <t>List of National Hockey League arenas</t>
  </si>
  <si>
    <t>List of U.S. stadiums by capacity</t>
  </si>
  <si>
    <t>List of swimming pools in the United States</t>
  </si>
  <si>
    <t>List of indoor arenas by capacity</t>
  </si>
  <si>
    <t>Lists of stadiums</t>
  </si>
  <si>
    <t>References</t>
  </si>
  <si>
    <r>
      <rPr>
        <rFont val="Arial"/>
        <sz val="10.0"/>
      </rPr>
      <t>[</t>
    </r>
    <r>
      <rPr>
        <rFont val="Arial"/>
        <sz val="10.0"/>
        <u/>
      </rPr>
      <t>edit</t>
    </r>
    <r>
      <rPr>
        <rFont val="Arial"/>
        <sz val="10.0"/>
      </rPr>
      <t>]</t>
    </r>
  </si>
  <si>
    <r>
      <rPr>
        <rFont val="Arial"/>
        <b/>
        <color rgb="FF202122"/>
        <sz val="10.0"/>
        <u/>
      </rPr>
      <t>^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Complex, Greensboro Coliseum.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"Facts and Figures | Greensboro Coliseum Complex"</t>
    </r>
    <r>
      <rPr>
        <rFont val="Arial"/>
        <color rgb="FF202122"/>
        <sz val="10.0"/>
      </rPr>
      <t>.</t>
    </r>
    <r>
      <rPr>
        <rFont val="Arial"/>
        <color rgb="FF202122"/>
        <sz val="10.0"/>
      </rPr>
      <t xml:space="preserve"> </t>
    </r>
    <r>
      <rPr>
        <rFont val="Arial"/>
        <i/>
        <color rgb="FF202122"/>
        <sz val="10.0"/>
      </rPr>
      <t>www.greensborocoliseum.com</t>
    </r>
    <r>
      <rPr>
        <rFont val="Arial"/>
        <color rgb="FF202122"/>
        <sz val="10.0"/>
      </rPr>
      <t>.</t>
    </r>
  </si>
  <si>
    <r>
      <rPr>
        <rFont val="Arial"/>
        <b/>
        <color rgb="FF202122"/>
        <sz val="10.0"/>
        <u/>
      </rPr>
      <t>^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"Omaha Releases 2015-16 Men's Basketball Schedule"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(Press release). Omaha Athletics. July 15, 2015</t>
    </r>
    <r>
      <rPr>
        <rFont val="Arial"/>
        <color rgb="FF202122"/>
        <sz val="10.0"/>
      </rPr>
      <t>. Retrieved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July 29,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2015</t>
    </r>
    <r>
      <rPr>
        <rFont val="Arial"/>
        <color rgb="FF202122"/>
        <sz val="10.0"/>
      </rPr>
      <t>.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The Mavericks' upcoming regular-season slate comprises 30 games, including 13 home contests at Baxter Arena, the new 7,500-seat, on-campus venue under construction at 67th and Center Streets.</t>
    </r>
  </si>
  <si>
    <r>
      <rPr>
        <rFont val="Arial"/>
        <b/>
        <color rgb="FF202122"/>
        <sz val="10.0"/>
        <u/>
      </rPr>
      <t>^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"Prairie View A&amp;M -"</t>
    </r>
    <r>
      <rPr>
        <rFont val="Arial"/>
        <color rgb="FF202122"/>
        <sz val="10.0"/>
      </rPr>
      <t>.</t>
    </r>
    <r>
      <rPr>
        <rFont val="Arial"/>
        <color rgb="FF202122"/>
        <sz val="10.0"/>
      </rPr>
      <t xml:space="preserve"> </t>
    </r>
    <r>
      <rPr>
        <rFont val="Arial"/>
        <i/>
        <color rgb="FF202122"/>
        <sz val="10.0"/>
      </rPr>
      <t>College Hoopedia</t>
    </r>
    <r>
      <rPr>
        <rFont val="Arial"/>
        <color rgb="FF202122"/>
        <sz val="10.0"/>
      </rPr>
      <t>.</t>
    </r>
  </si>
  <si>
    <r>
      <rPr>
        <rFont val="Arial"/>
        <b/>
        <color rgb="FF202122"/>
        <sz val="10.0"/>
        <u/>
      </rPr>
      <t>^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University of West Georgia.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"Coliseum Seating Charts - Sporting Events"</t>
    </r>
    <r>
      <rPr>
        <rFont val="Arial"/>
        <color rgb="FF202122"/>
        <sz val="10.0"/>
      </rPr>
      <t>.</t>
    </r>
    <r>
      <rPr>
        <rFont val="Arial"/>
        <color rgb="FF202122"/>
        <sz val="10.0"/>
      </rPr>
      <t xml:space="preserve"> </t>
    </r>
    <r>
      <rPr>
        <rFont val="Arial"/>
        <i/>
        <color rgb="FF202122"/>
        <sz val="10.0"/>
      </rPr>
      <t>westga.edu</t>
    </r>
    <r>
      <rPr>
        <rFont val="Arial"/>
        <color rgb="FF202122"/>
        <sz val="10.0"/>
      </rPr>
      <t>. Retrieved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November 20,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2023</t>
    </r>
    <r>
      <rPr>
        <rFont val="Arial"/>
        <color rgb="FF202122"/>
        <sz val="10.0"/>
      </rPr>
      <t>.</t>
    </r>
  </si>
  <si>
    <r>
      <rPr>
        <rFont val="Arial"/>
        <b/>
        <color rgb="FF202122"/>
        <sz val="10.0"/>
        <u/>
      </rPr>
      <t>^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University of West Georgia.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"Coliseum Quick Facts"</t>
    </r>
    <r>
      <rPr>
        <rFont val="Arial"/>
        <color rgb="FF202122"/>
        <sz val="10.0"/>
      </rPr>
      <t>.</t>
    </r>
    <r>
      <rPr>
        <rFont val="Arial"/>
        <color rgb="FF202122"/>
        <sz val="10.0"/>
      </rPr>
      <t xml:space="preserve"> </t>
    </r>
    <r>
      <rPr>
        <rFont val="Arial"/>
        <i/>
        <color rgb="FF202122"/>
        <sz val="10.0"/>
      </rPr>
      <t>westga.edu</t>
    </r>
    <r>
      <rPr>
        <rFont val="Arial"/>
        <color rgb="FF202122"/>
        <sz val="10.0"/>
      </rPr>
      <t>. Retrieved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November 20,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2023</t>
    </r>
    <r>
      <rPr>
        <rFont val="Arial"/>
        <color rgb="FF202122"/>
        <sz val="10.0"/>
      </rPr>
      <t>.</t>
    </r>
  </si>
  <si>
    <r>
      <rPr>
        <rFont val="Arial"/>
        <b/>
        <color rgb="FF202122"/>
        <sz val="10.0"/>
        <u/>
      </rPr>
      <t>^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Morehouse College Athletics Department (November 22, 2010).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"Forbes Arena"</t>
    </r>
    <r>
      <rPr>
        <rFont val="Arial"/>
        <color rgb="FF202122"/>
        <sz val="10.0"/>
      </rPr>
      <t>.</t>
    </r>
    <r>
      <rPr>
        <rFont val="Arial"/>
        <color rgb="FF202122"/>
        <sz val="10.0"/>
      </rPr>
      <t xml:space="preserve"> </t>
    </r>
    <r>
      <rPr>
        <rFont val="Arial"/>
        <i/>
        <color rgb="FF202122"/>
        <sz val="10.0"/>
      </rPr>
      <t>morehouseathletics.com</t>
    </r>
    <r>
      <rPr>
        <rFont val="Arial"/>
        <color rgb="FF202122"/>
        <sz val="10.0"/>
      </rPr>
      <t>. Retrieved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November 22,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2023</t>
    </r>
    <r>
      <rPr>
        <rFont val="Arial"/>
        <color rgb="FF202122"/>
        <sz val="10.0"/>
      </rPr>
      <t>.</t>
    </r>
  </si>
  <si>
    <r>
      <rPr>
        <rFont val="Arial"/>
        <b/>
        <color rgb="FF202122"/>
        <sz val="10.0"/>
        <u/>
      </rPr>
      <t>^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"Maryland-Eastern Shore -"</t>
    </r>
    <r>
      <rPr>
        <rFont val="Arial"/>
        <color rgb="FF202122"/>
        <sz val="10.0"/>
      </rPr>
      <t>.</t>
    </r>
    <r>
      <rPr>
        <rFont val="Arial"/>
        <color rgb="FF202122"/>
        <sz val="10.0"/>
      </rPr>
      <t xml:space="preserve"> </t>
    </r>
    <r>
      <rPr>
        <rFont val="Arial"/>
        <i/>
        <color rgb="FF202122"/>
        <sz val="10.0"/>
      </rPr>
      <t>College Hoopedia</t>
    </r>
    <r>
      <rPr>
        <rFont val="Arial"/>
        <color rgb="FF202122"/>
        <sz val="10.0"/>
      </rPr>
      <t>.</t>
    </r>
  </si>
  <si>
    <r>
      <rPr>
        <rFont val="Arial"/>
        <b/>
        <color rgb="FF202122"/>
        <sz val="10.0"/>
        <u/>
      </rPr>
      <t>^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"2014-15 Media Guide Troy Trojans Men's Basketball"</t>
    </r>
    <r>
      <rPr>
        <rFont val="Arial"/>
        <color rgb="FF202122"/>
        <sz val="10.0"/>
      </rPr>
      <t>. TroyTrojans.com. 12 November 2014. pp. 1, 96–97</t>
    </r>
    <r>
      <rPr>
        <rFont val="Arial"/>
        <color rgb="FF202122"/>
        <sz val="10.0"/>
      </rPr>
      <t>. Retrieved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April 15,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2015</t>
    </r>
    <r>
      <rPr>
        <rFont val="Arial"/>
        <color rgb="FF202122"/>
        <sz val="10.0"/>
      </rPr>
      <t>.</t>
    </r>
  </si>
  <si>
    <r>
      <rPr>
        <rFont val="Arial"/>
        <b/>
        <color rgb="FF202122"/>
        <sz val="10.0"/>
        <u/>
      </rPr>
      <t>^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Virginia State Athletics Department (August 29, 2012).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"Athletic Facilities"</t>
    </r>
    <r>
      <rPr>
        <rFont val="Arial"/>
        <color rgb="FF202122"/>
        <sz val="10.0"/>
      </rPr>
      <t>.</t>
    </r>
    <r>
      <rPr>
        <rFont val="Arial"/>
        <color rgb="FF202122"/>
        <sz val="10.0"/>
      </rPr>
      <t xml:space="preserve"> </t>
    </r>
    <r>
      <rPr>
        <rFont val="Arial"/>
        <i/>
        <color rgb="FF202122"/>
        <sz val="10.0"/>
      </rPr>
      <t>govsutrojans.com</t>
    </r>
    <r>
      <rPr>
        <rFont val="Arial"/>
        <color rgb="FF202122"/>
        <sz val="10.0"/>
      </rPr>
      <t>. Retrieved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November 19,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2023</t>
    </r>
    <r>
      <rPr>
        <rFont val="Arial"/>
        <color rgb="FF202122"/>
        <sz val="10.0"/>
      </rPr>
      <t>.</t>
    </r>
  </si>
  <si>
    <r>
      <rPr>
        <rFont val="Arial"/>
        <b/>
        <color rgb="FF202122"/>
        <sz val="10.0"/>
        <u/>
      </rPr>
      <t>^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Nebraska-Kearney Athletics Department (October 14, 2009).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"Health &amp; Sports Center"</t>
    </r>
    <r>
      <rPr>
        <rFont val="Arial"/>
        <color rgb="FF202122"/>
        <sz val="10.0"/>
      </rPr>
      <t>.</t>
    </r>
    <r>
      <rPr>
        <rFont val="Arial"/>
        <color rgb="FF202122"/>
        <sz val="10.0"/>
      </rPr>
      <t xml:space="preserve"> </t>
    </r>
    <r>
      <rPr>
        <rFont val="Arial"/>
        <i/>
        <color rgb="FF202122"/>
        <sz val="10.0"/>
      </rPr>
      <t>lopers.com</t>
    </r>
    <r>
      <rPr>
        <rFont val="Arial"/>
        <color rgb="FF202122"/>
        <sz val="10.0"/>
      </rPr>
      <t>. Retrieved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November 20,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2023</t>
    </r>
    <r>
      <rPr>
        <rFont val="Arial"/>
        <color rgb="FF202122"/>
        <sz val="10.0"/>
      </rPr>
      <t>.</t>
    </r>
  </si>
  <si>
    <r>
      <rPr>
        <rFont val="Arial"/>
        <b/>
        <color rgb="FF202122"/>
        <sz val="10.0"/>
        <u/>
      </rPr>
      <t>^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"CBU Events Center"</t>
    </r>
    <r>
      <rPr>
        <rFont val="Arial"/>
        <color rgb="FF202122"/>
        <sz val="10.0"/>
      </rPr>
      <t>.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California Baptist Lancers</t>
    </r>
    <r>
      <rPr>
        <rFont val="Arial"/>
        <color rgb="FF202122"/>
        <sz val="10.0"/>
      </rPr>
      <t>. Retrieved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January 5,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2018</t>
    </r>
    <r>
      <rPr>
        <rFont val="Arial"/>
        <color rgb="FF202122"/>
        <sz val="10.0"/>
      </rPr>
      <t>.</t>
    </r>
  </si>
  <si>
    <r>
      <rPr>
        <rFont val="Arial"/>
        <b/>
        <color rgb="FF202122"/>
        <sz val="10.0"/>
        <u/>
      </rPr>
      <t>^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"Mississippi Valley State -"</t>
    </r>
    <r>
      <rPr>
        <rFont val="Arial"/>
        <color rgb="FF202122"/>
        <sz val="10.0"/>
      </rPr>
      <t>.</t>
    </r>
    <r>
      <rPr>
        <rFont val="Arial"/>
        <color rgb="FF202122"/>
        <sz val="10.0"/>
      </rPr>
      <t xml:space="preserve"> </t>
    </r>
    <r>
      <rPr>
        <rFont val="Arial"/>
        <i/>
        <color rgb="FF202122"/>
        <sz val="10.0"/>
      </rPr>
      <t>College Hoopedia</t>
    </r>
    <r>
      <rPr>
        <rFont val="Arial"/>
        <color rgb="FF202122"/>
        <sz val="10.0"/>
      </rPr>
      <t>.</t>
    </r>
  </si>
  <si>
    <r>
      <rPr>
        <rFont val="Arial"/>
        <b/>
        <color rgb="FF202122"/>
        <sz val="10.0"/>
        <u/>
      </rPr>
      <t>^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Elizabeth City State Athletics Department.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"R.L. Vaughan Center"</t>
    </r>
    <r>
      <rPr>
        <rFont val="Arial"/>
        <color rgb="FF202122"/>
        <sz val="10.0"/>
      </rPr>
      <t>.</t>
    </r>
    <r>
      <rPr>
        <rFont val="Arial"/>
        <color rgb="FF202122"/>
        <sz val="10.0"/>
      </rPr>
      <t xml:space="preserve"> </t>
    </r>
    <r>
      <rPr>
        <rFont val="Arial"/>
        <i/>
        <color rgb="FF202122"/>
        <sz val="10.0"/>
      </rPr>
      <t>ecsuvikings.com</t>
    </r>
    <r>
      <rPr>
        <rFont val="Arial"/>
        <color rgb="FF202122"/>
        <sz val="10.0"/>
      </rPr>
      <t>. Retrieved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November 19,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2023</t>
    </r>
    <r>
      <rPr>
        <rFont val="Arial"/>
        <color rgb="FF202122"/>
        <sz val="10.0"/>
      </rPr>
      <t>.</t>
    </r>
  </si>
  <si>
    <r>
      <rPr>
        <rFont val="Arial"/>
        <b/>
        <color rgb="FF202122"/>
        <sz val="10.0"/>
        <u/>
      </rPr>
      <t>^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Albany State Athletics Department.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"HPER Complex"</t>
    </r>
    <r>
      <rPr>
        <rFont val="Arial"/>
        <color rgb="FF202122"/>
        <sz val="10.0"/>
      </rPr>
      <t>.</t>
    </r>
    <r>
      <rPr>
        <rFont val="Arial"/>
        <color rgb="FF202122"/>
        <sz val="10.0"/>
      </rPr>
      <t xml:space="preserve"> </t>
    </r>
    <r>
      <rPr>
        <rFont val="Arial"/>
        <i/>
        <color rgb="FF202122"/>
        <sz val="10.0"/>
      </rPr>
      <t>asugoldenrams.com</t>
    </r>
    <r>
      <rPr>
        <rFont val="Arial"/>
        <color rgb="FF202122"/>
        <sz val="10.0"/>
      </rPr>
      <t>. Retrieved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November 22,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2023</t>
    </r>
    <r>
      <rPr>
        <rFont val="Arial"/>
        <color rgb="FF202122"/>
        <sz val="10.0"/>
      </rPr>
      <t>.</t>
    </r>
  </si>
  <si>
    <r>
      <rPr>
        <rFont val="Arial"/>
        <b/>
        <color rgb="FF202122"/>
        <sz val="10.0"/>
        <u/>
      </rPr>
      <t>^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Fort Valley State University.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"Host Your Event: Athletics and Large Concerts or Productions"</t>
    </r>
    <r>
      <rPr>
        <rFont val="Arial"/>
        <color rgb="FF202122"/>
        <sz val="10.0"/>
      </rPr>
      <t>.</t>
    </r>
    <r>
      <rPr>
        <rFont val="Arial"/>
        <color rgb="FF202122"/>
        <sz val="10.0"/>
      </rPr>
      <t xml:space="preserve"> </t>
    </r>
    <r>
      <rPr>
        <rFont val="Arial"/>
        <i/>
        <color rgb="FF202122"/>
        <sz val="10.0"/>
      </rPr>
      <t>fvsu.edu</t>
    </r>
    <r>
      <rPr>
        <rFont val="Arial"/>
        <color rgb="FF202122"/>
        <sz val="10.0"/>
      </rPr>
      <t>. Retrieved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November 22,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2023</t>
    </r>
    <r>
      <rPr>
        <rFont val="Arial"/>
        <color rgb="FF202122"/>
        <sz val="10.0"/>
      </rPr>
      <t>.</t>
    </r>
  </si>
  <si>
    <r>
      <rPr>
        <rFont val="Arial"/>
        <b/>
        <color rgb="FF202122"/>
        <sz val="10.0"/>
        <u/>
      </rPr>
      <t>^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</rPr>
      <t>Tuskegee University Athletics Department (February 5, 2022).</t>
    </r>
    <r>
      <rPr>
        <rFont val="Arial"/>
        <color rgb="FF202122"/>
        <sz val="10.0"/>
      </rPr>
      <t xml:space="preserve"> </t>
    </r>
    <r>
      <rPr>
        <rFont val="Arial"/>
        <color rgb="FF202122"/>
        <sz val="10.0"/>
        <u/>
      </rPr>
      <t>"DAN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</si>
</sst>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&quot;$&quot;#,##0"/>
  </numFmts>
  <fonts count="2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</font>
    <font>
      <b/>
      <sz val="10.0"/>
      <color rgb="FFFFFF00"/>
      <name val="Arial"/>
    </font>
    <font>
      <b/>
      <color rgb="FF980000"/>
      <name val="Arial"/>
      <scheme val="minor"/>
    </font>
    <font>
      <sz val="10.0"/>
      <color theme="1"/>
      <name val="Arial"/>
    </font>
    <font>
      <sz val="10.0"/>
      <color rgb="FF1155CC"/>
      <name val="Arial"/>
    </font>
    <font>
      <sz val="10.0"/>
      <color rgb="FFFF0000"/>
      <name val="Arial"/>
    </font>
    <font>
      <b/>
      <sz val="11.0"/>
      <color theme="1"/>
      <name val="Arial"/>
    </font>
    <font>
      <u/>
      <sz val="10.0"/>
      <color rgb="FF202122"/>
      <name val="Arial"/>
    </font>
    <font>
      <u/>
      <sz val="10.0"/>
      <color rgb="FF202122"/>
      <name val="Arial"/>
    </font>
    <font>
      <sz val="10.0"/>
      <color rgb="FF202122"/>
      <name val="Arial"/>
    </font>
    <font>
      <b/>
      <sz val="10.0"/>
      <color rgb="FF202122"/>
      <name val="Arial"/>
    </font>
    <font>
      <u/>
      <sz val="10.0"/>
      <color rgb="FF0000FF"/>
      <name val="Arial"/>
    </font>
    <font>
      <u/>
      <sz val="10.0"/>
      <color rgb="FF202122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rgb="FF202122"/>
      <name val="Arial"/>
    </font>
    <font>
      <u/>
      <sz val="10.0"/>
      <color rgb="FF202122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i/>
      <u/>
      <sz val="10.0"/>
      <color rgb="FF202122"/>
      <name val="Arial"/>
    </font>
    <font>
      <b/>
      <u/>
      <sz val="10.0"/>
      <color rgb="FF202122"/>
      <name val="Arial"/>
    </font>
    <font>
      <u/>
      <sz val="10.0"/>
      <color rgb="FF202122"/>
      <name val="Arial"/>
    </font>
    <font>
      <u/>
      <sz val="10.0"/>
      <color rgb="FF0000FF"/>
      <name val="Arial"/>
    </font>
    <font>
      <u/>
      <sz val="10.0"/>
      <color rgb="FF202122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hair">
        <color rgb="FF000000"/>
      </bottom>
    </border>
    <border>
      <top style="hair">
        <color rgb="FF000000"/>
      </top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shrinkToFit="0" wrapText="1"/>
    </xf>
    <xf borderId="1" fillId="2" fontId="4" numFmtId="0" xfId="0" applyAlignment="1" applyBorder="1" applyFill="1" applyFont="1">
      <alignment horizontal="left" readingOrder="0" shrinkToFit="0" wrapText="1"/>
    </xf>
    <xf borderId="2" fillId="2" fontId="3" numFmtId="0" xfId="0" applyAlignment="1" applyBorder="1" applyFont="1">
      <alignment horizontal="center" shrinkToFit="0" wrapText="1"/>
    </xf>
    <xf borderId="2" fillId="2" fontId="4" numFmtId="0" xfId="0" applyAlignment="1" applyBorder="1" applyFont="1">
      <alignment horizontal="center" readingOrder="0" shrinkToFit="0" wrapText="1"/>
    </xf>
    <xf borderId="3" fillId="2" fontId="4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/>
    </xf>
    <xf borderId="4" fillId="2" fontId="4" numFmtId="0" xfId="0" applyAlignment="1" applyBorder="1" applyFont="1">
      <alignment horizontal="left" readingOrder="0"/>
    </xf>
    <xf borderId="5" fillId="2" fontId="3" numFmtId="0" xfId="0" applyAlignment="1" applyBorder="1" applyFont="1">
      <alignment horizontal="center"/>
    </xf>
    <xf borderId="5" fillId="2" fontId="4" numFmtId="0" xfId="0" applyAlignment="1" applyBorder="1" applyFont="1">
      <alignment horizontal="center"/>
    </xf>
    <xf borderId="5" fillId="2" fontId="4" numFmtId="0" xfId="0" applyAlignment="1" applyBorder="1" applyFont="1">
      <alignment horizontal="center" readingOrder="0"/>
    </xf>
    <xf quotePrefix="1" borderId="5" fillId="2" fontId="4" numFmtId="0" xfId="0" applyAlignment="1" applyBorder="1" applyFont="1">
      <alignment horizontal="center" readingOrder="0"/>
    </xf>
    <xf borderId="6" fillId="2" fontId="4" numFmtId="0" xfId="0" applyAlignment="1" applyBorder="1" applyFont="1">
      <alignment horizontal="center" readingOrder="0"/>
    </xf>
    <xf borderId="0" fillId="0" fontId="5" numFmtId="0" xfId="0" applyAlignment="1" applyFont="1">
      <alignment readingOrder="0" shrinkToFit="0" wrapText="0"/>
    </xf>
    <xf borderId="0" fillId="3" fontId="6" numFmtId="0" xfId="0" applyAlignment="1" applyFill="1" applyFont="1">
      <alignment readingOrder="0" shrinkToFit="0" wrapText="0"/>
    </xf>
    <xf borderId="0" fillId="0" fontId="7" numFmtId="0" xfId="0" applyFont="1"/>
    <xf borderId="0" fillId="0" fontId="4" numFmtId="0" xfId="0" applyFont="1"/>
    <xf borderId="0" fillId="0" fontId="4" numFmtId="3" xfId="0" applyFont="1" applyNumberFormat="1"/>
    <xf borderId="7" fillId="0" fontId="7" numFmtId="0" xfId="0" applyBorder="1" applyFont="1"/>
    <xf borderId="7" fillId="0" fontId="4" numFmtId="3" xfId="0" applyBorder="1" applyFont="1" applyNumberFormat="1"/>
    <xf borderId="5" fillId="0" fontId="7" numFmtId="3" xfId="0" applyBorder="1" applyFont="1" applyNumberFormat="1"/>
    <xf borderId="5" fillId="0" fontId="4" numFmtId="3" xfId="0" applyBorder="1" applyFont="1" applyNumberFormat="1"/>
    <xf borderId="0" fillId="0" fontId="8" numFmtId="0" xfId="0" applyAlignment="1" applyFont="1">
      <alignment readingOrder="0" shrinkToFit="0" wrapText="0"/>
    </xf>
    <xf borderId="0" fillId="0" fontId="9" numFmtId="10" xfId="0" applyAlignment="1" applyFont="1" applyNumberFormat="1">
      <alignment readingOrder="0" shrinkToFit="0" wrapText="0"/>
    </xf>
    <xf borderId="8" fillId="0" fontId="9" numFmtId="10" xfId="0" applyAlignment="1" applyBorder="1" applyFont="1" applyNumberFormat="1">
      <alignment readingOrder="0" shrinkToFit="0" wrapText="0"/>
    </xf>
    <xf borderId="9" fillId="0" fontId="9" numFmtId="164" xfId="0" applyAlignment="1" applyBorder="1" applyFont="1" applyNumberFormat="1">
      <alignment shrinkToFit="0" wrapText="0"/>
    </xf>
    <xf borderId="7" fillId="0" fontId="5" numFmtId="3" xfId="0" applyAlignment="1" applyBorder="1" applyFont="1" applyNumberFormat="1">
      <alignment shrinkToFit="0" wrapText="0"/>
    </xf>
    <xf borderId="5" fillId="0" fontId="9" numFmtId="165" xfId="0" applyAlignment="1" applyBorder="1" applyFont="1" applyNumberFormat="1">
      <alignment readingOrder="0" shrinkToFit="0" wrapText="0"/>
    </xf>
    <xf borderId="7" fillId="0" fontId="5" numFmtId="165" xfId="0" applyAlignment="1" applyBorder="1" applyFont="1" applyNumberFormat="1">
      <alignment shrinkToFit="0" wrapText="0"/>
    </xf>
    <xf borderId="5" fillId="0" fontId="5" numFmtId="165" xfId="0" applyAlignment="1" applyBorder="1" applyFont="1" applyNumberFormat="1">
      <alignment shrinkToFit="0" wrapText="0"/>
    </xf>
    <xf borderId="8" fillId="0" fontId="9" numFmtId="10" xfId="0" applyAlignment="1" applyBorder="1" applyFont="1" applyNumberFormat="1">
      <alignment shrinkToFit="0" wrapText="0"/>
    </xf>
    <xf borderId="0" fillId="0" fontId="10" numFmtId="0" xfId="0" applyAlignment="1" applyFont="1">
      <alignment readingOrder="0" shrinkToFit="0" wrapText="0"/>
    </xf>
    <xf borderId="0" fillId="0" fontId="8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8" numFmtId="0" xfId="0" applyAlignment="1" applyFont="1">
      <alignment horizontal="center" shrinkToFit="0" wrapText="0"/>
    </xf>
    <xf borderId="0" fillId="0" fontId="8" numFmtId="3" xfId="0" applyAlignment="1" applyFont="1" applyNumberFormat="1">
      <alignment shrinkToFit="0" wrapText="0"/>
    </xf>
    <xf borderId="0" fillId="0" fontId="8" numFmtId="0" xfId="0" applyFont="1"/>
    <xf borderId="0" fillId="4" fontId="12" numFmtId="0" xfId="0" applyAlignment="1" applyFill="1" applyFont="1">
      <alignment horizontal="left" readingOrder="0" shrinkToFit="0" wrapText="0"/>
    </xf>
    <xf borderId="0" fillId="4" fontId="13" numFmtId="0" xfId="0" applyAlignment="1" applyFont="1">
      <alignment horizontal="left" readingOrder="0" shrinkToFit="0" wrapText="0"/>
    </xf>
    <xf borderId="0" fillId="4" fontId="14" numFmtId="0" xfId="0" applyAlignment="1" applyFont="1">
      <alignment horizontal="center" shrinkToFit="0" wrapText="0"/>
    </xf>
    <xf borderId="0" fillId="2" fontId="15" numFmtId="0" xfId="0" applyAlignment="1" applyFont="1">
      <alignment horizontal="center" readingOrder="0" shrinkToFit="0" wrapText="0"/>
    </xf>
    <xf borderId="0" fillId="2" fontId="15" numFmtId="3" xfId="0" applyAlignment="1" applyFont="1" applyNumberFormat="1">
      <alignment horizontal="center" readingOrder="0" shrinkToFit="0" wrapText="0"/>
    </xf>
    <xf borderId="0" fillId="0" fontId="5" numFmtId="0" xfId="0" applyAlignment="1" applyFont="1">
      <alignment horizontal="center" readingOrder="0" shrinkToFit="0" wrapText="1"/>
    </xf>
    <xf borderId="0" fillId="4" fontId="14" numFmtId="0" xfId="0" applyAlignment="1" applyFont="1">
      <alignment horizontal="center" readingOrder="0" shrinkToFit="0" wrapText="0"/>
    </xf>
    <xf borderId="0" fillId="0" fontId="16" numFmtId="0" xfId="0" applyAlignment="1" applyFont="1">
      <alignment readingOrder="0" shrinkToFit="0" wrapText="0"/>
    </xf>
    <xf borderId="0" fillId="4" fontId="9" numFmtId="3" xfId="0" applyAlignment="1" applyFont="1" applyNumberFormat="1">
      <alignment readingOrder="0" shrinkToFit="0" wrapText="0"/>
    </xf>
    <xf borderId="0" fillId="0" fontId="17" numFmtId="0" xfId="0" applyAlignment="1" applyFont="1">
      <alignment readingOrder="0" shrinkToFit="0" wrapText="0"/>
    </xf>
    <xf borderId="0" fillId="4" fontId="14" numFmtId="0" xfId="0" applyAlignment="1" applyFont="1">
      <alignment readingOrder="0" shrinkToFit="0" wrapText="0"/>
    </xf>
    <xf borderId="0" fillId="0" fontId="8" numFmtId="0" xfId="0" applyAlignment="1" applyFont="1">
      <alignment shrinkToFit="0" wrapText="1"/>
    </xf>
    <xf borderId="0" fillId="5" fontId="14" numFmtId="0" xfId="0" applyAlignment="1" applyFill="1" applyFont="1">
      <alignment horizontal="center" readingOrder="0" shrinkToFit="0" wrapText="0"/>
    </xf>
    <xf borderId="0" fillId="5" fontId="9" numFmtId="3" xfId="0" applyAlignment="1" applyFont="1" applyNumberFormat="1">
      <alignment readingOrder="0" shrinkToFit="0" wrapText="0"/>
    </xf>
    <xf borderId="0" fillId="5" fontId="14" numFmtId="0" xfId="0" applyAlignment="1" applyFont="1">
      <alignment readingOrder="0" shrinkToFit="0" wrapText="0"/>
    </xf>
    <xf borderId="0" fillId="4" fontId="14" numFmtId="0" xfId="0" applyAlignment="1" applyFont="1">
      <alignment shrinkToFit="0" wrapText="0"/>
    </xf>
    <xf borderId="0" fillId="0" fontId="9" numFmtId="3" xfId="0" applyAlignment="1" applyFont="1" applyNumberFormat="1">
      <alignment readingOrder="0" shrinkToFit="0" wrapText="0"/>
    </xf>
    <xf borderId="0" fillId="0" fontId="18" numFmtId="3" xfId="0" applyAlignment="1" applyFont="1" applyNumberFormat="1">
      <alignment readingOrder="0" shrinkToFit="0" wrapText="0"/>
    </xf>
    <xf borderId="0" fillId="0" fontId="19" numFmtId="0" xfId="0" applyAlignment="1" applyFont="1">
      <alignment readingOrder="0" shrinkToFit="0" wrapText="1"/>
    </xf>
    <xf borderId="5" fillId="0" fontId="5" numFmtId="3" xfId="0" applyAlignment="1" applyBorder="1" applyFont="1" applyNumberFormat="1">
      <alignment shrinkToFit="0" wrapText="0"/>
    </xf>
    <xf borderId="0" fillId="0" fontId="9" numFmtId="10" xfId="0" applyAlignment="1" applyFont="1" applyNumberFormat="1">
      <alignment shrinkToFit="0" wrapText="0"/>
    </xf>
    <xf borderId="0" fillId="0" fontId="9" numFmtId="164" xfId="0" applyAlignment="1" applyFont="1" applyNumberFormat="1">
      <alignment shrinkToFit="0" wrapText="0"/>
    </xf>
    <xf borderId="0" fillId="0" fontId="5" numFmtId="165" xfId="0" applyAlignment="1" applyFont="1" applyNumberFormat="1">
      <alignment shrinkToFit="0" wrapText="0"/>
    </xf>
    <xf borderId="0" fillId="0" fontId="8" numFmtId="165" xfId="0" applyAlignment="1" applyFont="1" applyNumberFormat="1">
      <alignment shrinkToFit="0" wrapText="0"/>
    </xf>
    <xf borderId="0" fillId="0" fontId="8" numFmtId="3" xfId="0" applyFont="1" applyNumberFormat="1"/>
    <xf borderId="0" fillId="4" fontId="5" numFmtId="0" xfId="0" applyAlignment="1" applyFont="1">
      <alignment readingOrder="0" shrinkToFit="0" wrapText="0"/>
    </xf>
    <xf borderId="0" fillId="4" fontId="20" numFmtId="0" xfId="0" applyAlignment="1" applyFont="1">
      <alignment readingOrder="0" shrinkToFit="0" wrapText="0"/>
    </xf>
    <xf borderId="0" fillId="4" fontId="21" numFmtId="0" xfId="0" applyAlignment="1" applyFont="1">
      <alignment readingOrder="0" shrinkToFit="0" wrapText="0"/>
    </xf>
    <xf borderId="5" fillId="4" fontId="15" numFmtId="0" xfId="0" applyAlignment="1" applyBorder="1" applyFont="1">
      <alignment horizontal="center" readingOrder="0" shrinkToFit="0" wrapText="0"/>
    </xf>
    <xf borderId="5" fillId="4" fontId="15" numFmtId="3" xfId="0" applyAlignment="1" applyBorder="1" applyFont="1" applyNumberFormat="1">
      <alignment horizontal="center" readingOrder="0" shrinkToFit="0" wrapText="0"/>
    </xf>
    <xf borderId="5" fillId="4" fontId="15" numFmtId="0" xfId="0" applyAlignment="1" applyBorder="1" applyFont="1">
      <alignment horizontal="center" readingOrder="0" shrinkToFit="0" wrapText="1"/>
    </xf>
    <xf borderId="0" fillId="0" fontId="22" numFmtId="0" xfId="0" applyAlignment="1" applyFont="1">
      <alignment shrinkToFit="0" wrapText="0"/>
    </xf>
    <xf borderId="0" fillId="0" fontId="8" numFmtId="3" xfId="0" applyAlignment="1" applyFont="1" applyNumberFormat="1">
      <alignment readingOrder="0" shrinkToFit="0" wrapText="0"/>
    </xf>
    <xf borderId="0" fillId="5" fontId="9" numFmtId="0" xfId="0" applyAlignment="1" applyFont="1">
      <alignment shrinkToFit="0" wrapText="0"/>
    </xf>
    <xf borderId="0" fillId="5" fontId="9" numFmtId="0" xfId="0" applyAlignment="1" applyFont="1">
      <alignment readingOrder="0" shrinkToFit="0" wrapText="0"/>
    </xf>
    <xf borderId="0" fillId="5" fontId="14" numFmtId="0" xfId="0" applyAlignment="1" applyFont="1">
      <alignment shrinkToFit="0" wrapText="0"/>
    </xf>
    <xf borderId="0" fillId="4" fontId="9" numFmtId="0" xfId="0" applyAlignment="1" applyFont="1">
      <alignment shrinkToFit="0" wrapText="0"/>
    </xf>
    <xf borderId="0" fillId="4" fontId="9" numFmtId="0" xfId="0" applyAlignment="1" applyFont="1">
      <alignment readingOrder="0" shrinkToFit="0" wrapText="0"/>
    </xf>
    <xf borderId="0" fillId="4" fontId="14" numFmtId="3" xfId="0" applyAlignment="1" applyFont="1" applyNumberFormat="1">
      <alignment readingOrder="0" shrinkToFit="0" wrapText="0"/>
    </xf>
    <xf borderId="0" fillId="0" fontId="5" numFmtId="0" xfId="0" applyAlignment="1" applyFont="1">
      <alignment horizontal="left" readingOrder="0" shrinkToFit="0" wrapText="0"/>
    </xf>
    <xf borderId="0" fillId="0" fontId="8" numFmtId="0" xfId="0" applyAlignment="1" applyFont="1">
      <alignment horizontal="left" readingOrder="0" shrinkToFit="0" wrapText="0"/>
    </xf>
    <xf borderId="0" fillId="0" fontId="8" numFmtId="0" xfId="0" applyAlignment="1" applyFont="1">
      <alignment horizontal="right" shrinkToFit="0" wrapText="0"/>
    </xf>
    <xf borderId="0" fillId="4" fontId="23" numFmtId="0" xfId="0" applyAlignment="1" applyFont="1">
      <alignment readingOrder="0" shrinkToFit="0" wrapText="0"/>
    </xf>
    <xf borderId="0" fillId="4" fontId="15" numFmtId="0" xfId="0" applyAlignment="1" applyFont="1">
      <alignment horizontal="center" readingOrder="0" shrinkToFit="0" wrapText="0"/>
    </xf>
    <xf borderId="0" fillId="4" fontId="15" numFmtId="3" xfId="0" applyAlignment="1" applyFont="1" applyNumberFormat="1">
      <alignment horizontal="center" readingOrder="0" shrinkToFit="0" wrapText="0"/>
    </xf>
    <xf borderId="0" fillId="4" fontId="14" numFmtId="3" xfId="0" applyAlignment="1" applyFont="1" applyNumberFormat="1">
      <alignment shrinkToFit="0" wrapText="0"/>
    </xf>
    <xf borderId="0" fillId="4" fontId="8" numFmtId="0" xfId="0" applyAlignment="1" applyFont="1">
      <alignment readingOrder="0" shrinkToFit="0" wrapText="0"/>
    </xf>
    <xf borderId="0" fillId="4" fontId="24" numFmtId="0" xfId="0" applyAlignment="1" applyFont="1">
      <alignment readingOrder="0" shrinkToFit="0" wrapText="0"/>
    </xf>
    <xf borderId="0" fillId="4" fontId="25" numFmtId="0" xfId="0" applyAlignment="1" applyFont="1">
      <alignment readingOrder="0" shrinkToFit="0" wrapText="0"/>
    </xf>
    <xf borderId="0" fillId="0" fontId="3" numFmtId="3" xfId="0" applyFont="1" applyNumberFormat="1"/>
    <xf borderId="0" fillId="0" fontId="5" numFmtId="0" xfId="0" applyAlignment="1" applyFont="1">
      <alignment readingOrder="0"/>
    </xf>
    <xf borderId="0" fillId="4" fontId="15" numFmtId="0" xfId="0" applyAlignment="1" applyFont="1">
      <alignment readingOrder="0" shrinkToFit="0" wrapText="0"/>
    </xf>
    <xf borderId="0" fillId="0" fontId="26" numFmtId="3" xfId="0" applyAlignment="1" applyFont="1" applyNumberFormat="1">
      <alignment readingOrder="0" shrinkToFit="0" wrapText="0"/>
    </xf>
    <xf borderId="0" fillId="0" fontId="27" numFmtId="3" xfId="0" applyAlignment="1" applyFont="1" applyNumberFormat="1">
      <alignment readingOrder="0" shrinkToFit="0" wrapText="0"/>
    </xf>
    <xf borderId="0" fillId="4" fontId="28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en.wikipedia.org/wiki/Kansas_State_Wildcats_football" TargetMode="External"/><Relationship Id="rId391" Type="http://schemas.openxmlformats.org/officeDocument/2006/relationships/hyperlink" Target="https://en.wikipedia.org/wiki/Kansas" TargetMode="External"/><Relationship Id="rId390" Type="http://schemas.openxmlformats.org/officeDocument/2006/relationships/hyperlink" Target="https://en.wikipedia.org/wiki/Manhattan,_Kansas" TargetMode="External"/><Relationship Id="rId1" Type="http://schemas.openxmlformats.org/officeDocument/2006/relationships/hyperlink" Target="https://en.wikipedia.org/wiki/Stadium" TargetMode="External"/><Relationship Id="rId2" Type="http://schemas.openxmlformats.org/officeDocument/2006/relationships/hyperlink" Target="https://en.wikipedia.org/wiki/American_football" TargetMode="External"/><Relationship Id="rId3" Type="http://schemas.openxmlformats.org/officeDocument/2006/relationships/hyperlink" Target="https://en.wikipedia.org/wiki/Major_League_Soccer" TargetMode="External"/><Relationship Id="rId4" Type="http://schemas.openxmlformats.org/officeDocument/2006/relationships/hyperlink" Target="https://en.wikipedia.org/wiki/List_of_U.S._stadiums_by_capacity" TargetMode="External"/><Relationship Id="rId9" Type="http://schemas.openxmlformats.org/officeDocument/2006/relationships/hyperlink" Target="https://en.wikipedia.org/wiki/Michigan_Wolverines_football" TargetMode="External"/><Relationship Id="rId385" Type="http://schemas.openxmlformats.org/officeDocument/2006/relationships/hyperlink" Target="https://en.wikipedia.org/wiki/Folsom_Field" TargetMode="External"/><Relationship Id="rId384" Type="http://schemas.openxmlformats.org/officeDocument/2006/relationships/hyperlink" Target="https://en.wikipedia.org/wiki/Stanford_Cardinal_football" TargetMode="External"/><Relationship Id="rId383" Type="http://schemas.openxmlformats.org/officeDocument/2006/relationships/hyperlink" Target="https://en.wikipedia.org/wiki/California" TargetMode="External"/><Relationship Id="rId382" Type="http://schemas.openxmlformats.org/officeDocument/2006/relationships/hyperlink" Target="https://en.wikipedia.org/wiki/Stanford,_California" TargetMode="External"/><Relationship Id="rId5" Type="http://schemas.openxmlformats.org/officeDocument/2006/relationships/hyperlink" Target="https://en.wikipedia.org/wiki/National_Football_League" TargetMode="External"/><Relationship Id="rId389" Type="http://schemas.openxmlformats.org/officeDocument/2006/relationships/hyperlink" Target="https://en.wikipedia.org/wiki/Bill_Snyder_Family_Football_Stadium" TargetMode="External"/><Relationship Id="rId6" Type="http://schemas.openxmlformats.org/officeDocument/2006/relationships/hyperlink" Target="https://en.wikipedia.org/wiki/Michigan_Stadium" TargetMode="External"/><Relationship Id="rId388" Type="http://schemas.openxmlformats.org/officeDocument/2006/relationships/hyperlink" Target="https://en.wikipedia.org/wiki/Colorado_Buffaloes_football" TargetMode="External"/><Relationship Id="rId7" Type="http://schemas.openxmlformats.org/officeDocument/2006/relationships/hyperlink" Target="https://en.wikipedia.org/wiki/Ann_Arbor,_Michigan" TargetMode="External"/><Relationship Id="rId387" Type="http://schemas.openxmlformats.org/officeDocument/2006/relationships/hyperlink" Target="https://en.wikipedia.org/wiki/Colorado" TargetMode="External"/><Relationship Id="rId8" Type="http://schemas.openxmlformats.org/officeDocument/2006/relationships/hyperlink" Target="https://en.wikipedia.org/wiki/Michigan" TargetMode="External"/><Relationship Id="rId386" Type="http://schemas.openxmlformats.org/officeDocument/2006/relationships/hyperlink" Target="https://en.wikipedia.org/wiki/Boulder,_Colorado" TargetMode="External"/><Relationship Id="rId381" Type="http://schemas.openxmlformats.org/officeDocument/2006/relationships/hyperlink" Target="https://en.wikipedia.org/wiki/Stanford_Stadium" TargetMode="External"/><Relationship Id="rId380" Type="http://schemas.openxmlformats.org/officeDocument/2006/relationships/hyperlink" Target="https://en.wikipedia.org/wiki/North_Carolina_Tar_Heels_football" TargetMode="External"/><Relationship Id="rId379" Type="http://schemas.openxmlformats.org/officeDocument/2006/relationships/hyperlink" Target="https://en.wikipedia.org/wiki/North_Carolina" TargetMode="External"/><Relationship Id="rId374" Type="http://schemas.openxmlformats.org/officeDocument/2006/relationships/hyperlink" Target="https://en.wikipedia.org/wiki/Tucson,_Arizona" TargetMode="External"/><Relationship Id="rId373" Type="http://schemas.openxmlformats.org/officeDocument/2006/relationships/hyperlink" Target="https://en.wikipedia.org/wiki/Arizona_Stadium" TargetMode="External"/><Relationship Id="rId372" Type="http://schemas.openxmlformats.org/officeDocument/2006/relationships/hyperlink" Target="https://en.wikipedia.org/wiki/Minnesota_Golden_Gophers_football" TargetMode="External"/><Relationship Id="rId371" Type="http://schemas.openxmlformats.org/officeDocument/2006/relationships/hyperlink" Target="https://en.wikipedia.org/wiki/Minnesota" TargetMode="External"/><Relationship Id="rId378" Type="http://schemas.openxmlformats.org/officeDocument/2006/relationships/hyperlink" Target="https://en.wikipedia.org/wiki/Chapel_Hill,_North_Carolina" TargetMode="External"/><Relationship Id="rId377" Type="http://schemas.openxmlformats.org/officeDocument/2006/relationships/hyperlink" Target="https://en.wikipedia.org/wiki/Kenan_Memorial_Stadium" TargetMode="External"/><Relationship Id="rId376" Type="http://schemas.openxmlformats.org/officeDocument/2006/relationships/hyperlink" Target="https://en.wikipedia.org/wiki/Arizona_Wildcats_football" TargetMode="External"/><Relationship Id="rId375" Type="http://schemas.openxmlformats.org/officeDocument/2006/relationships/hyperlink" Target="https://en.wikipedia.org/wiki/Arizona" TargetMode="External"/><Relationship Id="rId396" Type="http://schemas.openxmlformats.org/officeDocument/2006/relationships/hyperlink" Target="https://en.wikipedia.org/wiki/JMA_Wireless_Dome" TargetMode="External"/><Relationship Id="rId395" Type="http://schemas.openxmlformats.org/officeDocument/2006/relationships/hyperlink" Target="https://en.wikipedia.org/wiki/Hawaii" TargetMode="External"/><Relationship Id="rId394" Type="http://schemas.openxmlformats.org/officeDocument/2006/relationships/hyperlink" Target="https://en.wikipedia.org/wiki/Honolulu" TargetMode="External"/><Relationship Id="rId393" Type="http://schemas.openxmlformats.org/officeDocument/2006/relationships/hyperlink" Target="https://en.wikipedia.org/wiki/Aloha_Stadium" TargetMode="External"/><Relationship Id="rId399" Type="http://schemas.openxmlformats.org/officeDocument/2006/relationships/hyperlink" Target="https://en.wikipedia.org/wiki/Syracuse_Orange" TargetMode="External"/><Relationship Id="rId398" Type="http://schemas.openxmlformats.org/officeDocument/2006/relationships/hyperlink" Target="https://en.wikipedia.org/wiki/New_York_(state)" TargetMode="External"/><Relationship Id="rId397" Type="http://schemas.openxmlformats.org/officeDocument/2006/relationships/hyperlink" Target="https://en.wikipedia.org/wiki/Syracuse,_New_York" TargetMode="External"/><Relationship Id="rId808" Type="http://schemas.openxmlformats.org/officeDocument/2006/relationships/hyperlink" Target="https://en.wikipedia.org/wiki/Ohio" TargetMode="External"/><Relationship Id="rId807" Type="http://schemas.openxmlformats.org/officeDocument/2006/relationships/hyperlink" Target="https://en.wikipedia.org/wiki/Bowling_Green,_Ohio" TargetMode="External"/><Relationship Id="rId806" Type="http://schemas.openxmlformats.org/officeDocument/2006/relationships/hyperlink" Target="https://en.wikipedia.org/wiki/Doyt_Perry_Stadium" TargetMode="External"/><Relationship Id="rId805" Type="http://schemas.openxmlformats.org/officeDocument/2006/relationships/hyperlink" Target="https://en.wikipedia.org/wiki/Miami_RedHawks_football" TargetMode="External"/><Relationship Id="rId809" Type="http://schemas.openxmlformats.org/officeDocument/2006/relationships/hyperlink" Target="https://en.wikipedia.org/wiki/Bowling_Green_Falcons_football" TargetMode="External"/><Relationship Id="rId800" Type="http://schemas.openxmlformats.org/officeDocument/2006/relationships/hyperlink" Target="https://en.wikipedia.org/wiki/Georgia_(U.S._state)" TargetMode="External"/><Relationship Id="rId804" Type="http://schemas.openxmlformats.org/officeDocument/2006/relationships/hyperlink" Target="https://en.wikipedia.org/wiki/Ohio" TargetMode="External"/><Relationship Id="rId803" Type="http://schemas.openxmlformats.org/officeDocument/2006/relationships/hyperlink" Target="https://en.wikipedia.org/wiki/Oxford,_Ohio" TargetMode="External"/><Relationship Id="rId802" Type="http://schemas.openxmlformats.org/officeDocument/2006/relationships/hyperlink" Target="https://en.wikipedia.org/wiki/Yager_Stadium_(Miami_University)" TargetMode="External"/><Relationship Id="rId801" Type="http://schemas.openxmlformats.org/officeDocument/2006/relationships/hyperlink" Target="https://en.wikipedia.org/wiki/Georgia_State_Panthers_football" TargetMode="External"/><Relationship Id="rId40" Type="http://schemas.openxmlformats.org/officeDocument/2006/relationships/hyperlink" Target="https://en.wikipedia.org/wiki/Georgia_(U.S._state)" TargetMode="External"/><Relationship Id="rId1334" Type="http://schemas.openxmlformats.org/officeDocument/2006/relationships/hyperlink" Target="https://en.wikipedia.org/wiki/Mason,_Ohio" TargetMode="External"/><Relationship Id="rId1335" Type="http://schemas.openxmlformats.org/officeDocument/2006/relationships/hyperlink" Target="https://en.wikipedia.org/wiki/Ohio" TargetMode="External"/><Relationship Id="rId42" Type="http://schemas.openxmlformats.org/officeDocument/2006/relationships/hyperlink" Target="https://en.wikipedia.org/wiki/Rose_Bowl_(stadium)" TargetMode="External"/><Relationship Id="rId1336" Type="http://schemas.openxmlformats.org/officeDocument/2006/relationships/hyperlink" Target="https://en.wikipedia.org/wiki/Johnson_Hagood_Stadium" TargetMode="External"/><Relationship Id="rId41" Type="http://schemas.openxmlformats.org/officeDocument/2006/relationships/hyperlink" Target="https://en.wikipedia.org/wiki/Georgia_Bulldogs_football" TargetMode="External"/><Relationship Id="rId1337" Type="http://schemas.openxmlformats.org/officeDocument/2006/relationships/hyperlink" Target="https://en.wikipedia.org/wiki/Charleston,_South_Carolina" TargetMode="External"/><Relationship Id="rId44" Type="http://schemas.openxmlformats.org/officeDocument/2006/relationships/hyperlink" Target="https://en.wikipedia.org/wiki/California" TargetMode="External"/><Relationship Id="rId1338" Type="http://schemas.openxmlformats.org/officeDocument/2006/relationships/hyperlink" Target="https://en.wikipedia.org/wiki/South_Carolina" TargetMode="External"/><Relationship Id="rId43" Type="http://schemas.openxmlformats.org/officeDocument/2006/relationships/hyperlink" Target="https://en.wikipedia.org/wiki/Pasadena,_California" TargetMode="External"/><Relationship Id="rId1339" Type="http://schemas.openxmlformats.org/officeDocument/2006/relationships/hyperlink" Target="https://en.wikipedia.org/wiki/The_Citadel_Bulldogs_football" TargetMode="External"/><Relationship Id="rId46" Type="http://schemas.openxmlformats.org/officeDocument/2006/relationships/hyperlink" Target="https://en.wikipedia.org/wiki/Cotton_Bowl_(stadium)" TargetMode="External"/><Relationship Id="rId45" Type="http://schemas.openxmlformats.org/officeDocument/2006/relationships/hyperlink" Target="https://en.wikipedia.org/wiki/UCLA_Bruins_football" TargetMode="External"/><Relationship Id="rId745" Type="http://schemas.openxmlformats.org/officeDocument/2006/relationships/hyperlink" Target="https://en.wikipedia.org/wiki/Ace_W._Mumford_Stadium" TargetMode="External"/><Relationship Id="rId744" Type="http://schemas.openxmlformats.org/officeDocument/2006/relationships/hyperlink" Target="https://en.wikipedia.org/wiki/Orlando_City_SC" TargetMode="External"/><Relationship Id="rId743" Type="http://schemas.openxmlformats.org/officeDocument/2006/relationships/hyperlink" Target="https://en.wikipedia.org/wiki/Florida" TargetMode="External"/><Relationship Id="rId742" Type="http://schemas.openxmlformats.org/officeDocument/2006/relationships/hyperlink" Target="https://en.wikipedia.org/wiki/Orlando,_Florida" TargetMode="External"/><Relationship Id="rId749" Type="http://schemas.openxmlformats.org/officeDocument/2006/relationships/hyperlink" Target="https://en.wikipedia.org/wiki/Hancock_Whitney_Stadium" TargetMode="External"/><Relationship Id="rId748" Type="http://schemas.openxmlformats.org/officeDocument/2006/relationships/hyperlink" Target="https://en.wikipedia.org/wiki/Southern_Jaguars_football" TargetMode="External"/><Relationship Id="rId747" Type="http://schemas.openxmlformats.org/officeDocument/2006/relationships/hyperlink" Target="https://en.wikipedia.org/wiki/Louisiana" TargetMode="External"/><Relationship Id="rId746" Type="http://schemas.openxmlformats.org/officeDocument/2006/relationships/hyperlink" Target="https://en.wikipedia.org/wiki/Baton_Rouge,_Louisiana" TargetMode="External"/><Relationship Id="rId48" Type="http://schemas.openxmlformats.org/officeDocument/2006/relationships/hyperlink" Target="https://en.wikipedia.org/wiki/Texas" TargetMode="External"/><Relationship Id="rId47" Type="http://schemas.openxmlformats.org/officeDocument/2006/relationships/hyperlink" Target="https://en.wikipedia.org/wiki/Dallas" TargetMode="External"/><Relationship Id="rId49" Type="http://schemas.openxmlformats.org/officeDocument/2006/relationships/hyperlink" Target="https://en.wikipedia.org/wiki/Red_River_Rivalry" TargetMode="External"/><Relationship Id="rId741" Type="http://schemas.openxmlformats.org/officeDocument/2006/relationships/hyperlink" Target="https://en.wikipedia.org/wiki/Inter%26Co_Stadium" TargetMode="External"/><Relationship Id="rId1330" Type="http://schemas.openxmlformats.org/officeDocument/2006/relationships/hyperlink" Target="https://en.wikipedia.org/wiki/Tucson,_Arizona" TargetMode="External"/><Relationship Id="rId740" Type="http://schemas.openxmlformats.org/officeDocument/2006/relationships/hyperlink" Target="https://en.wikipedia.org/wiki/FC_Cincinnati" TargetMode="External"/><Relationship Id="rId1331" Type="http://schemas.openxmlformats.org/officeDocument/2006/relationships/hyperlink" Target="https://en.wikipedia.org/wiki/Arizona" TargetMode="External"/><Relationship Id="rId1332" Type="http://schemas.openxmlformats.org/officeDocument/2006/relationships/hyperlink" Target="https://en.wikipedia.org/wiki/Tucson_Saguaros" TargetMode="External"/><Relationship Id="rId1333" Type="http://schemas.openxmlformats.org/officeDocument/2006/relationships/hyperlink" Target="https://en.wikipedia.org/wiki/Lindner_Family_Tennis_Center" TargetMode="External"/><Relationship Id="rId1323" Type="http://schemas.openxmlformats.org/officeDocument/2006/relationships/hyperlink" Target="https://en.wikipedia.org/wiki/California" TargetMode="External"/><Relationship Id="rId1324" Type="http://schemas.openxmlformats.org/officeDocument/2006/relationships/hyperlink" Target="https://en.wikipedia.org/wiki/Sacramento_Republic_FC" TargetMode="External"/><Relationship Id="rId31" Type="http://schemas.openxmlformats.org/officeDocument/2006/relationships/hyperlink" Target="https://en.wikipedia.org/wiki/Austin,_Texas" TargetMode="External"/><Relationship Id="rId1325" Type="http://schemas.openxmlformats.org/officeDocument/2006/relationships/hyperlink" Target="https://en.wikipedia.org/wiki/Principal_Park" TargetMode="External"/><Relationship Id="rId30" Type="http://schemas.openxmlformats.org/officeDocument/2006/relationships/hyperlink" Target="https://en.wikipedia.org/wiki/Darrell_K_Royal%E2%80%93Texas_Memorial_Stadium" TargetMode="External"/><Relationship Id="rId1326" Type="http://schemas.openxmlformats.org/officeDocument/2006/relationships/hyperlink" Target="https://en.wikipedia.org/wiki/Des_Moines,_Iowa" TargetMode="External"/><Relationship Id="rId33" Type="http://schemas.openxmlformats.org/officeDocument/2006/relationships/hyperlink" Target="https://en.wikipedia.org/wiki/Texas_Longhorns_football" TargetMode="External"/><Relationship Id="rId1327" Type="http://schemas.openxmlformats.org/officeDocument/2006/relationships/hyperlink" Target="https://en.wikipedia.org/wiki/Iowa" TargetMode="External"/><Relationship Id="rId32" Type="http://schemas.openxmlformats.org/officeDocument/2006/relationships/hyperlink" Target="https://en.wikipedia.org/wiki/Texas" TargetMode="External"/><Relationship Id="rId1328" Type="http://schemas.openxmlformats.org/officeDocument/2006/relationships/hyperlink" Target="https://en.wikipedia.org/wiki/Iowa_Cubs" TargetMode="External"/><Relationship Id="rId35" Type="http://schemas.openxmlformats.org/officeDocument/2006/relationships/hyperlink" Target="https://en.wikipedia.org/wiki/Tuscaloosa,_Alabama" TargetMode="External"/><Relationship Id="rId1329" Type="http://schemas.openxmlformats.org/officeDocument/2006/relationships/hyperlink" Target="https://en.wikipedia.org/wiki/Kino_Sports_Complex" TargetMode="External"/><Relationship Id="rId34" Type="http://schemas.openxmlformats.org/officeDocument/2006/relationships/hyperlink" Target="https://en.wikipedia.org/wiki/Bryant%E2%80%93Denny_Stadium" TargetMode="External"/><Relationship Id="rId739" Type="http://schemas.openxmlformats.org/officeDocument/2006/relationships/hyperlink" Target="https://en.wikipedia.org/wiki/Ohio" TargetMode="External"/><Relationship Id="rId734" Type="http://schemas.openxmlformats.org/officeDocument/2006/relationships/hyperlink" Target="https://en.wikipedia.org/wiki/Toledo,_Ohio" TargetMode="External"/><Relationship Id="rId733" Type="http://schemas.openxmlformats.org/officeDocument/2006/relationships/hyperlink" Target="https://en.wikipedia.org/wiki/Glass_Bowl" TargetMode="External"/><Relationship Id="rId732" Type="http://schemas.openxmlformats.org/officeDocument/2006/relationships/hyperlink" Target="https://en.wikipedia.org/wiki/Louisiana" TargetMode="External"/><Relationship Id="rId731" Type="http://schemas.openxmlformats.org/officeDocument/2006/relationships/hyperlink" Target="https://en.wikipedia.org/wiki/New_Orleans" TargetMode="External"/><Relationship Id="rId738" Type="http://schemas.openxmlformats.org/officeDocument/2006/relationships/hyperlink" Target="https://en.wikipedia.org/wiki/Cincinnati,_Ohio" TargetMode="External"/><Relationship Id="rId737" Type="http://schemas.openxmlformats.org/officeDocument/2006/relationships/hyperlink" Target="https://en.wikipedia.org/wiki/TQL_Stadium" TargetMode="External"/><Relationship Id="rId736" Type="http://schemas.openxmlformats.org/officeDocument/2006/relationships/hyperlink" Target="https://en.wikipedia.org/wiki/Toledo_Rockets_football" TargetMode="External"/><Relationship Id="rId735" Type="http://schemas.openxmlformats.org/officeDocument/2006/relationships/hyperlink" Target="https://en.wikipedia.org/wiki/Ohio" TargetMode="External"/><Relationship Id="rId37" Type="http://schemas.openxmlformats.org/officeDocument/2006/relationships/hyperlink" Target="https://en.wikipedia.org/wiki/Alabama_Crimson_Tide_football" TargetMode="External"/><Relationship Id="rId36" Type="http://schemas.openxmlformats.org/officeDocument/2006/relationships/hyperlink" Target="https://en.wikipedia.org/wiki/Alabama" TargetMode="External"/><Relationship Id="rId39" Type="http://schemas.openxmlformats.org/officeDocument/2006/relationships/hyperlink" Target="https://en.wikipedia.org/wiki/Athens,_Georgia" TargetMode="External"/><Relationship Id="rId38" Type="http://schemas.openxmlformats.org/officeDocument/2006/relationships/hyperlink" Target="https://en.wikipedia.org/wiki/Sanford_Stadium" TargetMode="External"/><Relationship Id="rId730" Type="http://schemas.openxmlformats.org/officeDocument/2006/relationships/hyperlink" Target="https://en.wikipedia.org/wiki/Tad_Gormley_Stadium" TargetMode="External"/><Relationship Id="rId1320" Type="http://schemas.openxmlformats.org/officeDocument/2006/relationships/hyperlink" Target="https://en.wikipedia.org/wiki/Texas_A%26M%E2%80%93Commerce_Lions_football" TargetMode="External"/><Relationship Id="rId1321" Type="http://schemas.openxmlformats.org/officeDocument/2006/relationships/hyperlink" Target="https://en.wikipedia.org/wiki/Heart_Health_Park" TargetMode="External"/><Relationship Id="rId1322" Type="http://schemas.openxmlformats.org/officeDocument/2006/relationships/hyperlink" Target="https://en.wikipedia.org/wiki/Sacramento,_California" TargetMode="External"/><Relationship Id="rId1356" Type="http://schemas.openxmlformats.org/officeDocument/2006/relationships/hyperlink" Target="https://en.wikipedia.org/wiki/Alex_G._Spanos_Stadium" TargetMode="External"/><Relationship Id="rId1357" Type="http://schemas.openxmlformats.org/officeDocument/2006/relationships/hyperlink" Target="https://en.wikipedia.org/wiki/San_Luis_Obispo,_California" TargetMode="External"/><Relationship Id="rId20" Type="http://schemas.openxmlformats.org/officeDocument/2006/relationships/hyperlink" Target="https://en.wikipedia.org/wiki/Texas" TargetMode="External"/><Relationship Id="rId1358" Type="http://schemas.openxmlformats.org/officeDocument/2006/relationships/hyperlink" Target="https://en.wikipedia.org/wiki/California" TargetMode="External"/><Relationship Id="rId1359" Type="http://schemas.openxmlformats.org/officeDocument/2006/relationships/hyperlink" Target="https://en.wikipedia.org/wiki/Cal_Poly_Mustangs_football" TargetMode="External"/><Relationship Id="rId22" Type="http://schemas.openxmlformats.org/officeDocument/2006/relationships/hyperlink" Target="https://en.wikipedia.org/wiki/Tiger_Stadium_(LSU)" TargetMode="External"/><Relationship Id="rId21" Type="http://schemas.openxmlformats.org/officeDocument/2006/relationships/hyperlink" Target="https://en.wikipedia.org/wiki/Texas_A%26M_Aggies_football" TargetMode="External"/><Relationship Id="rId24" Type="http://schemas.openxmlformats.org/officeDocument/2006/relationships/hyperlink" Target="https://en.wikipedia.org/wiki/Louisiana" TargetMode="External"/><Relationship Id="rId23" Type="http://schemas.openxmlformats.org/officeDocument/2006/relationships/hyperlink" Target="https://en.wikipedia.org/wiki/Baton_Rouge,_Louisiana" TargetMode="External"/><Relationship Id="rId767" Type="http://schemas.openxmlformats.org/officeDocument/2006/relationships/hyperlink" Target="https://en.wikipedia.org/wiki/Logan,_Utah" TargetMode="External"/><Relationship Id="rId766" Type="http://schemas.openxmlformats.org/officeDocument/2006/relationships/hyperlink" Target="https://en.wikipedia.org/wiki/Maverik_Stadium" TargetMode="External"/><Relationship Id="rId765" Type="http://schemas.openxmlformats.org/officeDocument/2006/relationships/hyperlink" Target="https://en.wikipedia.org/wiki/Montana_Grizzlies_football" TargetMode="External"/><Relationship Id="rId764" Type="http://schemas.openxmlformats.org/officeDocument/2006/relationships/hyperlink" Target="https://en.wikipedia.org/wiki/Montana" TargetMode="External"/><Relationship Id="rId769" Type="http://schemas.openxmlformats.org/officeDocument/2006/relationships/hyperlink" Target="https://en.wikipedia.org/wiki/Utah_State_Aggies_football" TargetMode="External"/><Relationship Id="rId768" Type="http://schemas.openxmlformats.org/officeDocument/2006/relationships/hyperlink" Target="https://en.wikipedia.org/wiki/Utah" TargetMode="External"/><Relationship Id="rId26" Type="http://schemas.openxmlformats.org/officeDocument/2006/relationships/hyperlink" Target="https://en.wikipedia.org/wiki/Neyland_Stadium" TargetMode="External"/><Relationship Id="rId25" Type="http://schemas.openxmlformats.org/officeDocument/2006/relationships/hyperlink" Target="https://en.wikipedia.org/wiki/LSU_Tigers_football" TargetMode="External"/><Relationship Id="rId28" Type="http://schemas.openxmlformats.org/officeDocument/2006/relationships/hyperlink" Target="https://en.wikipedia.org/wiki/Tennessee" TargetMode="External"/><Relationship Id="rId1350" Type="http://schemas.openxmlformats.org/officeDocument/2006/relationships/hyperlink" Target="https://en.wikipedia.org/wiki/Maryland" TargetMode="External"/><Relationship Id="rId27" Type="http://schemas.openxmlformats.org/officeDocument/2006/relationships/hyperlink" Target="https://en.wikipedia.org/wiki/Knoxville,_Tennessee" TargetMode="External"/><Relationship Id="rId1351" Type="http://schemas.openxmlformats.org/officeDocument/2006/relationships/hyperlink" Target="https://en.wikipedia.org/wiki/Towson_Tigers_football" TargetMode="External"/><Relationship Id="rId763" Type="http://schemas.openxmlformats.org/officeDocument/2006/relationships/hyperlink" Target="https://en.wikipedia.org/wiki/Missoula,_Montana" TargetMode="External"/><Relationship Id="rId1352" Type="http://schemas.openxmlformats.org/officeDocument/2006/relationships/hyperlink" Target="https://en.wikipedia.org/wiki/Isotopes_Park" TargetMode="External"/><Relationship Id="rId29" Type="http://schemas.openxmlformats.org/officeDocument/2006/relationships/hyperlink" Target="https://en.wikipedia.org/wiki/Tennessee_Volunteers_football" TargetMode="External"/><Relationship Id="rId762" Type="http://schemas.openxmlformats.org/officeDocument/2006/relationships/hyperlink" Target="https://en.wikipedia.org/wiki/Washington%E2%80%93Grizzly_Stadium" TargetMode="External"/><Relationship Id="rId1353" Type="http://schemas.openxmlformats.org/officeDocument/2006/relationships/hyperlink" Target="https://en.wikipedia.org/wiki/Albuquerque,_New_Mexico" TargetMode="External"/><Relationship Id="rId761" Type="http://schemas.openxmlformats.org/officeDocument/2006/relationships/hyperlink" Target="https://en.wikipedia.org/wiki/Portland_Timbers" TargetMode="External"/><Relationship Id="rId1354" Type="http://schemas.openxmlformats.org/officeDocument/2006/relationships/hyperlink" Target="https://en.wikipedia.org/wiki/New_Mexico" TargetMode="External"/><Relationship Id="rId760" Type="http://schemas.openxmlformats.org/officeDocument/2006/relationships/hyperlink" Target="https://en.wikipedia.org/wiki/Oregon" TargetMode="External"/><Relationship Id="rId1355" Type="http://schemas.openxmlformats.org/officeDocument/2006/relationships/hyperlink" Target="https://en.wikipedia.org/wiki/Albuquerque_Isotopes" TargetMode="External"/><Relationship Id="rId1345" Type="http://schemas.openxmlformats.org/officeDocument/2006/relationships/hyperlink" Target="https://en.wikipedia.org/wiki/Flagstaff,_Arizona" TargetMode="External"/><Relationship Id="rId1346" Type="http://schemas.openxmlformats.org/officeDocument/2006/relationships/hyperlink" Target="https://en.wikipedia.org/wiki/Arizona" TargetMode="External"/><Relationship Id="rId1347" Type="http://schemas.openxmlformats.org/officeDocument/2006/relationships/hyperlink" Target="https://en.wikipedia.org/wiki/Northern_Arizona_Lumberjacks_football" TargetMode="External"/><Relationship Id="rId1348" Type="http://schemas.openxmlformats.org/officeDocument/2006/relationships/hyperlink" Target="https://en.wikipedia.org/wiki/Johnny_Unitas_Stadium" TargetMode="External"/><Relationship Id="rId11" Type="http://schemas.openxmlformats.org/officeDocument/2006/relationships/hyperlink" Target="https://en.wikipedia.org/wiki/University_Park,_Pennsylvania" TargetMode="External"/><Relationship Id="rId1349" Type="http://schemas.openxmlformats.org/officeDocument/2006/relationships/hyperlink" Target="https://en.wikipedia.org/wiki/Towson,_Maryland" TargetMode="External"/><Relationship Id="rId10" Type="http://schemas.openxmlformats.org/officeDocument/2006/relationships/hyperlink" Target="https://en.wikipedia.org/wiki/Beaver_Stadium" TargetMode="External"/><Relationship Id="rId13" Type="http://schemas.openxmlformats.org/officeDocument/2006/relationships/hyperlink" Target="https://en.wikipedia.org/wiki/Penn_State_Nittany_Lions_football" TargetMode="External"/><Relationship Id="rId12" Type="http://schemas.openxmlformats.org/officeDocument/2006/relationships/hyperlink" Target="https://en.wikipedia.org/wiki/Pennsylvania" TargetMode="External"/><Relationship Id="rId756" Type="http://schemas.openxmlformats.org/officeDocument/2006/relationships/hyperlink" Target="https://en.wikipedia.org/wiki/Ohio" TargetMode="External"/><Relationship Id="rId755" Type="http://schemas.openxmlformats.org/officeDocument/2006/relationships/hyperlink" Target="https://en.wikipedia.org/wiki/Kent,_Ohio" TargetMode="External"/><Relationship Id="rId754" Type="http://schemas.openxmlformats.org/officeDocument/2006/relationships/hyperlink" Target="https://en.wikipedia.org/wiki/List_of_U.S._stadiums_by_capacity" TargetMode="External"/><Relationship Id="rId753" Type="http://schemas.openxmlformats.org/officeDocument/2006/relationships/hyperlink" Target="https://en.wikipedia.org/wiki/Dix_Stadium" TargetMode="External"/><Relationship Id="rId759" Type="http://schemas.openxmlformats.org/officeDocument/2006/relationships/hyperlink" Target="https://en.wikipedia.org/wiki/Portland,_Oregon" TargetMode="External"/><Relationship Id="rId758" Type="http://schemas.openxmlformats.org/officeDocument/2006/relationships/hyperlink" Target="https://en.wikipedia.org/wiki/Providence_Park" TargetMode="External"/><Relationship Id="rId757" Type="http://schemas.openxmlformats.org/officeDocument/2006/relationships/hyperlink" Target="https://en.wikipedia.org/wiki/Kent_State_Golden_Flashes_football" TargetMode="External"/><Relationship Id="rId15" Type="http://schemas.openxmlformats.org/officeDocument/2006/relationships/hyperlink" Target="https://en.wikipedia.org/wiki/Columbus,_Ohio" TargetMode="External"/><Relationship Id="rId14" Type="http://schemas.openxmlformats.org/officeDocument/2006/relationships/hyperlink" Target="https://en.wikipedia.org/wiki/Ohio_Stadium" TargetMode="External"/><Relationship Id="rId17" Type="http://schemas.openxmlformats.org/officeDocument/2006/relationships/hyperlink" Target="https://en.wikipedia.org/wiki/Ohio_State_Buckeyes_football" TargetMode="External"/><Relationship Id="rId16" Type="http://schemas.openxmlformats.org/officeDocument/2006/relationships/hyperlink" Target="https://en.wikipedia.org/wiki/Ohio" TargetMode="External"/><Relationship Id="rId1340" Type="http://schemas.openxmlformats.org/officeDocument/2006/relationships/hyperlink" Target="https://en.wikipedia.org/wiki/Peoria_Sports_Complex" TargetMode="External"/><Relationship Id="rId19" Type="http://schemas.openxmlformats.org/officeDocument/2006/relationships/hyperlink" Target="https://en.wikipedia.org/wiki/College_Station,_Texas" TargetMode="External"/><Relationship Id="rId752" Type="http://schemas.openxmlformats.org/officeDocument/2006/relationships/hyperlink" Target="https://en.wikipedia.org/wiki/South_Alabama_Jaguars_football" TargetMode="External"/><Relationship Id="rId1341" Type="http://schemas.openxmlformats.org/officeDocument/2006/relationships/hyperlink" Target="https://en.wikipedia.org/wiki/Peoria,_Arizona" TargetMode="External"/><Relationship Id="rId18" Type="http://schemas.openxmlformats.org/officeDocument/2006/relationships/hyperlink" Target="https://en.wikipedia.org/wiki/Kyle_Field" TargetMode="External"/><Relationship Id="rId751" Type="http://schemas.openxmlformats.org/officeDocument/2006/relationships/hyperlink" Target="https://en.wikipedia.org/wiki/Alabama" TargetMode="External"/><Relationship Id="rId1342" Type="http://schemas.openxmlformats.org/officeDocument/2006/relationships/hyperlink" Target="https://en.wikipedia.org/wiki/Arizona" TargetMode="External"/><Relationship Id="rId750" Type="http://schemas.openxmlformats.org/officeDocument/2006/relationships/hyperlink" Target="https://en.wikipedia.org/wiki/Mobile,_Alabama" TargetMode="External"/><Relationship Id="rId1343" Type="http://schemas.openxmlformats.org/officeDocument/2006/relationships/hyperlink" Target="https://en.wikipedia.org/wiki/Peoria_Javelinas" TargetMode="External"/><Relationship Id="rId1344" Type="http://schemas.openxmlformats.org/officeDocument/2006/relationships/hyperlink" Target="https://en.wikipedia.org/wiki/Walkup_Skydome" TargetMode="External"/><Relationship Id="rId84" Type="http://schemas.openxmlformats.org/officeDocument/2006/relationships/hyperlink" Target="https://en.wikipedia.org/wiki/Florida" TargetMode="External"/><Relationship Id="rId83" Type="http://schemas.openxmlformats.org/officeDocument/2006/relationships/hyperlink" Target="https://en.wikipedia.org/wiki/Tallahassee,_Florida" TargetMode="External"/><Relationship Id="rId86" Type="http://schemas.openxmlformats.org/officeDocument/2006/relationships/hyperlink" Target="https://en.wikipedia.org/wiki/Notre_Dame_Stadium" TargetMode="External"/><Relationship Id="rId85" Type="http://schemas.openxmlformats.org/officeDocument/2006/relationships/hyperlink" Target="https://en.wikipedia.org/wiki/Florida_State_Seminoles_football" TargetMode="External"/><Relationship Id="rId88" Type="http://schemas.openxmlformats.org/officeDocument/2006/relationships/hyperlink" Target="https://en.wikipedia.org/wiki/Indiana" TargetMode="External"/><Relationship Id="rId87" Type="http://schemas.openxmlformats.org/officeDocument/2006/relationships/hyperlink" Target="https://en.wikipedia.org/wiki/Notre_Dame,_Indiana" TargetMode="External"/><Relationship Id="rId89" Type="http://schemas.openxmlformats.org/officeDocument/2006/relationships/hyperlink" Target="https://en.wikipedia.org/wiki/Notre_Dame_Fighting_Irish_football" TargetMode="External"/><Relationship Id="rId709" Type="http://schemas.openxmlformats.org/officeDocument/2006/relationships/hyperlink" Target="https://en.wikipedia.org/wiki/Louisiana_Tech_Bulldogs_football" TargetMode="External"/><Relationship Id="rId708" Type="http://schemas.openxmlformats.org/officeDocument/2006/relationships/hyperlink" Target="https://en.wikipedia.org/wiki/Louisiana" TargetMode="External"/><Relationship Id="rId707" Type="http://schemas.openxmlformats.org/officeDocument/2006/relationships/hyperlink" Target="https://en.wikipedia.org/wiki/Ruston,_Louisiana" TargetMode="External"/><Relationship Id="rId706" Type="http://schemas.openxmlformats.org/officeDocument/2006/relationships/hyperlink" Target="https://en.wikipedia.org/wiki/Joe_Aillet_Stadium" TargetMode="External"/><Relationship Id="rId80" Type="http://schemas.openxmlformats.org/officeDocument/2006/relationships/hyperlink" Target="https://en.wikipedia.org/wiki/Texas" TargetMode="External"/><Relationship Id="rId82" Type="http://schemas.openxmlformats.org/officeDocument/2006/relationships/hyperlink" Target="https://en.wikipedia.org/wiki/Bobby_Bowden_Field_at_Doak_Campbell_Stadium" TargetMode="External"/><Relationship Id="rId81" Type="http://schemas.openxmlformats.org/officeDocument/2006/relationships/hyperlink" Target="https://en.wikipedia.org/wiki/Dallas_Cowboys" TargetMode="External"/><Relationship Id="rId701" Type="http://schemas.openxmlformats.org/officeDocument/2006/relationships/hyperlink" Target="https://en.wikipedia.org/wiki/Florida_Atlantic_Owls_football" TargetMode="External"/><Relationship Id="rId700" Type="http://schemas.openxmlformats.org/officeDocument/2006/relationships/hyperlink" Target="https://en.wikipedia.org/wiki/Florida" TargetMode="External"/><Relationship Id="rId705" Type="http://schemas.openxmlformats.org/officeDocument/2006/relationships/hyperlink" Target="https://en.wikipedia.org/wiki/New_Mexico_State_Aggies_football" TargetMode="External"/><Relationship Id="rId704" Type="http://schemas.openxmlformats.org/officeDocument/2006/relationships/hyperlink" Target="https://en.wikipedia.org/wiki/New_Mexico" TargetMode="External"/><Relationship Id="rId703" Type="http://schemas.openxmlformats.org/officeDocument/2006/relationships/hyperlink" Target="https://en.wikipedia.org/wiki/Las_Cruces,_New_Mexico" TargetMode="External"/><Relationship Id="rId702" Type="http://schemas.openxmlformats.org/officeDocument/2006/relationships/hyperlink" Target="https://en.wikipedia.org/wiki/Aggie_Memorial_Stadium" TargetMode="External"/><Relationship Id="rId73" Type="http://schemas.openxmlformats.org/officeDocument/2006/relationships/hyperlink" Target="https://en.wikipedia.org/wiki/Green_Bay_Packers" TargetMode="External"/><Relationship Id="rId72" Type="http://schemas.openxmlformats.org/officeDocument/2006/relationships/hyperlink" Target="https://en.wikipedia.org/wiki/Wisconsin" TargetMode="External"/><Relationship Id="rId75" Type="http://schemas.openxmlformats.org/officeDocument/2006/relationships/hyperlink" Target="https://en.wikipedia.org/wiki/Norman,_Oklahoma" TargetMode="External"/><Relationship Id="rId74" Type="http://schemas.openxmlformats.org/officeDocument/2006/relationships/hyperlink" Target="https://en.wikipedia.org/wiki/Gaylord_Family_Oklahoma_Memorial_Stadium" TargetMode="External"/><Relationship Id="rId77" Type="http://schemas.openxmlformats.org/officeDocument/2006/relationships/hyperlink" Target="https://en.wikipedia.org/wiki/Oklahoma_Sooners_football" TargetMode="External"/><Relationship Id="rId76" Type="http://schemas.openxmlformats.org/officeDocument/2006/relationships/hyperlink" Target="https://en.wikipedia.org/wiki/Oklahoma" TargetMode="External"/><Relationship Id="rId79" Type="http://schemas.openxmlformats.org/officeDocument/2006/relationships/hyperlink" Target="https://en.wikipedia.org/wiki/Arlington,_Texas" TargetMode="External"/><Relationship Id="rId78" Type="http://schemas.openxmlformats.org/officeDocument/2006/relationships/hyperlink" Target="https://en.wikipedia.org/wiki/AT%26T_Stadium" TargetMode="External"/><Relationship Id="rId71" Type="http://schemas.openxmlformats.org/officeDocument/2006/relationships/hyperlink" Target="https://en.wikipedia.org/wiki/Green_Bay,_Wisconsin" TargetMode="External"/><Relationship Id="rId70" Type="http://schemas.openxmlformats.org/officeDocument/2006/relationships/hyperlink" Target="https://en.wikipedia.org/wiki/Lambeau_Field" TargetMode="External"/><Relationship Id="rId62" Type="http://schemas.openxmlformats.org/officeDocument/2006/relationships/hyperlink" Target="https://en.wikipedia.org/wiki/MetLife_Stadium" TargetMode="External"/><Relationship Id="rId1312" Type="http://schemas.openxmlformats.org/officeDocument/2006/relationships/hyperlink" Target="https://en.wikipedia.org/wiki/Louisville_City_FC" TargetMode="External"/><Relationship Id="rId61" Type="http://schemas.openxmlformats.org/officeDocument/2006/relationships/hyperlink" Target="https://en.wikipedia.org/wiki/Nebraska_Cornhuskers_football" TargetMode="External"/><Relationship Id="rId1313" Type="http://schemas.openxmlformats.org/officeDocument/2006/relationships/hyperlink" Target="https://en.wikipedia.org/wiki/Dell_Diamond" TargetMode="External"/><Relationship Id="rId64" Type="http://schemas.openxmlformats.org/officeDocument/2006/relationships/hyperlink" Target="https://en.wikipedia.org/wiki/New_Jersey" TargetMode="External"/><Relationship Id="rId1314" Type="http://schemas.openxmlformats.org/officeDocument/2006/relationships/hyperlink" Target="https://en.wikipedia.org/wiki/Round_Rock,_Texas" TargetMode="External"/><Relationship Id="rId63" Type="http://schemas.openxmlformats.org/officeDocument/2006/relationships/hyperlink" Target="https://en.wikipedia.org/wiki/East_Rutherford,_New_Jersey" TargetMode="External"/><Relationship Id="rId1315" Type="http://schemas.openxmlformats.org/officeDocument/2006/relationships/hyperlink" Target="https://en.wikipedia.org/wiki/Texas" TargetMode="External"/><Relationship Id="rId66" Type="http://schemas.openxmlformats.org/officeDocument/2006/relationships/hyperlink" Target="https://en.wikipedia.org/wiki/Memorial_Stadium_(Clemson)" TargetMode="External"/><Relationship Id="rId1316" Type="http://schemas.openxmlformats.org/officeDocument/2006/relationships/hyperlink" Target="https://en.wikipedia.org/wiki/Round_Rock_Express" TargetMode="External"/><Relationship Id="rId65" Type="http://schemas.openxmlformats.org/officeDocument/2006/relationships/hyperlink" Target="https://en.wikipedia.org/wiki/New_York_Giants" TargetMode="External"/><Relationship Id="rId1317" Type="http://schemas.openxmlformats.org/officeDocument/2006/relationships/hyperlink" Target="https://en.wikipedia.org/wiki/Ernest_Hawkins_Field_at_Memorial_Stadium" TargetMode="External"/><Relationship Id="rId68" Type="http://schemas.openxmlformats.org/officeDocument/2006/relationships/hyperlink" Target="https://en.wikipedia.org/wiki/South_Carolina" TargetMode="External"/><Relationship Id="rId1318" Type="http://schemas.openxmlformats.org/officeDocument/2006/relationships/hyperlink" Target="https://en.wikipedia.org/wiki/Commerce,_Texas" TargetMode="External"/><Relationship Id="rId67" Type="http://schemas.openxmlformats.org/officeDocument/2006/relationships/hyperlink" Target="https://en.wikipedia.org/wiki/Clemson,_South_Carolina" TargetMode="External"/><Relationship Id="rId1319" Type="http://schemas.openxmlformats.org/officeDocument/2006/relationships/hyperlink" Target="https://en.wikipedia.org/wiki/Texas" TargetMode="External"/><Relationship Id="rId729" Type="http://schemas.openxmlformats.org/officeDocument/2006/relationships/hyperlink" Target="https://en.wikipedia.org/wiki/Alabama_State_Hornets_football" TargetMode="External"/><Relationship Id="rId728" Type="http://schemas.openxmlformats.org/officeDocument/2006/relationships/hyperlink" Target="https://en.wikipedia.org/wiki/Alabama" TargetMode="External"/><Relationship Id="rId60" Type="http://schemas.openxmlformats.org/officeDocument/2006/relationships/hyperlink" Target="https://en.wikipedia.org/wiki/Nebraska" TargetMode="External"/><Relationship Id="rId723" Type="http://schemas.openxmlformats.org/officeDocument/2006/relationships/hyperlink" Target="https://en.wikipedia.org/wiki/Carson,_California" TargetMode="External"/><Relationship Id="rId722" Type="http://schemas.openxmlformats.org/officeDocument/2006/relationships/hyperlink" Target="https://en.wikipedia.org/wiki/Dignity_Health_Sports_Park" TargetMode="External"/><Relationship Id="rId721" Type="http://schemas.openxmlformats.org/officeDocument/2006/relationships/hyperlink" Target="https://en.wikipedia.org/wiki/Nevada_Wolf_Pack_football" TargetMode="External"/><Relationship Id="rId720" Type="http://schemas.openxmlformats.org/officeDocument/2006/relationships/hyperlink" Target="https://en.wikipedia.org/wiki/Nevada" TargetMode="External"/><Relationship Id="rId727" Type="http://schemas.openxmlformats.org/officeDocument/2006/relationships/hyperlink" Target="https://en.wikipedia.org/wiki/Montgomery,_Alabama" TargetMode="External"/><Relationship Id="rId726" Type="http://schemas.openxmlformats.org/officeDocument/2006/relationships/hyperlink" Target="https://en.wikipedia.org/wiki/New_ASU_Stadium" TargetMode="External"/><Relationship Id="rId725" Type="http://schemas.openxmlformats.org/officeDocument/2006/relationships/hyperlink" Target="https://en.wikipedia.org/wiki/Los_Angeles_Galaxy" TargetMode="External"/><Relationship Id="rId724" Type="http://schemas.openxmlformats.org/officeDocument/2006/relationships/hyperlink" Target="https://en.wikipedia.org/wiki/California" TargetMode="External"/><Relationship Id="rId69" Type="http://schemas.openxmlformats.org/officeDocument/2006/relationships/hyperlink" Target="https://en.wikipedia.org/wiki/Clemson_Tigers_football" TargetMode="External"/><Relationship Id="rId1310" Type="http://schemas.openxmlformats.org/officeDocument/2006/relationships/hyperlink" Target="https://en.wikipedia.org/wiki/Louisville,_Kentucky" TargetMode="External"/><Relationship Id="rId1311" Type="http://schemas.openxmlformats.org/officeDocument/2006/relationships/hyperlink" Target="https://en.wikipedia.org/wiki/Kentucky" TargetMode="External"/><Relationship Id="rId51" Type="http://schemas.openxmlformats.org/officeDocument/2006/relationships/hyperlink" Target="https://en.wikipedia.org/wiki/Gainesville,_Florida" TargetMode="External"/><Relationship Id="rId1301" Type="http://schemas.openxmlformats.org/officeDocument/2006/relationships/hyperlink" Target="https://en.wikipedia.org/wiki/Texas" TargetMode="External"/><Relationship Id="rId50" Type="http://schemas.openxmlformats.org/officeDocument/2006/relationships/hyperlink" Target="https://en.wikipedia.org/wiki/Ben_Hill_Griffin_Stadium" TargetMode="External"/><Relationship Id="rId1302" Type="http://schemas.openxmlformats.org/officeDocument/2006/relationships/hyperlink" Target="https://en.wikipedia.org/wiki/Anthony_Field_at_Wildcat_Stadium" TargetMode="External"/><Relationship Id="rId53" Type="http://schemas.openxmlformats.org/officeDocument/2006/relationships/hyperlink" Target="https://en.wikipedia.org/wiki/Florida_Gators_football" TargetMode="External"/><Relationship Id="rId1303" Type="http://schemas.openxmlformats.org/officeDocument/2006/relationships/hyperlink" Target="https://en.wikipedia.org/wiki/Abilene,_Texas" TargetMode="External"/><Relationship Id="rId52" Type="http://schemas.openxmlformats.org/officeDocument/2006/relationships/hyperlink" Target="https://en.wikipedia.org/wiki/Florida" TargetMode="External"/><Relationship Id="rId1304" Type="http://schemas.openxmlformats.org/officeDocument/2006/relationships/hyperlink" Target="https://en.wikipedia.org/wiki/Texas" TargetMode="External"/><Relationship Id="rId55" Type="http://schemas.openxmlformats.org/officeDocument/2006/relationships/hyperlink" Target="https://en.wikipedia.org/wiki/Auburn,_Alabama" TargetMode="External"/><Relationship Id="rId1305" Type="http://schemas.openxmlformats.org/officeDocument/2006/relationships/hyperlink" Target="https://en.wikipedia.org/wiki/Abilene_Christian_Wildcats_football" TargetMode="External"/><Relationship Id="rId54" Type="http://schemas.openxmlformats.org/officeDocument/2006/relationships/hyperlink" Target="https://en.wikipedia.org/wiki/Jordan-Hare_Stadium" TargetMode="External"/><Relationship Id="rId1306" Type="http://schemas.openxmlformats.org/officeDocument/2006/relationships/hyperlink" Target="https://en.wikipedia.org/wiki/James_M._Shuart_Stadium" TargetMode="External"/><Relationship Id="rId57" Type="http://schemas.openxmlformats.org/officeDocument/2006/relationships/hyperlink" Target="https://en.wikipedia.org/wiki/Auburn_Tigers_football" TargetMode="External"/><Relationship Id="rId1307" Type="http://schemas.openxmlformats.org/officeDocument/2006/relationships/hyperlink" Target="https://en.wikipedia.org/wiki/Hempstead,_New_York" TargetMode="External"/><Relationship Id="rId56" Type="http://schemas.openxmlformats.org/officeDocument/2006/relationships/hyperlink" Target="https://en.wikipedia.org/wiki/Alabama" TargetMode="External"/><Relationship Id="rId1308" Type="http://schemas.openxmlformats.org/officeDocument/2006/relationships/hyperlink" Target="https://en.wikipedia.org/wiki/New_York_(state)" TargetMode="External"/><Relationship Id="rId1309" Type="http://schemas.openxmlformats.org/officeDocument/2006/relationships/hyperlink" Target="https://en.wikipedia.org/wiki/Lynn_Family_Stadium" TargetMode="External"/><Relationship Id="rId719" Type="http://schemas.openxmlformats.org/officeDocument/2006/relationships/hyperlink" Target="https://en.wikipedia.org/wiki/Reno,_Nevada" TargetMode="External"/><Relationship Id="rId718" Type="http://schemas.openxmlformats.org/officeDocument/2006/relationships/hyperlink" Target="https://en.wikipedia.org/wiki/Mackay_Stadium" TargetMode="External"/><Relationship Id="rId717" Type="http://schemas.openxmlformats.org/officeDocument/2006/relationships/hyperlink" Target="https://en.wikipedia.org/wiki/Louisiana%E2%80%93Monroe_Warhawks_football" TargetMode="External"/><Relationship Id="rId712" Type="http://schemas.openxmlformats.org/officeDocument/2006/relationships/hyperlink" Target="https://en.wikipedia.org/wiki/New_Jersey" TargetMode="External"/><Relationship Id="rId711" Type="http://schemas.openxmlformats.org/officeDocument/2006/relationships/hyperlink" Target="https://en.wikipedia.org/wiki/Princeton,_New_Jersey" TargetMode="External"/><Relationship Id="rId710" Type="http://schemas.openxmlformats.org/officeDocument/2006/relationships/hyperlink" Target="https://en.wikipedia.org/wiki/Princeton_Stadium" TargetMode="External"/><Relationship Id="rId716" Type="http://schemas.openxmlformats.org/officeDocument/2006/relationships/hyperlink" Target="https://en.wikipedia.org/wiki/Louisiana" TargetMode="External"/><Relationship Id="rId715" Type="http://schemas.openxmlformats.org/officeDocument/2006/relationships/hyperlink" Target="https://en.wikipedia.org/wiki/Monroe,_Louisiana" TargetMode="External"/><Relationship Id="rId714" Type="http://schemas.openxmlformats.org/officeDocument/2006/relationships/hyperlink" Target="https://en.wikipedia.org/wiki/Malone_Stadium" TargetMode="External"/><Relationship Id="rId713" Type="http://schemas.openxmlformats.org/officeDocument/2006/relationships/hyperlink" Target="https://en.wikipedia.org/wiki/Princeton_Tigers_football" TargetMode="External"/><Relationship Id="rId59" Type="http://schemas.openxmlformats.org/officeDocument/2006/relationships/hyperlink" Target="https://en.wikipedia.org/wiki/Lincoln,_Nebraska" TargetMode="External"/><Relationship Id="rId58" Type="http://schemas.openxmlformats.org/officeDocument/2006/relationships/hyperlink" Target="https://en.wikipedia.org/wiki/Memorial_Stadium,_Lincoln" TargetMode="External"/><Relationship Id="rId1300" Type="http://schemas.openxmlformats.org/officeDocument/2006/relationships/hyperlink" Target="https://en.wikipedia.org/wiki/Frisco,_Texas" TargetMode="External"/><Relationship Id="rId349" Type="http://schemas.openxmlformats.org/officeDocument/2006/relationships/hyperlink" Target="https://en.wikipedia.org/wiki/SECU_Stadium" TargetMode="External"/><Relationship Id="rId348" Type="http://schemas.openxmlformats.org/officeDocument/2006/relationships/hyperlink" Target="https://en.wikipedia.org/wiki/Rutgers_Scarlet_Knights_football" TargetMode="External"/><Relationship Id="rId347" Type="http://schemas.openxmlformats.org/officeDocument/2006/relationships/hyperlink" Target="https://en.wikipedia.org/wiki/New_Jersey" TargetMode="External"/><Relationship Id="rId346" Type="http://schemas.openxmlformats.org/officeDocument/2006/relationships/hyperlink" Target="https://en.wikipedia.org/wiki/Piscataway,_New_Jersey" TargetMode="External"/><Relationship Id="rId341" Type="http://schemas.openxmlformats.org/officeDocument/2006/relationships/hyperlink" Target="https://en.wikipedia.org/wiki/Franklin_Field" TargetMode="External"/><Relationship Id="rId340" Type="http://schemas.openxmlformats.org/officeDocument/2006/relationships/hyperlink" Target="https://en.wikipedia.org/wiki/Indiana_Hoosiers_football" TargetMode="External"/><Relationship Id="rId345" Type="http://schemas.openxmlformats.org/officeDocument/2006/relationships/hyperlink" Target="https://en.wikipedia.org/wiki/SHI_Stadium" TargetMode="External"/><Relationship Id="rId344" Type="http://schemas.openxmlformats.org/officeDocument/2006/relationships/hyperlink" Target="https://en.wikipedia.org/wiki/Penn_Quakers_football" TargetMode="External"/><Relationship Id="rId343" Type="http://schemas.openxmlformats.org/officeDocument/2006/relationships/hyperlink" Target="https://en.wikipedia.org/wiki/Pennsylvania" TargetMode="External"/><Relationship Id="rId342" Type="http://schemas.openxmlformats.org/officeDocument/2006/relationships/hyperlink" Target="https://en.wikipedia.org/wiki/Philadelphia" TargetMode="External"/><Relationship Id="rId338" Type="http://schemas.openxmlformats.org/officeDocument/2006/relationships/hyperlink" Target="https://en.wikipedia.org/wiki/Bloomington,_Indiana" TargetMode="External"/><Relationship Id="rId337" Type="http://schemas.openxmlformats.org/officeDocument/2006/relationships/hyperlink" Target="https://en.wikipedia.org/wiki/Memorial_Stadium,_Bloomington" TargetMode="External"/><Relationship Id="rId336" Type="http://schemas.openxmlformats.org/officeDocument/2006/relationships/hyperlink" Target="https://en.wikipedia.org/wiki/Arizona_State_Sun_Devils_football" TargetMode="External"/><Relationship Id="rId335" Type="http://schemas.openxmlformats.org/officeDocument/2006/relationships/hyperlink" Target="https://en.wikipedia.org/wiki/Arizona" TargetMode="External"/><Relationship Id="rId339" Type="http://schemas.openxmlformats.org/officeDocument/2006/relationships/hyperlink" Target="https://en.wikipedia.org/wiki/Indiana" TargetMode="External"/><Relationship Id="rId330" Type="http://schemas.openxmlformats.org/officeDocument/2006/relationships/hyperlink" Target="https://en.wikipedia.org/wiki/Eugene,_Oregon" TargetMode="External"/><Relationship Id="rId334" Type="http://schemas.openxmlformats.org/officeDocument/2006/relationships/hyperlink" Target="https://en.wikipedia.org/wiki/Tempe,_Arizona" TargetMode="External"/><Relationship Id="rId333" Type="http://schemas.openxmlformats.org/officeDocument/2006/relationships/hyperlink" Target="https://en.wikipedia.org/wiki/Sun_Devil_Stadium" TargetMode="External"/><Relationship Id="rId332" Type="http://schemas.openxmlformats.org/officeDocument/2006/relationships/hyperlink" Target="https://en.wikipedia.org/wiki/Oregon_Ducks_football" TargetMode="External"/><Relationship Id="rId331" Type="http://schemas.openxmlformats.org/officeDocument/2006/relationships/hyperlink" Target="https://en.wikipedia.org/wiki/Oregon" TargetMode="External"/><Relationship Id="rId370" Type="http://schemas.openxmlformats.org/officeDocument/2006/relationships/hyperlink" Target="https://en.wikipedia.org/wiki/Minneapolis" TargetMode="External"/><Relationship Id="rId369" Type="http://schemas.openxmlformats.org/officeDocument/2006/relationships/hyperlink" Target="https://en.wikipedia.org/wiki/Huntington_Bank_Stadium" TargetMode="External"/><Relationship Id="rId368" Type="http://schemas.openxmlformats.org/officeDocument/2006/relationships/hyperlink" Target="https://en.wikipedia.org/wiki/Independence_Bowl" TargetMode="External"/><Relationship Id="rId363" Type="http://schemas.openxmlformats.org/officeDocument/2006/relationships/hyperlink" Target="https://en.wikipedia.org/wiki/North_Carolina" TargetMode="External"/><Relationship Id="rId362" Type="http://schemas.openxmlformats.org/officeDocument/2006/relationships/hyperlink" Target="https://en.wikipedia.org/wiki/Greenville,_North_Carolina" TargetMode="External"/><Relationship Id="rId361" Type="http://schemas.openxmlformats.org/officeDocument/2006/relationships/hyperlink" Target="https://en.wikipedia.org/wiki/Dowdy%E2%80%93Ficklen_Stadium" TargetMode="External"/><Relationship Id="rId360" Type="http://schemas.openxmlformats.org/officeDocument/2006/relationships/hyperlink" Target="https://en.wikipedia.org/wiki/Utah_Utes_football" TargetMode="External"/><Relationship Id="rId367" Type="http://schemas.openxmlformats.org/officeDocument/2006/relationships/hyperlink" Target="https://en.wikipedia.org/wiki/Louisiana" TargetMode="External"/><Relationship Id="rId366" Type="http://schemas.openxmlformats.org/officeDocument/2006/relationships/hyperlink" Target="https://en.wikipedia.org/wiki/Shreveport,_Louisiana" TargetMode="External"/><Relationship Id="rId365" Type="http://schemas.openxmlformats.org/officeDocument/2006/relationships/hyperlink" Target="https://en.wikipedia.org/wiki/Independence_Stadium_(United_States)" TargetMode="External"/><Relationship Id="rId364" Type="http://schemas.openxmlformats.org/officeDocument/2006/relationships/hyperlink" Target="https://en.wikipedia.org/wiki/East_Carolina_Pirates_football" TargetMode="External"/><Relationship Id="rId95" Type="http://schemas.openxmlformats.org/officeDocument/2006/relationships/hyperlink" Target="https://en.wikipedia.org/wiki/Los_Angeles" TargetMode="External"/><Relationship Id="rId94" Type="http://schemas.openxmlformats.org/officeDocument/2006/relationships/hyperlink" Target="https://en.wikipedia.org/wiki/Los_Angeles_Memorial_Coliseum" TargetMode="External"/><Relationship Id="rId97" Type="http://schemas.openxmlformats.org/officeDocument/2006/relationships/hyperlink" Target="https://en.wikipedia.org/wiki/USC_Trojans_football" TargetMode="External"/><Relationship Id="rId96" Type="http://schemas.openxmlformats.org/officeDocument/2006/relationships/hyperlink" Target="https://en.wikipedia.org/wiki/California" TargetMode="External"/><Relationship Id="rId99" Type="http://schemas.openxmlformats.org/officeDocument/2006/relationships/hyperlink" Target="https://en.wikipedia.org/wiki/Kansas_City,_Missouri" TargetMode="External"/><Relationship Id="rId98" Type="http://schemas.openxmlformats.org/officeDocument/2006/relationships/hyperlink" Target="https://en.wikipedia.org/wiki/Arrowhead_Stadium" TargetMode="External"/><Relationship Id="rId91" Type="http://schemas.openxmlformats.org/officeDocument/2006/relationships/hyperlink" Target="https://en.wikipedia.org/wiki/Columbia,_South_Carolina" TargetMode="External"/><Relationship Id="rId90" Type="http://schemas.openxmlformats.org/officeDocument/2006/relationships/hyperlink" Target="https://en.wikipedia.org/wiki/Williams%E2%80%93Brice_Stadium" TargetMode="External"/><Relationship Id="rId93" Type="http://schemas.openxmlformats.org/officeDocument/2006/relationships/hyperlink" Target="https://en.wikipedia.org/wiki/South_Carolina_Gamecocks_football" TargetMode="External"/><Relationship Id="rId92" Type="http://schemas.openxmlformats.org/officeDocument/2006/relationships/hyperlink" Target="https://en.wikipedia.org/wiki/South_Carolina" TargetMode="External"/><Relationship Id="rId359" Type="http://schemas.openxmlformats.org/officeDocument/2006/relationships/hyperlink" Target="https://en.wikipedia.org/wiki/Utah" TargetMode="External"/><Relationship Id="rId358" Type="http://schemas.openxmlformats.org/officeDocument/2006/relationships/hyperlink" Target="https://en.wikipedia.org/wiki/Salt_Lake_City" TargetMode="External"/><Relationship Id="rId357" Type="http://schemas.openxmlformats.org/officeDocument/2006/relationships/hyperlink" Target="https://en.wikipedia.org/wiki/Rice-Eccles_Stadium" TargetMode="External"/><Relationship Id="rId352" Type="http://schemas.openxmlformats.org/officeDocument/2006/relationships/hyperlink" Target="https://en.wikipedia.org/wiki/Maryland_Terrapins_football" TargetMode="External"/><Relationship Id="rId351" Type="http://schemas.openxmlformats.org/officeDocument/2006/relationships/hyperlink" Target="https://en.wikipedia.org/wiki/Maryland" TargetMode="External"/><Relationship Id="rId350" Type="http://schemas.openxmlformats.org/officeDocument/2006/relationships/hyperlink" Target="https://en.wikipedia.org/wiki/College_Park,_Maryland" TargetMode="External"/><Relationship Id="rId356" Type="http://schemas.openxmlformats.org/officeDocument/2006/relationships/hyperlink" Target="https://en.wikipedia.org/wiki/UTEP_Miners_football" TargetMode="External"/><Relationship Id="rId355" Type="http://schemas.openxmlformats.org/officeDocument/2006/relationships/hyperlink" Target="https://en.wikipedia.org/wiki/Texas" TargetMode="External"/><Relationship Id="rId354" Type="http://schemas.openxmlformats.org/officeDocument/2006/relationships/hyperlink" Target="https://en.wikipedia.org/wiki/El_Paso,_Texas" TargetMode="External"/><Relationship Id="rId353" Type="http://schemas.openxmlformats.org/officeDocument/2006/relationships/hyperlink" Target="https://en.wikipedia.org/wiki/Sun_Bowl_stadium" TargetMode="External"/><Relationship Id="rId1378" Type="http://schemas.openxmlformats.org/officeDocument/2006/relationships/hyperlink" Target="https://en.wikipedia.org/wiki/Ohio" TargetMode="External"/><Relationship Id="rId1379" Type="http://schemas.openxmlformats.org/officeDocument/2006/relationships/hyperlink" Target="https://en.wikipedia.org/wiki/Dayton_Flyers_football" TargetMode="External"/><Relationship Id="rId305" Type="http://schemas.openxmlformats.org/officeDocument/2006/relationships/hyperlink" Target="https://en.wikipedia.org/wiki/Simmons_Bank_Liberty_Stadium" TargetMode="External"/><Relationship Id="rId789" Type="http://schemas.openxmlformats.org/officeDocument/2006/relationships/hyperlink" Target="https://en.wikipedia.org/wiki/Camellia_Bowl_(2014%E2%80%93present)" TargetMode="External"/><Relationship Id="rId304" Type="http://schemas.openxmlformats.org/officeDocument/2006/relationships/hyperlink" Target="https://en.wikipedia.org/wiki/West_Virginia_Mountaineers_football" TargetMode="External"/><Relationship Id="rId788" Type="http://schemas.openxmlformats.org/officeDocument/2006/relationships/hyperlink" Target="https://en.wikipedia.org/wiki/Alabama" TargetMode="External"/><Relationship Id="rId303" Type="http://schemas.openxmlformats.org/officeDocument/2006/relationships/hyperlink" Target="https://en.wikipedia.org/wiki/West_Virginia" TargetMode="External"/><Relationship Id="rId787" Type="http://schemas.openxmlformats.org/officeDocument/2006/relationships/hyperlink" Target="https://en.wikipedia.org/wiki/Montgomery,_Alabama" TargetMode="External"/><Relationship Id="rId302" Type="http://schemas.openxmlformats.org/officeDocument/2006/relationships/hyperlink" Target="https://en.wikipedia.org/wiki/Morgantown,_West_Virginia" TargetMode="External"/><Relationship Id="rId786" Type="http://schemas.openxmlformats.org/officeDocument/2006/relationships/hyperlink" Target="https://en.wikipedia.org/wiki/Cramton_Bowl" TargetMode="External"/><Relationship Id="rId309" Type="http://schemas.openxmlformats.org/officeDocument/2006/relationships/hyperlink" Target="https://en.wikipedia.org/wiki/Carter%E2%80%93Finley_Stadium" TargetMode="External"/><Relationship Id="rId308" Type="http://schemas.openxmlformats.org/officeDocument/2006/relationships/hyperlink" Target="https://en.wikipedia.org/wiki/Memphis_Tigers_football" TargetMode="External"/><Relationship Id="rId307" Type="http://schemas.openxmlformats.org/officeDocument/2006/relationships/hyperlink" Target="https://en.wikipedia.org/wiki/Tennessee" TargetMode="External"/><Relationship Id="rId306" Type="http://schemas.openxmlformats.org/officeDocument/2006/relationships/hyperlink" Target="https://en.wikipedia.org/wiki/Memphis,_Tennessee" TargetMode="External"/><Relationship Id="rId781" Type="http://schemas.openxmlformats.org/officeDocument/2006/relationships/hyperlink" Target="https://en.wikipedia.org/wiki/Georgia_Southern_Eagles_football" TargetMode="External"/><Relationship Id="rId1370" Type="http://schemas.openxmlformats.org/officeDocument/2006/relationships/hyperlink" Target="https://en.wikipedia.org/wiki/New_Hampshire" TargetMode="External"/><Relationship Id="rId780" Type="http://schemas.openxmlformats.org/officeDocument/2006/relationships/hyperlink" Target="https://en.wikipedia.org/wiki/Georgia_(U.S._state)" TargetMode="External"/><Relationship Id="rId1371" Type="http://schemas.openxmlformats.org/officeDocument/2006/relationships/hyperlink" Target="https://en.wikipedia.org/wiki/Dartmouth_Big_Green_football" TargetMode="External"/><Relationship Id="rId1372" Type="http://schemas.openxmlformats.org/officeDocument/2006/relationships/hyperlink" Target="https://en.wikipedia.org/wiki/Atwood_Stadium" TargetMode="External"/><Relationship Id="rId1373" Type="http://schemas.openxmlformats.org/officeDocument/2006/relationships/hyperlink" Target="https://en.wikipedia.org/wiki/Flint,_Michigan" TargetMode="External"/><Relationship Id="rId301" Type="http://schemas.openxmlformats.org/officeDocument/2006/relationships/hyperlink" Target="https://en.wikipedia.org/wiki/Mountaineer_Field" TargetMode="External"/><Relationship Id="rId785" Type="http://schemas.openxmlformats.org/officeDocument/2006/relationships/hyperlink" Target="https://en.wikipedia.org/wiki/Liberty_Flames_football" TargetMode="External"/><Relationship Id="rId1374" Type="http://schemas.openxmlformats.org/officeDocument/2006/relationships/hyperlink" Target="https://en.wikipedia.org/wiki/Michigan" TargetMode="External"/><Relationship Id="rId300" Type="http://schemas.openxmlformats.org/officeDocument/2006/relationships/hyperlink" Target="https://en.wikipedia.org/wiki/Texas_Tech_Red_Raiders_football" TargetMode="External"/><Relationship Id="rId784" Type="http://schemas.openxmlformats.org/officeDocument/2006/relationships/hyperlink" Target="https://en.wikipedia.org/wiki/Virginia" TargetMode="External"/><Relationship Id="rId1375" Type="http://schemas.openxmlformats.org/officeDocument/2006/relationships/hyperlink" Target="https://en.wikipedia.org/wiki/Flint_City_Bucks" TargetMode="External"/><Relationship Id="rId783" Type="http://schemas.openxmlformats.org/officeDocument/2006/relationships/hyperlink" Target="https://en.wikipedia.org/wiki/Lynchburg,_Virginia" TargetMode="External"/><Relationship Id="rId1376" Type="http://schemas.openxmlformats.org/officeDocument/2006/relationships/hyperlink" Target="https://en.wikipedia.org/wiki/Welcome_Stadium" TargetMode="External"/><Relationship Id="rId782" Type="http://schemas.openxmlformats.org/officeDocument/2006/relationships/hyperlink" Target="https://en.wikipedia.org/wiki/Williams_Stadium" TargetMode="External"/><Relationship Id="rId1377" Type="http://schemas.openxmlformats.org/officeDocument/2006/relationships/hyperlink" Target="https://en.wikipedia.org/wiki/Dayton,_Ohio" TargetMode="External"/><Relationship Id="rId1367" Type="http://schemas.openxmlformats.org/officeDocument/2006/relationships/hyperlink" Target="https://en.wikipedia.org/wiki/New_Hampshire_Wildcats_football" TargetMode="External"/><Relationship Id="rId1368" Type="http://schemas.openxmlformats.org/officeDocument/2006/relationships/hyperlink" Target="https://en.wikipedia.org/wiki/Memorial_Field_(Dartmouth)" TargetMode="External"/><Relationship Id="rId1369" Type="http://schemas.openxmlformats.org/officeDocument/2006/relationships/hyperlink" Target="https://en.wikipedia.org/wiki/Hanover,_New_Hampshire" TargetMode="External"/><Relationship Id="rId778" Type="http://schemas.openxmlformats.org/officeDocument/2006/relationships/hyperlink" Target="https://en.wikipedia.org/wiki/Paulson_Stadium" TargetMode="External"/><Relationship Id="rId777" Type="http://schemas.openxmlformats.org/officeDocument/2006/relationships/hyperlink" Target="https://en.wikipedia.org/wiki/New_York_Red_Bulls" TargetMode="External"/><Relationship Id="rId776" Type="http://schemas.openxmlformats.org/officeDocument/2006/relationships/hyperlink" Target="https://en.wikipedia.org/wiki/New_Jersey" TargetMode="External"/><Relationship Id="rId775" Type="http://schemas.openxmlformats.org/officeDocument/2006/relationships/hyperlink" Target="https://en.wikipedia.org/wiki/Harrison,_New_Jersey" TargetMode="External"/><Relationship Id="rId779" Type="http://schemas.openxmlformats.org/officeDocument/2006/relationships/hyperlink" Target="https://en.wikipedia.org/wiki/Statesboro,_Georgia" TargetMode="External"/><Relationship Id="rId770" Type="http://schemas.openxmlformats.org/officeDocument/2006/relationships/hyperlink" Target="https://en.wikipedia.org/wiki/University_at_Buffalo_Stadium" TargetMode="External"/><Relationship Id="rId1360" Type="http://schemas.openxmlformats.org/officeDocument/2006/relationships/hyperlink" Target="https://en.wikipedia.org/wiki/George_M._Steinbrenner_Field" TargetMode="External"/><Relationship Id="rId1361" Type="http://schemas.openxmlformats.org/officeDocument/2006/relationships/hyperlink" Target="https://en.wikipedia.org/wiki/Tampa,_Florida" TargetMode="External"/><Relationship Id="rId1362" Type="http://schemas.openxmlformats.org/officeDocument/2006/relationships/hyperlink" Target="https://en.wikipedia.org/wiki/Florida" TargetMode="External"/><Relationship Id="rId774" Type="http://schemas.openxmlformats.org/officeDocument/2006/relationships/hyperlink" Target="https://en.wikipedia.org/wiki/Red_Bull_Arena_(New_Jersey)" TargetMode="External"/><Relationship Id="rId1363" Type="http://schemas.openxmlformats.org/officeDocument/2006/relationships/hyperlink" Target="https://en.wikipedia.org/wiki/Tampa_Tarpons" TargetMode="External"/><Relationship Id="rId773" Type="http://schemas.openxmlformats.org/officeDocument/2006/relationships/hyperlink" Target="https://en.wikipedia.org/wiki/Buffalo_Bulls_football" TargetMode="External"/><Relationship Id="rId1364" Type="http://schemas.openxmlformats.org/officeDocument/2006/relationships/hyperlink" Target="https://en.wikipedia.org/wiki/Wildcat_Stadium_(University_of_New_Hampshire)" TargetMode="External"/><Relationship Id="rId772" Type="http://schemas.openxmlformats.org/officeDocument/2006/relationships/hyperlink" Target="https://en.wikipedia.org/wiki/New_York_(state)" TargetMode="External"/><Relationship Id="rId1365" Type="http://schemas.openxmlformats.org/officeDocument/2006/relationships/hyperlink" Target="https://en.wikipedia.org/wiki/Durham,_New_Hampshire" TargetMode="External"/><Relationship Id="rId771" Type="http://schemas.openxmlformats.org/officeDocument/2006/relationships/hyperlink" Target="https://en.wikipedia.org/wiki/Amherst,_New_York" TargetMode="External"/><Relationship Id="rId1366" Type="http://schemas.openxmlformats.org/officeDocument/2006/relationships/hyperlink" Target="https://en.wikipedia.org/wiki/New_Hampshire" TargetMode="External"/><Relationship Id="rId327" Type="http://schemas.openxmlformats.org/officeDocument/2006/relationships/hyperlink" Target="https://en.wikipedia.org/wiki/Arkansas" TargetMode="External"/><Relationship Id="rId326" Type="http://schemas.openxmlformats.org/officeDocument/2006/relationships/hyperlink" Target="https://en.wikipedia.org/wiki/Little_Rock,_Arkansas" TargetMode="External"/><Relationship Id="rId325" Type="http://schemas.openxmlformats.org/officeDocument/2006/relationships/hyperlink" Target="https://en.wikipedia.org/wiki/War_Memorial_Stadium_(Arkansas)" TargetMode="External"/><Relationship Id="rId324" Type="http://schemas.openxmlformats.org/officeDocument/2006/relationships/hyperlink" Target="https://en.wikipedia.org/wiki/Georgia_Tech_Yellow_Jackets_football" TargetMode="External"/><Relationship Id="rId329" Type="http://schemas.openxmlformats.org/officeDocument/2006/relationships/hyperlink" Target="https://en.wikipedia.org/wiki/Autzen_Stadium" TargetMode="External"/><Relationship Id="rId1390" Type="http://schemas.openxmlformats.org/officeDocument/2006/relationships/hyperlink" Target="https://en.wikipedia.org/wiki/Texas" TargetMode="External"/><Relationship Id="rId328" Type="http://schemas.openxmlformats.org/officeDocument/2006/relationships/hyperlink" Target="https://en.wikipedia.org/wiki/Arkansas_Razorbacks_football" TargetMode="External"/><Relationship Id="rId1391" Type="http://schemas.openxmlformats.org/officeDocument/2006/relationships/hyperlink" Target="https://en.wikipedia.org/wiki/NBT_Bank_Stadium" TargetMode="External"/><Relationship Id="rId1392" Type="http://schemas.openxmlformats.org/officeDocument/2006/relationships/hyperlink" Target="https://en.wikipedia.org/wiki/Syracuse,_New_York" TargetMode="External"/><Relationship Id="rId1393" Type="http://schemas.openxmlformats.org/officeDocument/2006/relationships/hyperlink" Target="https://en.wikipedia.org/wiki/New_York_(state)" TargetMode="External"/><Relationship Id="rId1394" Type="http://schemas.openxmlformats.org/officeDocument/2006/relationships/hyperlink" Target="https://en.wikipedia.org/wiki/Syracuse_Mets" TargetMode="External"/><Relationship Id="rId1395" Type="http://schemas.openxmlformats.org/officeDocument/2006/relationships/hyperlink" Target="https://en.wikipedia.org/wiki/UC_Davis_Health_Stadium" TargetMode="External"/><Relationship Id="rId323" Type="http://schemas.openxmlformats.org/officeDocument/2006/relationships/hyperlink" Target="https://en.wikipedia.org/wiki/Georgia_(U.S._state)" TargetMode="External"/><Relationship Id="rId1396" Type="http://schemas.openxmlformats.org/officeDocument/2006/relationships/hyperlink" Target="https://en.wikipedia.org/wiki/Davis,_California" TargetMode="External"/><Relationship Id="rId322" Type="http://schemas.openxmlformats.org/officeDocument/2006/relationships/hyperlink" Target="https://en.wikipedia.org/wiki/Atlanta" TargetMode="External"/><Relationship Id="rId1397" Type="http://schemas.openxmlformats.org/officeDocument/2006/relationships/hyperlink" Target="https://en.wikipedia.org/wiki/California" TargetMode="External"/><Relationship Id="rId321" Type="http://schemas.openxmlformats.org/officeDocument/2006/relationships/hyperlink" Target="https://en.wikipedia.org/wiki/Bobby_Dodd_Stadium" TargetMode="External"/><Relationship Id="rId1398" Type="http://schemas.openxmlformats.org/officeDocument/2006/relationships/hyperlink" Target="https://en.wikipedia.org/wiki/UC_Davis_Aggies_football" TargetMode="External"/><Relationship Id="rId320" Type="http://schemas.openxmlformats.org/officeDocument/2006/relationships/hyperlink" Target="https://en.wikipedia.org/wiki/Oklahoma_State_Cowboys_football" TargetMode="External"/><Relationship Id="rId1399" Type="http://schemas.openxmlformats.org/officeDocument/2006/relationships/hyperlink" Target="https://en.wikipedia.org/wiki/Baum%E2%80%93Walker_Stadium" TargetMode="External"/><Relationship Id="rId1389" Type="http://schemas.openxmlformats.org/officeDocument/2006/relationships/hyperlink" Target="https://en.wikipedia.org/wiki/Cypress,_Texas" TargetMode="External"/><Relationship Id="rId316" Type="http://schemas.openxmlformats.org/officeDocument/2006/relationships/hyperlink" Target="https://en.wikipedia.org/wiki/Los_Angeles_Dodgers" TargetMode="External"/><Relationship Id="rId315" Type="http://schemas.openxmlformats.org/officeDocument/2006/relationships/hyperlink" Target="https://en.wikipedia.org/wiki/California" TargetMode="External"/><Relationship Id="rId799" Type="http://schemas.openxmlformats.org/officeDocument/2006/relationships/hyperlink" Target="https://en.wikipedia.org/wiki/Atlanta" TargetMode="External"/><Relationship Id="rId314" Type="http://schemas.openxmlformats.org/officeDocument/2006/relationships/hyperlink" Target="https://en.wikipedia.org/wiki/Los_Angeles" TargetMode="External"/><Relationship Id="rId798" Type="http://schemas.openxmlformats.org/officeDocument/2006/relationships/hyperlink" Target="https://en.wikipedia.org/wiki/Center_Parc_Stadium" TargetMode="External"/><Relationship Id="rId313" Type="http://schemas.openxmlformats.org/officeDocument/2006/relationships/hyperlink" Target="https://en.wikipedia.org/wiki/Dodger_Stadium" TargetMode="External"/><Relationship Id="rId797" Type="http://schemas.openxmlformats.org/officeDocument/2006/relationships/hyperlink" Target="https://en.wikipedia.org/wiki/Creighton_Bluejays_baseball" TargetMode="External"/><Relationship Id="rId319" Type="http://schemas.openxmlformats.org/officeDocument/2006/relationships/hyperlink" Target="https://en.wikipedia.org/wiki/Oklahoma" TargetMode="External"/><Relationship Id="rId318" Type="http://schemas.openxmlformats.org/officeDocument/2006/relationships/hyperlink" Target="https://en.wikipedia.org/wiki/Stillwater,_Oklahoma" TargetMode="External"/><Relationship Id="rId317" Type="http://schemas.openxmlformats.org/officeDocument/2006/relationships/hyperlink" Target="https://en.wikipedia.org/wiki/Boone_Pickens_Stadium" TargetMode="External"/><Relationship Id="rId1380" Type="http://schemas.openxmlformats.org/officeDocument/2006/relationships/hyperlink" Target="https://en.wikipedia.org/wiki/121_Financial_Ballpark" TargetMode="External"/><Relationship Id="rId792" Type="http://schemas.openxmlformats.org/officeDocument/2006/relationships/hyperlink" Target="https://en.wikipedia.org/wiki/Virginia" TargetMode="External"/><Relationship Id="rId1381" Type="http://schemas.openxmlformats.org/officeDocument/2006/relationships/hyperlink" Target="https://en.wikipedia.org/wiki/Jacksonville,_Florida" TargetMode="External"/><Relationship Id="rId791" Type="http://schemas.openxmlformats.org/officeDocument/2006/relationships/hyperlink" Target="https://en.wikipedia.org/wiki/Harrisonburg,_Virginia" TargetMode="External"/><Relationship Id="rId1382" Type="http://schemas.openxmlformats.org/officeDocument/2006/relationships/hyperlink" Target="https://en.wikipedia.org/wiki/Florida" TargetMode="External"/><Relationship Id="rId790" Type="http://schemas.openxmlformats.org/officeDocument/2006/relationships/hyperlink" Target="https://en.wikipedia.org/wiki/Bridgeforth_Stadium_and_Zane_Showker_Field" TargetMode="External"/><Relationship Id="rId1383" Type="http://schemas.openxmlformats.org/officeDocument/2006/relationships/hyperlink" Target="https://en.wikipedia.org/wiki/Jacksonville_Jumbo_Shrimp" TargetMode="External"/><Relationship Id="rId1384" Type="http://schemas.openxmlformats.org/officeDocument/2006/relationships/hyperlink" Target="https://en.wikipedia.org/wiki/Salt_River_Fields_at_Talking_Stick" TargetMode="External"/><Relationship Id="rId312" Type="http://schemas.openxmlformats.org/officeDocument/2006/relationships/hyperlink" Target="https://en.wikipedia.org/wiki/NC_State_Wolfpack_football" TargetMode="External"/><Relationship Id="rId796" Type="http://schemas.openxmlformats.org/officeDocument/2006/relationships/hyperlink" Target="https://en.wikipedia.org/wiki/Nebraska" TargetMode="External"/><Relationship Id="rId1385" Type="http://schemas.openxmlformats.org/officeDocument/2006/relationships/hyperlink" Target="https://en.wikipedia.org/wiki/Scottsdale,_Arizona" TargetMode="External"/><Relationship Id="rId311" Type="http://schemas.openxmlformats.org/officeDocument/2006/relationships/hyperlink" Target="https://en.wikipedia.org/wiki/North_Carolina" TargetMode="External"/><Relationship Id="rId795" Type="http://schemas.openxmlformats.org/officeDocument/2006/relationships/hyperlink" Target="https://en.wikipedia.org/wiki/Omaha,_Nebraska" TargetMode="External"/><Relationship Id="rId1386" Type="http://schemas.openxmlformats.org/officeDocument/2006/relationships/hyperlink" Target="https://en.wikipedia.org/wiki/Arizona" TargetMode="External"/><Relationship Id="rId310" Type="http://schemas.openxmlformats.org/officeDocument/2006/relationships/hyperlink" Target="https://en.wikipedia.org/wiki/Raleigh,_North_Carolina" TargetMode="External"/><Relationship Id="rId794" Type="http://schemas.openxmlformats.org/officeDocument/2006/relationships/hyperlink" Target="https://en.wikipedia.org/wiki/Charles_Schwab_Field_Omaha" TargetMode="External"/><Relationship Id="rId1387" Type="http://schemas.openxmlformats.org/officeDocument/2006/relationships/hyperlink" Target="https://en.wikipedia.org/wiki/Salt_River_Rafters" TargetMode="External"/><Relationship Id="rId793" Type="http://schemas.openxmlformats.org/officeDocument/2006/relationships/hyperlink" Target="https://en.wikipedia.org/wiki/James_Madison_Dukes_football" TargetMode="External"/><Relationship Id="rId1388" Type="http://schemas.openxmlformats.org/officeDocument/2006/relationships/hyperlink" Target="https://en.wikipedia.org/wiki/Berry_Center_of_Northwest_Houston" TargetMode="External"/><Relationship Id="rId297" Type="http://schemas.openxmlformats.org/officeDocument/2006/relationships/hyperlink" Target="https://en.wikipedia.org/wiki/Jones_AT%26T_Stadium" TargetMode="External"/><Relationship Id="rId296" Type="http://schemas.openxmlformats.org/officeDocument/2006/relationships/hyperlink" Target="https://en.wikipedia.org/wiki/Jackson_State_Tigers_football" TargetMode="External"/><Relationship Id="rId295" Type="http://schemas.openxmlformats.org/officeDocument/2006/relationships/hyperlink" Target="https://en.wikipedia.org/wiki/Mississippi" TargetMode="External"/><Relationship Id="rId294" Type="http://schemas.openxmlformats.org/officeDocument/2006/relationships/hyperlink" Target="https://en.wikipedia.org/wiki/Jackson,_Mississippi" TargetMode="External"/><Relationship Id="rId299" Type="http://schemas.openxmlformats.org/officeDocument/2006/relationships/hyperlink" Target="https://en.wikipedia.org/wiki/Texas" TargetMode="External"/><Relationship Id="rId298" Type="http://schemas.openxmlformats.org/officeDocument/2006/relationships/hyperlink" Target="https://en.wikipedia.org/wiki/Lubbock,_Texas" TargetMode="External"/><Relationship Id="rId271" Type="http://schemas.openxmlformats.org/officeDocument/2006/relationships/hyperlink" Target="https://en.wikipedia.org/wiki/Florida" TargetMode="External"/><Relationship Id="rId270" Type="http://schemas.openxmlformats.org/officeDocument/2006/relationships/hyperlink" Target="https://en.wikipedia.org/wiki/Miami_Gardens,_Florida" TargetMode="External"/><Relationship Id="rId269" Type="http://schemas.openxmlformats.org/officeDocument/2006/relationships/hyperlink" Target="https://en.wikipedia.org/wiki/Hard_Rock_Stadium" TargetMode="External"/><Relationship Id="rId264" Type="http://schemas.openxmlformats.org/officeDocument/2006/relationships/hyperlink" Target="https://en.wikipedia.org/wiki/Yale_Bulldogs_football" TargetMode="External"/><Relationship Id="rId263" Type="http://schemas.openxmlformats.org/officeDocument/2006/relationships/hyperlink" Target="https://en.wikipedia.org/wiki/Connecticut" TargetMode="External"/><Relationship Id="rId262" Type="http://schemas.openxmlformats.org/officeDocument/2006/relationships/hyperlink" Target="https://en.wikipedia.org/wiki/New_Haven,_Connecticut" TargetMode="External"/><Relationship Id="rId261" Type="http://schemas.openxmlformats.org/officeDocument/2006/relationships/hyperlink" Target="https://en.wikipedia.org/wiki/Yale_Bowl" TargetMode="External"/><Relationship Id="rId268" Type="http://schemas.openxmlformats.org/officeDocument/2006/relationships/hyperlink" Target="https://en.wikipedia.org/wiki/Purdue_Boilermakers_football" TargetMode="External"/><Relationship Id="rId267" Type="http://schemas.openxmlformats.org/officeDocument/2006/relationships/hyperlink" Target="https://en.wikipedia.org/wiki/Indiana" TargetMode="External"/><Relationship Id="rId266" Type="http://schemas.openxmlformats.org/officeDocument/2006/relationships/hyperlink" Target="https://en.wikipedia.org/wiki/West_Lafayette,_Indiana" TargetMode="External"/><Relationship Id="rId265" Type="http://schemas.openxmlformats.org/officeDocument/2006/relationships/hyperlink" Target="https://en.wikipedia.org/wiki/Ross%E2%80%93Ade_Stadium" TargetMode="External"/><Relationship Id="rId260" Type="http://schemas.openxmlformats.org/officeDocument/2006/relationships/hyperlink" Target="https://en.wikipedia.org/wiki/Iowa_State_Cyclones_football" TargetMode="External"/><Relationship Id="rId259" Type="http://schemas.openxmlformats.org/officeDocument/2006/relationships/hyperlink" Target="https://en.wikipedia.org/wiki/Iowa" TargetMode="External"/><Relationship Id="rId258" Type="http://schemas.openxmlformats.org/officeDocument/2006/relationships/hyperlink" Target="https://en.wikipedia.org/wiki/Ames,_Iowa" TargetMode="External"/><Relationship Id="rId253" Type="http://schemas.openxmlformats.org/officeDocument/2006/relationships/hyperlink" Target="https://en.wikipedia.org/wiki/Scott_Stadium" TargetMode="External"/><Relationship Id="rId252" Type="http://schemas.openxmlformats.org/officeDocument/2006/relationships/hyperlink" Target="https://en.wikipedia.org/wiki/Chicago_Bears" TargetMode="External"/><Relationship Id="rId251" Type="http://schemas.openxmlformats.org/officeDocument/2006/relationships/hyperlink" Target="https://en.wikipedia.org/wiki/Illinois" TargetMode="External"/><Relationship Id="rId250" Type="http://schemas.openxmlformats.org/officeDocument/2006/relationships/hyperlink" Target="https://en.wikipedia.org/wiki/Chicago" TargetMode="External"/><Relationship Id="rId257" Type="http://schemas.openxmlformats.org/officeDocument/2006/relationships/hyperlink" Target="https://en.wikipedia.org/wiki/Jack_Trice_Stadium" TargetMode="External"/><Relationship Id="rId256" Type="http://schemas.openxmlformats.org/officeDocument/2006/relationships/hyperlink" Target="https://en.wikipedia.org/wiki/Virginia_Cavaliers_football" TargetMode="External"/><Relationship Id="rId255" Type="http://schemas.openxmlformats.org/officeDocument/2006/relationships/hyperlink" Target="https://en.wikipedia.org/wiki/Virginia" TargetMode="External"/><Relationship Id="rId254" Type="http://schemas.openxmlformats.org/officeDocument/2006/relationships/hyperlink" Target="https://en.wikipedia.org/wiki/Charlottesville,_Virginia" TargetMode="External"/><Relationship Id="rId293" Type="http://schemas.openxmlformats.org/officeDocument/2006/relationships/hyperlink" Target="https://en.wikipedia.org/wiki/Mississippi_Veterans_Memorial_Stadium" TargetMode="External"/><Relationship Id="rId292" Type="http://schemas.openxmlformats.org/officeDocument/2006/relationships/hyperlink" Target="https://en.wikipedia.org/wiki/Illinois_Fighting_Illini_football" TargetMode="External"/><Relationship Id="rId291" Type="http://schemas.openxmlformats.org/officeDocument/2006/relationships/hyperlink" Target="https://en.wikipedia.org/wiki/Illinois" TargetMode="External"/><Relationship Id="rId290" Type="http://schemas.openxmlformats.org/officeDocument/2006/relationships/hyperlink" Target="https://en.wikipedia.org/wiki/Champaign,_Illinois" TargetMode="External"/><Relationship Id="rId286" Type="http://schemas.openxmlformats.org/officeDocument/2006/relationships/hyperlink" Target="https://en.wikipedia.org/wiki/Louisville,_Kentucky" TargetMode="External"/><Relationship Id="rId285" Type="http://schemas.openxmlformats.org/officeDocument/2006/relationships/hyperlink" Target="https://en.wikipedia.org/wiki/Cardinal_Stadium" TargetMode="External"/><Relationship Id="rId284" Type="http://schemas.openxmlformats.org/officeDocument/2006/relationships/hyperlink" Target="https://en.wikipedia.org/wiki/Florida_Classic" TargetMode="External"/><Relationship Id="rId283" Type="http://schemas.openxmlformats.org/officeDocument/2006/relationships/hyperlink" Target="https://en.wikipedia.org/wiki/Florida" TargetMode="External"/><Relationship Id="rId289" Type="http://schemas.openxmlformats.org/officeDocument/2006/relationships/hyperlink" Target="https://en.wikipedia.org/wiki/Memorial_Stadium_(Champaign)" TargetMode="External"/><Relationship Id="rId288" Type="http://schemas.openxmlformats.org/officeDocument/2006/relationships/hyperlink" Target="https://en.wikipedia.org/wiki/Louisville_Cardinals_football" TargetMode="External"/><Relationship Id="rId287" Type="http://schemas.openxmlformats.org/officeDocument/2006/relationships/hyperlink" Target="https://en.wikipedia.org/wiki/Kentucky" TargetMode="External"/><Relationship Id="rId282" Type="http://schemas.openxmlformats.org/officeDocument/2006/relationships/hyperlink" Target="https://en.wikipedia.org/wiki/Orlando,_Florida" TargetMode="External"/><Relationship Id="rId281" Type="http://schemas.openxmlformats.org/officeDocument/2006/relationships/hyperlink" Target="https://en.wikipedia.org/wiki/Camping_World_Stadium" TargetMode="External"/><Relationship Id="rId280" Type="http://schemas.openxmlformats.org/officeDocument/2006/relationships/hyperlink" Target="https://en.wikipedia.org/wiki/Kentucky_Wildcats_football" TargetMode="External"/><Relationship Id="rId275" Type="http://schemas.openxmlformats.org/officeDocument/2006/relationships/hyperlink" Target="https://en.wikipedia.org/wiki/Mississippi" TargetMode="External"/><Relationship Id="rId274" Type="http://schemas.openxmlformats.org/officeDocument/2006/relationships/hyperlink" Target="https://en.wikipedia.org/wiki/Starkville,_Mississippi" TargetMode="External"/><Relationship Id="rId273" Type="http://schemas.openxmlformats.org/officeDocument/2006/relationships/hyperlink" Target="https://en.wikipedia.org/wiki/Davis_Wade_Stadium" TargetMode="External"/><Relationship Id="rId272" Type="http://schemas.openxmlformats.org/officeDocument/2006/relationships/hyperlink" Target="https://en.wikipedia.org/wiki/Miami_Dolphins" TargetMode="External"/><Relationship Id="rId279" Type="http://schemas.openxmlformats.org/officeDocument/2006/relationships/hyperlink" Target="https://en.wikipedia.org/wiki/Kentucky" TargetMode="External"/><Relationship Id="rId278" Type="http://schemas.openxmlformats.org/officeDocument/2006/relationships/hyperlink" Target="https://en.wikipedia.org/wiki/Lexington,_Kentucky" TargetMode="External"/><Relationship Id="rId277" Type="http://schemas.openxmlformats.org/officeDocument/2006/relationships/hyperlink" Target="https://en.wikipedia.org/wiki/Kroger_Field" TargetMode="External"/><Relationship Id="rId276" Type="http://schemas.openxmlformats.org/officeDocument/2006/relationships/hyperlink" Target="https://en.wikipedia.org/wiki/Mississippi_State_Bulldogs_football" TargetMode="External"/><Relationship Id="rId1455" Type="http://schemas.openxmlformats.org/officeDocument/2006/relationships/hyperlink" Target="https://en.wikipedia.org/wiki/Georgia_(U.S._state)" TargetMode="External"/><Relationship Id="rId1456" Type="http://schemas.openxmlformats.org/officeDocument/2006/relationships/hyperlink" Target="https://en.wikipedia.org/wiki/Mercer_Bears_football" TargetMode="External"/><Relationship Id="rId1457" Type="http://schemas.openxmlformats.org/officeDocument/2006/relationships/hyperlink" Target="https://en.wikipedia.org/wiki/Huntington_Park_(Columbus,_Ohio)" TargetMode="External"/><Relationship Id="rId1458" Type="http://schemas.openxmlformats.org/officeDocument/2006/relationships/hyperlink" Target="https://en.wikipedia.org/wiki/Columbus,_Ohio" TargetMode="External"/><Relationship Id="rId1459" Type="http://schemas.openxmlformats.org/officeDocument/2006/relationships/hyperlink" Target="https://en.wikipedia.org/wiki/Ohio" TargetMode="External"/><Relationship Id="rId629" Type="http://schemas.openxmlformats.org/officeDocument/2006/relationships/hyperlink" Target="https://en.wikipedia.org/wiki/Wake_Forest_Demon_Deacons_football" TargetMode="External"/><Relationship Id="rId624" Type="http://schemas.openxmlformats.org/officeDocument/2006/relationships/hyperlink" Target="https://en.wikipedia.org/wiki/Texas" TargetMode="External"/><Relationship Id="rId623" Type="http://schemas.openxmlformats.org/officeDocument/2006/relationships/hyperlink" Target="https://en.wikipedia.org/wiki/University_Park,_Texas" TargetMode="External"/><Relationship Id="rId622" Type="http://schemas.openxmlformats.org/officeDocument/2006/relationships/hyperlink" Target="https://en.wikipedia.org/wiki/Gerald_J._Ford_Stadium" TargetMode="External"/><Relationship Id="rId621" Type="http://schemas.openxmlformats.org/officeDocument/2006/relationships/hyperlink" Target="https://en.wikipedia.org/wiki/Washington_State_Cougars_football" TargetMode="External"/><Relationship Id="rId628" Type="http://schemas.openxmlformats.org/officeDocument/2006/relationships/hyperlink" Target="https://en.wikipedia.org/wiki/North_Carolina" TargetMode="External"/><Relationship Id="rId627" Type="http://schemas.openxmlformats.org/officeDocument/2006/relationships/hyperlink" Target="https://en.wikipedia.org/wiki/Winston-Salem,_North_Carolina" TargetMode="External"/><Relationship Id="rId626" Type="http://schemas.openxmlformats.org/officeDocument/2006/relationships/hyperlink" Target="https://en.wikipedia.org/wiki/Truist_Field_at_Wake_Forest" TargetMode="External"/><Relationship Id="rId625" Type="http://schemas.openxmlformats.org/officeDocument/2006/relationships/hyperlink" Target="https://en.wikipedia.org/wiki/SMU_Mustangs_football" TargetMode="External"/><Relationship Id="rId1450" Type="http://schemas.openxmlformats.org/officeDocument/2006/relationships/hyperlink" Target="https://en.wikipedia.org/wiki/Charlotte,_North_Carolina" TargetMode="External"/><Relationship Id="rId620" Type="http://schemas.openxmlformats.org/officeDocument/2006/relationships/hyperlink" Target="https://en.wikipedia.org/wiki/Washington_(state)" TargetMode="External"/><Relationship Id="rId1451" Type="http://schemas.openxmlformats.org/officeDocument/2006/relationships/hyperlink" Target="https://en.wikipedia.org/wiki/North_Carolina" TargetMode="External"/><Relationship Id="rId1452" Type="http://schemas.openxmlformats.org/officeDocument/2006/relationships/hyperlink" Target="https://en.wikipedia.org/wiki/Charlotte_Knights" TargetMode="External"/><Relationship Id="rId1453" Type="http://schemas.openxmlformats.org/officeDocument/2006/relationships/hyperlink" Target="https://en.wikipedia.org/wiki/Five_Star_Stadium" TargetMode="External"/><Relationship Id="rId1454" Type="http://schemas.openxmlformats.org/officeDocument/2006/relationships/hyperlink" Target="https://en.wikipedia.org/wiki/Macon,_Georgia" TargetMode="External"/><Relationship Id="rId1444" Type="http://schemas.openxmlformats.org/officeDocument/2006/relationships/hyperlink" Target="https://en.wikipedia.org/wiki/New_York_(state)" TargetMode="External"/><Relationship Id="rId1445" Type="http://schemas.openxmlformats.org/officeDocument/2006/relationships/hyperlink" Target="https://en.wikipedia.org/wiki/Colgate_Raiders_football" TargetMode="External"/><Relationship Id="rId1446" Type="http://schemas.openxmlformats.org/officeDocument/2006/relationships/hyperlink" Target="https://en.wikipedia.org/wiki/Credit_One_Stadium" TargetMode="External"/><Relationship Id="rId1447" Type="http://schemas.openxmlformats.org/officeDocument/2006/relationships/hyperlink" Target="https://en.wikipedia.org/wiki/Charleston,_South_Carolina" TargetMode="External"/><Relationship Id="rId1448" Type="http://schemas.openxmlformats.org/officeDocument/2006/relationships/hyperlink" Target="https://en.wikipedia.org/wiki/South_Carolina" TargetMode="External"/><Relationship Id="rId1449" Type="http://schemas.openxmlformats.org/officeDocument/2006/relationships/hyperlink" Target="https://en.wikipedia.org/wiki/Truist_Field" TargetMode="External"/><Relationship Id="rId619" Type="http://schemas.openxmlformats.org/officeDocument/2006/relationships/hyperlink" Target="https://en.wikipedia.org/wiki/Pullman,_Washington" TargetMode="External"/><Relationship Id="rId618" Type="http://schemas.openxmlformats.org/officeDocument/2006/relationships/hyperlink" Target="https://en.wikipedia.org/wiki/Martin_Stadium" TargetMode="External"/><Relationship Id="rId613" Type="http://schemas.openxmlformats.org/officeDocument/2006/relationships/hyperlink" Target="https://en.wikipedia.org/wiki/Cleveland_Guardians" TargetMode="External"/><Relationship Id="rId612" Type="http://schemas.openxmlformats.org/officeDocument/2006/relationships/hyperlink" Target="https://en.wikipedia.org/wiki/Ohio" TargetMode="External"/><Relationship Id="rId611" Type="http://schemas.openxmlformats.org/officeDocument/2006/relationships/hyperlink" Target="https://en.wikipedia.org/wiki/Cleveland" TargetMode="External"/><Relationship Id="rId610" Type="http://schemas.openxmlformats.org/officeDocument/2006/relationships/hyperlink" Target="https://en.wikipedia.org/wiki/Progressive_Field" TargetMode="External"/><Relationship Id="rId617" Type="http://schemas.openxmlformats.org/officeDocument/2006/relationships/hyperlink" Target="https://en.wikipedia.org/wiki/Navy_Midshipmen_football" TargetMode="External"/><Relationship Id="rId616" Type="http://schemas.openxmlformats.org/officeDocument/2006/relationships/hyperlink" Target="https://en.wikipedia.org/wiki/Maryland" TargetMode="External"/><Relationship Id="rId615" Type="http://schemas.openxmlformats.org/officeDocument/2006/relationships/hyperlink" Target="https://en.wikipedia.org/wiki/Annapolis,_Maryland" TargetMode="External"/><Relationship Id="rId614" Type="http://schemas.openxmlformats.org/officeDocument/2006/relationships/hyperlink" Target="https://en.wikipedia.org/wiki/Navy%E2%80%93Marine_Corps_Memorial_Stadium" TargetMode="External"/><Relationship Id="rId1440" Type="http://schemas.openxmlformats.org/officeDocument/2006/relationships/hyperlink" Target="https://en.wikipedia.org/wiki/Louisiana" TargetMode="External"/><Relationship Id="rId1441" Type="http://schemas.openxmlformats.org/officeDocument/2006/relationships/hyperlink" Target="https://en.wikipedia.org/wiki/LSU_Tigers_baseball" TargetMode="External"/><Relationship Id="rId1442" Type="http://schemas.openxmlformats.org/officeDocument/2006/relationships/hyperlink" Target="https://en.wikipedia.org/wiki/Crown_Field_at_Andy_Kerr_Stadium" TargetMode="External"/><Relationship Id="rId1443" Type="http://schemas.openxmlformats.org/officeDocument/2006/relationships/hyperlink" Target="https://en.wikipedia.org/wiki/Hamilton_(village),_New_York" TargetMode="External"/><Relationship Id="rId1477" Type="http://schemas.openxmlformats.org/officeDocument/2006/relationships/hyperlink" Target="https://en.wikipedia.org/wiki/Pennsylvania" TargetMode="External"/><Relationship Id="rId1478" Type="http://schemas.openxmlformats.org/officeDocument/2006/relationships/hyperlink" Target="https://en.wikipedia.org/wiki/Little_League_World_Series" TargetMode="External"/><Relationship Id="rId1479" Type="http://schemas.openxmlformats.org/officeDocument/2006/relationships/hyperlink" Target="https://en.wikipedia.org/wiki/Hughes_Stadium_(Morgan_State)" TargetMode="External"/><Relationship Id="rId646" Type="http://schemas.openxmlformats.org/officeDocument/2006/relationships/hyperlink" Target="https://en.wikipedia.org/wiki/Centennial_Bank_Stadium" TargetMode="External"/><Relationship Id="rId645" Type="http://schemas.openxmlformats.org/officeDocument/2006/relationships/hyperlink" Target="https://en.wikipedia.org/wiki/Troy_Trojans_football" TargetMode="External"/><Relationship Id="rId644" Type="http://schemas.openxmlformats.org/officeDocument/2006/relationships/hyperlink" Target="https://en.wikipedia.org/wiki/Alabama" TargetMode="External"/><Relationship Id="rId643" Type="http://schemas.openxmlformats.org/officeDocument/2006/relationships/hyperlink" Target="https://en.wikipedia.org/wiki/Troy,_Alabama" TargetMode="External"/><Relationship Id="rId649" Type="http://schemas.openxmlformats.org/officeDocument/2006/relationships/hyperlink" Target="https://en.wikipedia.org/wiki/Arkansas_State_Red_Wolves_football" TargetMode="External"/><Relationship Id="rId648" Type="http://schemas.openxmlformats.org/officeDocument/2006/relationships/hyperlink" Target="https://en.wikipedia.org/wiki/Arkansas" TargetMode="External"/><Relationship Id="rId647" Type="http://schemas.openxmlformats.org/officeDocument/2006/relationships/hyperlink" Target="https://en.wikipedia.org/wiki/Jonesboro,_Arkansas" TargetMode="External"/><Relationship Id="rId1470" Type="http://schemas.openxmlformats.org/officeDocument/2006/relationships/hyperlink" Target="https://en.wikipedia.org/wiki/District_of_Columbia" TargetMode="External"/><Relationship Id="rId1471" Type="http://schemas.openxmlformats.org/officeDocument/2006/relationships/hyperlink" Target="https://en.wikipedia.org/wiki/Howard_Bison_football" TargetMode="External"/><Relationship Id="rId1472" Type="http://schemas.openxmlformats.org/officeDocument/2006/relationships/hyperlink" Target="https://en.wikipedia.org/wiki/Mitchell_Stadium" TargetMode="External"/><Relationship Id="rId642" Type="http://schemas.openxmlformats.org/officeDocument/2006/relationships/hyperlink" Target="https://en.wikipedia.org/wiki/Veterans_Memorial_Stadium_(Troy_University)" TargetMode="External"/><Relationship Id="rId1473" Type="http://schemas.openxmlformats.org/officeDocument/2006/relationships/hyperlink" Target="https://en.wikipedia.org/wiki/Bluefield,_West_Virginia" TargetMode="External"/><Relationship Id="rId641" Type="http://schemas.openxmlformats.org/officeDocument/2006/relationships/hyperlink" Target="https://en.wikipedia.org/wiki/Marshall_Thundering_Herd_football" TargetMode="External"/><Relationship Id="rId1474" Type="http://schemas.openxmlformats.org/officeDocument/2006/relationships/hyperlink" Target="https://en.wikipedia.org/wiki/West_Virginia" TargetMode="External"/><Relationship Id="rId640" Type="http://schemas.openxmlformats.org/officeDocument/2006/relationships/hyperlink" Target="https://en.wikipedia.org/wiki/West_Virginia" TargetMode="External"/><Relationship Id="rId1475" Type="http://schemas.openxmlformats.org/officeDocument/2006/relationships/hyperlink" Target="https://en.wikipedia.org/wiki/Howard_J._Lamade_Stadium" TargetMode="External"/><Relationship Id="rId1476" Type="http://schemas.openxmlformats.org/officeDocument/2006/relationships/hyperlink" Target="https://en.wikipedia.org/wiki/South_Williamsport,_Pennsylvania" TargetMode="External"/><Relationship Id="rId1466" Type="http://schemas.openxmlformats.org/officeDocument/2006/relationships/hyperlink" Target="https://en.wikipedia.org/wiki/Corsicana,_Texas" TargetMode="External"/><Relationship Id="rId1467" Type="http://schemas.openxmlformats.org/officeDocument/2006/relationships/hyperlink" Target="https://en.wikipedia.org/wiki/Texas" TargetMode="External"/><Relationship Id="rId1468" Type="http://schemas.openxmlformats.org/officeDocument/2006/relationships/hyperlink" Target="https://en.wikipedia.org/wiki/William_H._Greene_Stadium" TargetMode="External"/><Relationship Id="rId1469" Type="http://schemas.openxmlformats.org/officeDocument/2006/relationships/hyperlink" Target="https://en.wikipedia.org/wiki/Washington,_D.C." TargetMode="External"/><Relationship Id="rId635" Type="http://schemas.openxmlformats.org/officeDocument/2006/relationships/hyperlink" Target="https://en.wikipedia.org/wiki/Murfreesboro,_Tennessee" TargetMode="External"/><Relationship Id="rId634" Type="http://schemas.openxmlformats.org/officeDocument/2006/relationships/hyperlink" Target="https://en.wikipedia.org/wiki/Johnny_%22Red%22_Floyd_Stadium" TargetMode="External"/><Relationship Id="rId633" Type="http://schemas.openxmlformats.org/officeDocument/2006/relationships/hyperlink" Target="https://en.wikipedia.org/wiki/North_Texas_Mean_Green_football" TargetMode="External"/><Relationship Id="rId632" Type="http://schemas.openxmlformats.org/officeDocument/2006/relationships/hyperlink" Target="https://en.wikipedia.org/wiki/Texas" TargetMode="External"/><Relationship Id="rId639" Type="http://schemas.openxmlformats.org/officeDocument/2006/relationships/hyperlink" Target="https://en.wikipedia.org/wiki/Huntington,_West_Virginia" TargetMode="External"/><Relationship Id="rId638" Type="http://schemas.openxmlformats.org/officeDocument/2006/relationships/hyperlink" Target="https://en.wikipedia.org/wiki/Joan_C._Edwards_Stadium" TargetMode="External"/><Relationship Id="rId637" Type="http://schemas.openxmlformats.org/officeDocument/2006/relationships/hyperlink" Target="https://en.wikipedia.org/wiki/Middle_Tennessee_Blue_Raiders_football" TargetMode="External"/><Relationship Id="rId636" Type="http://schemas.openxmlformats.org/officeDocument/2006/relationships/hyperlink" Target="https://en.wikipedia.org/wiki/Tennessee" TargetMode="External"/><Relationship Id="rId1460" Type="http://schemas.openxmlformats.org/officeDocument/2006/relationships/hyperlink" Target="https://en.wikipedia.org/wiki/Columbus_Clippers" TargetMode="External"/><Relationship Id="rId1461" Type="http://schemas.openxmlformats.org/officeDocument/2006/relationships/hyperlink" Target="https://en.wikipedia.org/wiki/Riverfront_Stadium_(Wichita)" TargetMode="External"/><Relationship Id="rId631" Type="http://schemas.openxmlformats.org/officeDocument/2006/relationships/hyperlink" Target="https://en.wikipedia.org/wiki/Denton,_Texas" TargetMode="External"/><Relationship Id="rId1462" Type="http://schemas.openxmlformats.org/officeDocument/2006/relationships/hyperlink" Target="https://en.wikipedia.org/wiki/Wichita,_Kansas" TargetMode="External"/><Relationship Id="rId630" Type="http://schemas.openxmlformats.org/officeDocument/2006/relationships/hyperlink" Target="https://en.wikipedia.org/wiki/DATCU_Stadium" TargetMode="External"/><Relationship Id="rId1463" Type="http://schemas.openxmlformats.org/officeDocument/2006/relationships/hyperlink" Target="https://en.wikipedia.org/wiki/Kansas" TargetMode="External"/><Relationship Id="rId1464" Type="http://schemas.openxmlformats.org/officeDocument/2006/relationships/hyperlink" Target="https://en.wikipedia.org/wiki/Wichita_Wind_Surge" TargetMode="External"/><Relationship Id="rId1465" Type="http://schemas.openxmlformats.org/officeDocument/2006/relationships/hyperlink" Target="https://en.wikipedia.org/wiki/Tiger_Stadium_(Corsicana)" TargetMode="External"/><Relationship Id="rId1411" Type="http://schemas.openxmlformats.org/officeDocument/2006/relationships/hyperlink" Target="https://en.wikipedia.org/wiki/Sutter_Health_Park" TargetMode="External"/><Relationship Id="rId1412" Type="http://schemas.openxmlformats.org/officeDocument/2006/relationships/hyperlink" Target="https://en.wikipedia.org/wiki/Sacramento,_California" TargetMode="External"/><Relationship Id="rId1413" Type="http://schemas.openxmlformats.org/officeDocument/2006/relationships/hyperlink" Target="https://en.wikipedia.org/wiki/California" TargetMode="External"/><Relationship Id="rId1414" Type="http://schemas.openxmlformats.org/officeDocument/2006/relationships/hyperlink" Target="https://en.wikipedia.org/wiki/Sacramento_River_Cats" TargetMode="External"/><Relationship Id="rId1415" Type="http://schemas.openxmlformats.org/officeDocument/2006/relationships/hyperlink" Target="https://en.wikipedia.org/wiki/American_Legion_Memorial_Stadium" TargetMode="External"/><Relationship Id="rId1416" Type="http://schemas.openxmlformats.org/officeDocument/2006/relationships/hyperlink" Target="https://en.wikipedia.org/wiki/Charlotte,_North_Carolina" TargetMode="External"/><Relationship Id="rId1417" Type="http://schemas.openxmlformats.org/officeDocument/2006/relationships/hyperlink" Target="https://en.wikipedia.org/wiki/North_Carolina" TargetMode="External"/><Relationship Id="rId1418" Type="http://schemas.openxmlformats.org/officeDocument/2006/relationships/hyperlink" Target="https://en.wikipedia.org/wiki/Anthem_Rugby_Carolina" TargetMode="External"/><Relationship Id="rId1419" Type="http://schemas.openxmlformats.org/officeDocument/2006/relationships/hyperlink" Target="https://en.wikipedia.org/wiki/Manning_Field_at_John_L._Guidry_Stadium" TargetMode="External"/><Relationship Id="rId1410" Type="http://schemas.openxmlformats.org/officeDocument/2006/relationships/hyperlink" Target="https://en.wikipedia.org/wiki/Fresno_Grizzlies" TargetMode="External"/><Relationship Id="rId1400" Type="http://schemas.openxmlformats.org/officeDocument/2006/relationships/hyperlink" Target="https://en.wikipedia.org/wiki/Fayetteville,_Arkansas" TargetMode="External"/><Relationship Id="rId1401" Type="http://schemas.openxmlformats.org/officeDocument/2006/relationships/hyperlink" Target="https://en.wikipedia.org/wiki/Arkansas" TargetMode="External"/><Relationship Id="rId1402" Type="http://schemas.openxmlformats.org/officeDocument/2006/relationships/hyperlink" Target="https://en.wikipedia.org/wiki/Arkansas_Razorbacks_baseball" TargetMode="External"/><Relationship Id="rId1403" Type="http://schemas.openxmlformats.org/officeDocument/2006/relationships/hyperlink" Target="https://en.wikipedia.org/wiki/Surprise_Stadium" TargetMode="External"/><Relationship Id="rId1404" Type="http://schemas.openxmlformats.org/officeDocument/2006/relationships/hyperlink" Target="https://en.wikipedia.org/wiki/Surprise,_Arizona" TargetMode="External"/><Relationship Id="rId1405" Type="http://schemas.openxmlformats.org/officeDocument/2006/relationships/hyperlink" Target="https://en.wikipedia.org/wiki/Arizona" TargetMode="External"/><Relationship Id="rId1406" Type="http://schemas.openxmlformats.org/officeDocument/2006/relationships/hyperlink" Target="https://en.wikipedia.org/wiki/Surprise_Saguaros" TargetMode="External"/><Relationship Id="rId1407" Type="http://schemas.openxmlformats.org/officeDocument/2006/relationships/hyperlink" Target="https://en.wikipedia.org/wiki/Chukchansi_Park" TargetMode="External"/><Relationship Id="rId1408" Type="http://schemas.openxmlformats.org/officeDocument/2006/relationships/hyperlink" Target="https://en.wikipedia.org/wiki/Fresno,_California" TargetMode="External"/><Relationship Id="rId1409" Type="http://schemas.openxmlformats.org/officeDocument/2006/relationships/hyperlink" Target="https://en.wikipedia.org/wiki/California" TargetMode="External"/><Relationship Id="rId1433" Type="http://schemas.openxmlformats.org/officeDocument/2006/relationships/hyperlink" Target="https://en.wikipedia.org/wiki/Grand_Valley_State_Lakers_football" TargetMode="External"/><Relationship Id="rId1434" Type="http://schemas.openxmlformats.org/officeDocument/2006/relationships/hyperlink" Target="https://en.wikipedia.org/wiki/Coolray_Field" TargetMode="External"/><Relationship Id="rId1435" Type="http://schemas.openxmlformats.org/officeDocument/2006/relationships/hyperlink" Target="https://en.wikipedia.org/wiki/Lawrenceville,_Georgia" TargetMode="External"/><Relationship Id="rId1436" Type="http://schemas.openxmlformats.org/officeDocument/2006/relationships/hyperlink" Target="https://en.wikipedia.org/wiki/Georgia_(U.S._state)" TargetMode="External"/><Relationship Id="rId1437" Type="http://schemas.openxmlformats.org/officeDocument/2006/relationships/hyperlink" Target="https://en.wikipedia.org/wiki/Gwinnett_Stripers" TargetMode="External"/><Relationship Id="rId1438" Type="http://schemas.openxmlformats.org/officeDocument/2006/relationships/hyperlink" Target="https://en.wikipedia.org/wiki/Alex_Box_Stadium,_Skip_Bertman_Field" TargetMode="External"/><Relationship Id="rId1439" Type="http://schemas.openxmlformats.org/officeDocument/2006/relationships/hyperlink" Target="https://en.wikipedia.org/wiki/Baton_Rouge,_Louisiana" TargetMode="External"/><Relationship Id="rId609" Type="http://schemas.openxmlformats.org/officeDocument/2006/relationships/hyperlink" Target="https://en.wikipedia.org/wiki/San_Diego_State_Aztecs_football" TargetMode="External"/><Relationship Id="rId608" Type="http://schemas.openxmlformats.org/officeDocument/2006/relationships/hyperlink" Target="https://en.wikipedia.org/wiki/California" TargetMode="External"/><Relationship Id="rId607" Type="http://schemas.openxmlformats.org/officeDocument/2006/relationships/hyperlink" Target="https://en.wikipedia.org/wiki/San_Diego,_California" TargetMode="External"/><Relationship Id="rId602" Type="http://schemas.openxmlformats.org/officeDocument/2006/relationships/hyperlink" Target="https://en.wikipedia.org/wiki/Wallace_Wade_Stadium" TargetMode="External"/><Relationship Id="rId601" Type="http://schemas.openxmlformats.org/officeDocument/2006/relationships/hyperlink" Target="https://en.wikipedia.org/wiki/Oregon_State_Beavers_football" TargetMode="External"/><Relationship Id="rId600" Type="http://schemas.openxmlformats.org/officeDocument/2006/relationships/hyperlink" Target="https://en.wikipedia.org/wiki/Oregon" TargetMode="External"/><Relationship Id="rId606" Type="http://schemas.openxmlformats.org/officeDocument/2006/relationships/hyperlink" Target="https://en.wikipedia.org/wiki/Snapdragon_Stadium" TargetMode="External"/><Relationship Id="rId605" Type="http://schemas.openxmlformats.org/officeDocument/2006/relationships/hyperlink" Target="https://en.wikipedia.org/wiki/Duke_Blue_Devils_football" TargetMode="External"/><Relationship Id="rId604" Type="http://schemas.openxmlformats.org/officeDocument/2006/relationships/hyperlink" Target="https://en.wikipedia.org/wiki/North_Carolina" TargetMode="External"/><Relationship Id="rId603" Type="http://schemas.openxmlformats.org/officeDocument/2006/relationships/hyperlink" Target="https://en.wikipedia.org/wiki/Durham,_North_Carolina" TargetMode="External"/><Relationship Id="rId1430" Type="http://schemas.openxmlformats.org/officeDocument/2006/relationships/hyperlink" Target="https://en.wikipedia.org/wiki/Lubbers_Stadium" TargetMode="External"/><Relationship Id="rId1431" Type="http://schemas.openxmlformats.org/officeDocument/2006/relationships/hyperlink" Target="https://en.wikipedia.org/wiki/Allendale,_Michigan" TargetMode="External"/><Relationship Id="rId1432" Type="http://schemas.openxmlformats.org/officeDocument/2006/relationships/hyperlink" Target="https://en.wikipedia.org/wiki/Michigan" TargetMode="External"/><Relationship Id="rId1422" Type="http://schemas.openxmlformats.org/officeDocument/2006/relationships/hyperlink" Target="https://en.wikipedia.org/wiki/Nicholls_Colonels_football" TargetMode="External"/><Relationship Id="rId1423" Type="http://schemas.openxmlformats.org/officeDocument/2006/relationships/hyperlink" Target="https://en.wikipedia.org/wiki/Greater_Zion_Stadium" TargetMode="External"/><Relationship Id="rId1424" Type="http://schemas.openxmlformats.org/officeDocument/2006/relationships/hyperlink" Target="https://en.wikipedia.org/wiki/St._George,_Utah" TargetMode="External"/><Relationship Id="rId1425" Type="http://schemas.openxmlformats.org/officeDocument/2006/relationships/hyperlink" Target="https://en.wikipedia.org/wiki/Utah" TargetMode="External"/><Relationship Id="rId1426" Type="http://schemas.openxmlformats.org/officeDocument/2006/relationships/hyperlink" Target="https://en.wikipedia.org/wiki/Utah_Tech_Trailblazers_football" TargetMode="External"/><Relationship Id="rId1427" Type="http://schemas.openxmlformats.org/officeDocument/2006/relationships/hyperlink" Target="https://en.wikipedia.org/wiki/Hohokam_Stadium" TargetMode="External"/><Relationship Id="rId1428" Type="http://schemas.openxmlformats.org/officeDocument/2006/relationships/hyperlink" Target="https://en.wikipedia.org/wiki/Mesa,_Arizona" TargetMode="External"/><Relationship Id="rId1429" Type="http://schemas.openxmlformats.org/officeDocument/2006/relationships/hyperlink" Target="https://en.wikipedia.org/wiki/Arizona" TargetMode="External"/><Relationship Id="rId1420" Type="http://schemas.openxmlformats.org/officeDocument/2006/relationships/hyperlink" Target="https://en.wikipedia.org/wiki/Thibodaux,_Louisiana" TargetMode="External"/><Relationship Id="rId1421" Type="http://schemas.openxmlformats.org/officeDocument/2006/relationships/hyperlink" Target="https://en.wikipedia.org/wiki/Louisiana" TargetMode="External"/><Relationship Id="rId1059" Type="http://schemas.openxmlformats.org/officeDocument/2006/relationships/hyperlink" Target="https://en.wikipedia.org/wiki/Murray_State_Racers_football" TargetMode="External"/><Relationship Id="rId228" Type="http://schemas.openxmlformats.org/officeDocument/2006/relationships/hyperlink" Target="https://en.wikipedia.org/wiki/BYU_Cougars_football" TargetMode="External"/><Relationship Id="rId227" Type="http://schemas.openxmlformats.org/officeDocument/2006/relationships/hyperlink" Target="https://en.wikipedia.org/wiki/Utah" TargetMode="External"/><Relationship Id="rId226" Type="http://schemas.openxmlformats.org/officeDocument/2006/relationships/hyperlink" Target="https://en.wikipedia.org/wiki/Provo,_Utah" TargetMode="External"/><Relationship Id="rId225" Type="http://schemas.openxmlformats.org/officeDocument/2006/relationships/hyperlink" Target="https://en.wikipedia.org/wiki/LaVell_Edwards_Stadium" TargetMode="External"/><Relationship Id="rId229" Type="http://schemas.openxmlformats.org/officeDocument/2006/relationships/hyperlink" Target="https://en.wikipedia.org/wiki/State_Farm_Stadium" TargetMode="External"/><Relationship Id="rId1050" Type="http://schemas.openxmlformats.org/officeDocument/2006/relationships/hyperlink" Target="https://en.wikipedia.org/wiki/California" TargetMode="External"/><Relationship Id="rId220" Type="http://schemas.openxmlformats.org/officeDocument/2006/relationships/hyperlink" Target="https://en.wikipedia.org/wiki/Ole_Miss_Rebels_football" TargetMode="External"/><Relationship Id="rId1051" Type="http://schemas.openxmlformats.org/officeDocument/2006/relationships/hyperlink" Target="https://en.wikipedia.org/wiki/UC_Santa_Barbara_Gauchos_men%27s_soccer" TargetMode="External"/><Relationship Id="rId1052" Type="http://schemas.openxmlformats.org/officeDocument/2006/relationships/hyperlink" Target="https://en.wikipedia.org/wiki/Clarence_T._C._Ching_Athletics_Complex" TargetMode="External"/><Relationship Id="rId1053" Type="http://schemas.openxmlformats.org/officeDocument/2006/relationships/hyperlink" Target="https://en.wikipedia.org/wiki/Honolulu" TargetMode="External"/><Relationship Id="rId1054" Type="http://schemas.openxmlformats.org/officeDocument/2006/relationships/hyperlink" Target="https://en.wikipedia.org/wiki/Hawaii" TargetMode="External"/><Relationship Id="rId224" Type="http://schemas.openxmlformats.org/officeDocument/2006/relationships/hyperlink" Target="https://en.wikipedia.org/wiki/UTSA_Roadrunners_football" TargetMode="External"/><Relationship Id="rId1055" Type="http://schemas.openxmlformats.org/officeDocument/2006/relationships/hyperlink" Target="https://en.wikipedia.org/wiki/Hawaii_Rainbow_Warriors_football" TargetMode="External"/><Relationship Id="rId223" Type="http://schemas.openxmlformats.org/officeDocument/2006/relationships/hyperlink" Target="https://en.wikipedia.org/wiki/Texas" TargetMode="External"/><Relationship Id="rId1056" Type="http://schemas.openxmlformats.org/officeDocument/2006/relationships/hyperlink" Target="https://en.wikipedia.org/wiki/Roy_Stewart_Stadium" TargetMode="External"/><Relationship Id="rId222" Type="http://schemas.openxmlformats.org/officeDocument/2006/relationships/hyperlink" Target="https://en.wikipedia.org/wiki/San_Antonio" TargetMode="External"/><Relationship Id="rId1057" Type="http://schemas.openxmlformats.org/officeDocument/2006/relationships/hyperlink" Target="https://en.wikipedia.org/wiki/Murray,_Kentucky" TargetMode="External"/><Relationship Id="rId221" Type="http://schemas.openxmlformats.org/officeDocument/2006/relationships/hyperlink" Target="https://en.wikipedia.org/wiki/Alamodome" TargetMode="External"/><Relationship Id="rId1058" Type="http://schemas.openxmlformats.org/officeDocument/2006/relationships/hyperlink" Target="https://en.wikipedia.org/wiki/Kentucky" TargetMode="External"/><Relationship Id="rId1048" Type="http://schemas.openxmlformats.org/officeDocument/2006/relationships/hyperlink" Target="https://en.wikipedia.org/wiki/Harder_Stadium" TargetMode="External"/><Relationship Id="rId1049" Type="http://schemas.openxmlformats.org/officeDocument/2006/relationships/hyperlink" Target="https://en.wikipedia.org/wiki/Santa_Barbara,_California" TargetMode="External"/><Relationship Id="rId217" Type="http://schemas.openxmlformats.org/officeDocument/2006/relationships/hyperlink" Target="https://en.wikipedia.org/wiki/Vaught%E2%80%93Hemingway_Stadium" TargetMode="External"/><Relationship Id="rId216" Type="http://schemas.openxmlformats.org/officeDocument/2006/relationships/hyperlink" Target="https://en.wikipedia.org/wiki/Las_Vegas_Raiders" TargetMode="External"/><Relationship Id="rId215" Type="http://schemas.openxmlformats.org/officeDocument/2006/relationships/hyperlink" Target="https://en.wikipedia.org/wiki/Nevada" TargetMode="External"/><Relationship Id="rId699" Type="http://schemas.openxmlformats.org/officeDocument/2006/relationships/hyperlink" Target="https://en.wikipedia.org/wiki/Boca_Raton,_Florida" TargetMode="External"/><Relationship Id="rId214" Type="http://schemas.openxmlformats.org/officeDocument/2006/relationships/hyperlink" Target="https://en.wikipedia.org/wiki/Las_Vegas" TargetMode="External"/><Relationship Id="rId698" Type="http://schemas.openxmlformats.org/officeDocument/2006/relationships/hyperlink" Target="https://en.wikipedia.org/wiki/FAU_Stadium" TargetMode="External"/><Relationship Id="rId219" Type="http://schemas.openxmlformats.org/officeDocument/2006/relationships/hyperlink" Target="https://en.wikipedia.org/wiki/Mississippi" TargetMode="External"/><Relationship Id="rId218" Type="http://schemas.openxmlformats.org/officeDocument/2006/relationships/hyperlink" Target="https://en.wikipedia.org/wiki/Oxford,_Mississippi" TargetMode="External"/><Relationship Id="rId693" Type="http://schemas.openxmlformats.org/officeDocument/2006/relationships/hyperlink" Target="https://en.wikipedia.org/wiki/Tulane_Green_Wave_Football" TargetMode="External"/><Relationship Id="rId1040" Type="http://schemas.openxmlformats.org/officeDocument/2006/relationships/hyperlink" Target="https://en.wikipedia.org/wiki/Robert_K._Kraft_Field_at_Lawrence_A._Wien_Stadium" TargetMode="External"/><Relationship Id="rId692" Type="http://schemas.openxmlformats.org/officeDocument/2006/relationships/hyperlink" Target="https://en.wikipedia.org/wiki/Louisiana" TargetMode="External"/><Relationship Id="rId1041" Type="http://schemas.openxmlformats.org/officeDocument/2006/relationships/hyperlink" Target="https://en.wikipedia.org/wiki/New_York_City" TargetMode="External"/><Relationship Id="rId691" Type="http://schemas.openxmlformats.org/officeDocument/2006/relationships/hyperlink" Target="https://en.wikipedia.org/wiki/New_Orleans" TargetMode="External"/><Relationship Id="rId1042" Type="http://schemas.openxmlformats.org/officeDocument/2006/relationships/hyperlink" Target="https://en.wikipedia.org/wiki/New_York_(state)" TargetMode="External"/><Relationship Id="rId690" Type="http://schemas.openxmlformats.org/officeDocument/2006/relationships/hyperlink" Target="https://en.wikipedia.org/wiki/Benson_Field_at_Yulman_Stadium" TargetMode="External"/><Relationship Id="rId1043" Type="http://schemas.openxmlformats.org/officeDocument/2006/relationships/hyperlink" Target="https://en.wikipedia.org/wiki/Columbia_Lions_football" TargetMode="External"/><Relationship Id="rId213" Type="http://schemas.openxmlformats.org/officeDocument/2006/relationships/hyperlink" Target="https://en.wikipedia.org/wiki/Allegiant_Stadium" TargetMode="External"/><Relationship Id="rId697" Type="http://schemas.openxmlformats.org/officeDocument/2006/relationships/hyperlink" Target="https://en.wikipedia.org/wiki/Nashville_SC" TargetMode="External"/><Relationship Id="rId1044" Type="http://schemas.openxmlformats.org/officeDocument/2006/relationships/hyperlink" Target="https://en.wikipedia.org/wiki/Warren_McGuirk_Alumni_Stadium" TargetMode="External"/><Relationship Id="rId212" Type="http://schemas.openxmlformats.org/officeDocument/2006/relationships/hyperlink" Target="https://en.wikipedia.org/wiki/Detroit_Lions" TargetMode="External"/><Relationship Id="rId696" Type="http://schemas.openxmlformats.org/officeDocument/2006/relationships/hyperlink" Target="https://en.wikipedia.org/wiki/Tennessee" TargetMode="External"/><Relationship Id="rId1045" Type="http://schemas.openxmlformats.org/officeDocument/2006/relationships/hyperlink" Target="https://en.wikipedia.org/wiki/Hadley,_Massachusetts" TargetMode="External"/><Relationship Id="rId211" Type="http://schemas.openxmlformats.org/officeDocument/2006/relationships/hyperlink" Target="https://en.wikipedia.org/wiki/Michigan" TargetMode="External"/><Relationship Id="rId695" Type="http://schemas.openxmlformats.org/officeDocument/2006/relationships/hyperlink" Target="https://en.wikipedia.org/wiki/Nashville,_Tennessee" TargetMode="External"/><Relationship Id="rId1046" Type="http://schemas.openxmlformats.org/officeDocument/2006/relationships/hyperlink" Target="https://en.wikipedia.org/wiki/Massachusetts" TargetMode="External"/><Relationship Id="rId210" Type="http://schemas.openxmlformats.org/officeDocument/2006/relationships/hyperlink" Target="https://en.wikipedia.org/wiki/Detroit" TargetMode="External"/><Relationship Id="rId694" Type="http://schemas.openxmlformats.org/officeDocument/2006/relationships/hyperlink" Target="https://en.wikipedia.org/wiki/Geodis_Park" TargetMode="External"/><Relationship Id="rId1047" Type="http://schemas.openxmlformats.org/officeDocument/2006/relationships/hyperlink" Target="https://en.wikipedia.org/wiki/UMass_Minutemen_football" TargetMode="External"/><Relationship Id="rId249" Type="http://schemas.openxmlformats.org/officeDocument/2006/relationships/hyperlink" Target="https://en.wikipedia.org/wiki/Soldier_Field" TargetMode="External"/><Relationship Id="rId248" Type="http://schemas.openxmlformats.org/officeDocument/2006/relationships/hyperlink" Target="https://en.wikipedia.org/wiki/Missouri_Tigers_football" TargetMode="External"/><Relationship Id="rId247" Type="http://schemas.openxmlformats.org/officeDocument/2006/relationships/hyperlink" Target="https://en.wikipedia.org/wiki/Missouri" TargetMode="External"/><Relationship Id="rId1070" Type="http://schemas.openxmlformats.org/officeDocument/2006/relationships/hyperlink" Target="https://en.wikipedia.org/wiki/Tennessee" TargetMode="External"/><Relationship Id="rId1071" Type="http://schemas.openxmlformats.org/officeDocument/2006/relationships/hyperlink" Target="https://en.wikipedia.org/wiki/Tennessee_Tech_Golden_Eagles_football" TargetMode="External"/><Relationship Id="rId1072" Type="http://schemas.openxmlformats.org/officeDocument/2006/relationships/hyperlink" Target="https://en.wikipedia.org/wiki/Hanson_Field" TargetMode="External"/><Relationship Id="rId242" Type="http://schemas.openxmlformats.org/officeDocument/2006/relationships/hyperlink" Target="https://en.wikipedia.org/wiki/Landover,_Maryland" TargetMode="External"/><Relationship Id="rId1073" Type="http://schemas.openxmlformats.org/officeDocument/2006/relationships/hyperlink" Target="https://en.wikipedia.org/wiki/Macomb,_Illinois" TargetMode="External"/><Relationship Id="rId241" Type="http://schemas.openxmlformats.org/officeDocument/2006/relationships/hyperlink" Target="https://en.wikipedia.org/wiki/Northwest_Stadium" TargetMode="External"/><Relationship Id="rId1074" Type="http://schemas.openxmlformats.org/officeDocument/2006/relationships/hyperlink" Target="https://en.wikipedia.org/wiki/Illinois" TargetMode="External"/><Relationship Id="rId240" Type="http://schemas.openxmlformats.org/officeDocument/2006/relationships/hyperlink" Target="https://en.wikipedia.org/wiki/Indianapolis_Colts" TargetMode="External"/><Relationship Id="rId1075" Type="http://schemas.openxmlformats.org/officeDocument/2006/relationships/hyperlink" Target="https://en.wikipedia.org/wiki/Western_Illinois_Leathernecks_football" TargetMode="External"/><Relationship Id="rId1076" Type="http://schemas.openxmlformats.org/officeDocument/2006/relationships/hyperlink" Target="https://en.wikipedia.org/wiki/UNI-Dome" TargetMode="External"/><Relationship Id="rId246" Type="http://schemas.openxmlformats.org/officeDocument/2006/relationships/hyperlink" Target="https://en.wikipedia.org/wiki/Columbia,_Missouri" TargetMode="External"/><Relationship Id="rId1077" Type="http://schemas.openxmlformats.org/officeDocument/2006/relationships/hyperlink" Target="https://en.wikipedia.org/wiki/Cedar_Falls,_Iowa" TargetMode="External"/><Relationship Id="rId245" Type="http://schemas.openxmlformats.org/officeDocument/2006/relationships/hyperlink" Target="https://en.wikipedia.org/wiki/Faurot_Field" TargetMode="External"/><Relationship Id="rId1078" Type="http://schemas.openxmlformats.org/officeDocument/2006/relationships/hyperlink" Target="https://en.wikipedia.org/wiki/Iowa" TargetMode="External"/><Relationship Id="rId244" Type="http://schemas.openxmlformats.org/officeDocument/2006/relationships/hyperlink" Target="https://en.wikipedia.org/wiki/Washington_Commanders" TargetMode="External"/><Relationship Id="rId1079" Type="http://schemas.openxmlformats.org/officeDocument/2006/relationships/hyperlink" Target="https://en.wikipedia.org/wiki/Northern_Iowa_Panthers_football" TargetMode="External"/><Relationship Id="rId243" Type="http://schemas.openxmlformats.org/officeDocument/2006/relationships/hyperlink" Target="https://en.wikipedia.org/wiki/Maryland" TargetMode="External"/><Relationship Id="rId239" Type="http://schemas.openxmlformats.org/officeDocument/2006/relationships/hyperlink" Target="https://en.wikipedia.org/wiki/Indiana" TargetMode="External"/><Relationship Id="rId238" Type="http://schemas.openxmlformats.org/officeDocument/2006/relationships/hyperlink" Target="https://en.wikipedia.org/wiki/Indianapolis" TargetMode="External"/><Relationship Id="rId237" Type="http://schemas.openxmlformats.org/officeDocument/2006/relationships/hyperlink" Target="https://en.wikipedia.org/wiki/Lucas_Oil_Stadium" TargetMode="External"/><Relationship Id="rId236" Type="http://schemas.openxmlformats.org/officeDocument/2006/relationships/hyperlink" Target="https://en.wikipedia.org/wiki/California_Golden_Bears_football" TargetMode="External"/><Relationship Id="rId1060" Type="http://schemas.openxmlformats.org/officeDocument/2006/relationships/hyperlink" Target="https://en.wikipedia.org/wiki/Sahlen_Field" TargetMode="External"/><Relationship Id="rId1061" Type="http://schemas.openxmlformats.org/officeDocument/2006/relationships/hyperlink" Target="https://en.wikipedia.org/wiki/Buffalo,_New_York" TargetMode="External"/><Relationship Id="rId231" Type="http://schemas.openxmlformats.org/officeDocument/2006/relationships/hyperlink" Target="https://en.wikipedia.org/wiki/Arizona" TargetMode="External"/><Relationship Id="rId1062" Type="http://schemas.openxmlformats.org/officeDocument/2006/relationships/hyperlink" Target="https://en.wikipedia.org/wiki/New_York_(state)" TargetMode="External"/><Relationship Id="rId230" Type="http://schemas.openxmlformats.org/officeDocument/2006/relationships/hyperlink" Target="https://en.wikipedia.org/wiki/Glendale,_Arizona" TargetMode="External"/><Relationship Id="rId1063" Type="http://schemas.openxmlformats.org/officeDocument/2006/relationships/hyperlink" Target="https://en.wikipedia.org/wiki/Buffalo_Bisons" TargetMode="External"/><Relationship Id="rId1064" Type="http://schemas.openxmlformats.org/officeDocument/2006/relationships/hyperlink" Target="https://en.wikipedia.org/wiki/Paul_Brown_Tiger_Stadium" TargetMode="External"/><Relationship Id="rId1065" Type="http://schemas.openxmlformats.org/officeDocument/2006/relationships/hyperlink" Target="https://en.wikipedia.org/wiki/Massillon,_Ohio" TargetMode="External"/><Relationship Id="rId235" Type="http://schemas.openxmlformats.org/officeDocument/2006/relationships/hyperlink" Target="https://en.wikipedia.org/wiki/California" TargetMode="External"/><Relationship Id="rId1066" Type="http://schemas.openxmlformats.org/officeDocument/2006/relationships/hyperlink" Target="https://en.wikipedia.org/wiki/Ohio" TargetMode="External"/><Relationship Id="rId234" Type="http://schemas.openxmlformats.org/officeDocument/2006/relationships/hyperlink" Target="https://en.wikipedia.org/wiki/Berkeley,_California" TargetMode="External"/><Relationship Id="rId1067" Type="http://schemas.openxmlformats.org/officeDocument/2006/relationships/hyperlink" Target="https://en.wikipedia.org/wiki/Massillon_Washington_High_School" TargetMode="External"/><Relationship Id="rId233" Type="http://schemas.openxmlformats.org/officeDocument/2006/relationships/hyperlink" Target="https://en.wikipedia.org/wiki/California_Memorial_Stadium" TargetMode="External"/><Relationship Id="rId1068" Type="http://schemas.openxmlformats.org/officeDocument/2006/relationships/hyperlink" Target="https://en.wikipedia.org/wiki/Tucker_Stadium" TargetMode="External"/><Relationship Id="rId232" Type="http://schemas.openxmlformats.org/officeDocument/2006/relationships/hyperlink" Target="https://en.wikipedia.org/wiki/Arizona_Cardinals" TargetMode="External"/><Relationship Id="rId1069" Type="http://schemas.openxmlformats.org/officeDocument/2006/relationships/hyperlink" Target="https://en.wikipedia.org/wiki/Cookeville,_Tennessee" TargetMode="External"/><Relationship Id="rId1015" Type="http://schemas.openxmlformats.org/officeDocument/2006/relationships/hyperlink" Target="https://en.wikipedia.org/wiki/Puerto_Rico" TargetMode="External"/><Relationship Id="rId1499" Type="http://schemas.openxmlformats.org/officeDocument/2006/relationships/hyperlink" Target="https://en.wikipedia.org/wiki/Howard_Wood_Field" TargetMode="External"/><Relationship Id="rId1016" Type="http://schemas.openxmlformats.org/officeDocument/2006/relationships/hyperlink" Target="https://en.wikipedia.org/wiki/Cangrejeros_de_Santurce_(baseball)" TargetMode="External"/><Relationship Id="rId1017" Type="http://schemas.openxmlformats.org/officeDocument/2006/relationships/hyperlink" Target="https://en.wikipedia.org/wiki/Dick%27s_Sporting_Goods_Park" TargetMode="External"/><Relationship Id="rId1018" Type="http://schemas.openxmlformats.org/officeDocument/2006/relationships/hyperlink" Target="https://en.wikipedia.org/wiki/Commerce_City,_Colorado" TargetMode="External"/><Relationship Id="rId1019" Type="http://schemas.openxmlformats.org/officeDocument/2006/relationships/hyperlink" Target="https://en.wikipedia.org/wiki/Colorado" TargetMode="External"/><Relationship Id="rId668" Type="http://schemas.openxmlformats.org/officeDocument/2006/relationships/hyperlink" Target="https://en.wikipedia.org/wiki/Wyoming" TargetMode="External"/><Relationship Id="rId667" Type="http://schemas.openxmlformats.org/officeDocument/2006/relationships/hyperlink" Target="https://en.wikipedia.org/wiki/Laramie,_Wyoming" TargetMode="External"/><Relationship Id="rId666" Type="http://schemas.openxmlformats.org/officeDocument/2006/relationships/hyperlink" Target="https://en.wikipedia.org/wiki/War_Memorial_Stadium_(Wyoming)" TargetMode="External"/><Relationship Id="rId665" Type="http://schemas.openxmlformats.org/officeDocument/2006/relationships/hyperlink" Target="https://en.wikipedia.org/wiki/Eastern_Michigan_Eagles_football" TargetMode="External"/><Relationship Id="rId669" Type="http://schemas.openxmlformats.org/officeDocument/2006/relationships/hyperlink" Target="https://en.wikipedia.org/wiki/Wyoming_Cowboys_football" TargetMode="External"/><Relationship Id="rId1490" Type="http://schemas.openxmlformats.org/officeDocument/2006/relationships/hyperlink" Target="https://en.wikipedia.org/wiki/Austin_Peay_Governors_football" TargetMode="External"/><Relationship Id="rId660" Type="http://schemas.openxmlformats.org/officeDocument/2006/relationships/hyperlink" Target="https://en.wikipedia.org/wiki/Michigan" TargetMode="External"/><Relationship Id="rId1491" Type="http://schemas.openxmlformats.org/officeDocument/2006/relationships/hyperlink" Target="https://en.wikipedia.org/wiki/Alfond_Stadium_(University_of_Maine)" TargetMode="External"/><Relationship Id="rId1492" Type="http://schemas.openxmlformats.org/officeDocument/2006/relationships/hyperlink" Target="https://en.wikipedia.org/wiki/Orono,_Maine" TargetMode="External"/><Relationship Id="rId1493" Type="http://schemas.openxmlformats.org/officeDocument/2006/relationships/hyperlink" Target="https://en.wikipedia.org/wiki/Maine" TargetMode="External"/><Relationship Id="rId1010" Type="http://schemas.openxmlformats.org/officeDocument/2006/relationships/hyperlink" Target="https://en.wikipedia.org/wiki/Kansas_City,_Kansas" TargetMode="External"/><Relationship Id="rId1494" Type="http://schemas.openxmlformats.org/officeDocument/2006/relationships/hyperlink" Target="https://en.wikipedia.org/wiki/Maine_Black_Bears_football" TargetMode="External"/><Relationship Id="rId664" Type="http://schemas.openxmlformats.org/officeDocument/2006/relationships/hyperlink" Target="https://en.wikipedia.org/wiki/Michigan" TargetMode="External"/><Relationship Id="rId1011" Type="http://schemas.openxmlformats.org/officeDocument/2006/relationships/hyperlink" Target="https://en.wikipedia.org/wiki/Kansas" TargetMode="External"/><Relationship Id="rId1495" Type="http://schemas.openxmlformats.org/officeDocument/2006/relationships/hyperlink" Target="https://en.wikipedia.org/wiki/FirstEnergy_Stadium_(Reading,_Pennsylvania)" TargetMode="External"/><Relationship Id="rId663" Type="http://schemas.openxmlformats.org/officeDocument/2006/relationships/hyperlink" Target="https://en.wikipedia.org/wiki/Ypsilanti,_Michigan" TargetMode="External"/><Relationship Id="rId1012" Type="http://schemas.openxmlformats.org/officeDocument/2006/relationships/hyperlink" Target="https://en.wikipedia.org/wiki/Sporting_Kansas_City" TargetMode="External"/><Relationship Id="rId1496" Type="http://schemas.openxmlformats.org/officeDocument/2006/relationships/hyperlink" Target="https://en.wikipedia.org/wiki/Reading,_Pennsylvania" TargetMode="External"/><Relationship Id="rId662" Type="http://schemas.openxmlformats.org/officeDocument/2006/relationships/hyperlink" Target="https://en.wikipedia.org/wiki/Rynearson_Stadium" TargetMode="External"/><Relationship Id="rId1013" Type="http://schemas.openxmlformats.org/officeDocument/2006/relationships/hyperlink" Target="https://en.wikipedia.org/wiki/Hiram_Bithorn_Stadium" TargetMode="External"/><Relationship Id="rId1497" Type="http://schemas.openxmlformats.org/officeDocument/2006/relationships/hyperlink" Target="https://en.wikipedia.org/wiki/Pennsylvania" TargetMode="External"/><Relationship Id="rId661" Type="http://schemas.openxmlformats.org/officeDocument/2006/relationships/hyperlink" Target="https://en.wikipedia.org/wiki/Western_Michigan_Broncos_football" TargetMode="External"/><Relationship Id="rId1014" Type="http://schemas.openxmlformats.org/officeDocument/2006/relationships/hyperlink" Target="https://en.wikipedia.org/wiki/San_Juan,_Puerto_Rico" TargetMode="External"/><Relationship Id="rId1498" Type="http://schemas.openxmlformats.org/officeDocument/2006/relationships/hyperlink" Target="https://en.wikipedia.org/wiki/Reading_Fightin_Phils" TargetMode="External"/><Relationship Id="rId1004" Type="http://schemas.openxmlformats.org/officeDocument/2006/relationships/hyperlink" Target="https://en.wikipedia.org/wiki/Philadelphia_Union" TargetMode="External"/><Relationship Id="rId1488" Type="http://schemas.openxmlformats.org/officeDocument/2006/relationships/hyperlink" Target="https://en.wikipedia.org/wiki/Clarksville,_Tennessee" TargetMode="External"/><Relationship Id="rId1005" Type="http://schemas.openxmlformats.org/officeDocument/2006/relationships/hyperlink" Target="https://en.wikipedia.org/wiki/University_of_Charleston_Stadium_at_Laidley_Field" TargetMode="External"/><Relationship Id="rId1489" Type="http://schemas.openxmlformats.org/officeDocument/2006/relationships/hyperlink" Target="https://en.wikipedia.org/wiki/Tennessee" TargetMode="External"/><Relationship Id="rId1006" Type="http://schemas.openxmlformats.org/officeDocument/2006/relationships/hyperlink" Target="https://en.wikipedia.org/wiki/Charleston,_West_Virginia" TargetMode="External"/><Relationship Id="rId1007" Type="http://schemas.openxmlformats.org/officeDocument/2006/relationships/hyperlink" Target="https://en.wikipedia.org/wiki/West_Virginia" TargetMode="External"/><Relationship Id="rId1008" Type="http://schemas.openxmlformats.org/officeDocument/2006/relationships/hyperlink" Target="https://en.wikipedia.org/wiki/Charleston_Golden_Eagles" TargetMode="External"/><Relationship Id="rId1009" Type="http://schemas.openxmlformats.org/officeDocument/2006/relationships/hyperlink" Target="https://en.wikipedia.org/wiki/Children%27s_Mercy_Park" TargetMode="External"/><Relationship Id="rId657" Type="http://schemas.openxmlformats.org/officeDocument/2006/relationships/hyperlink" Target="https://en.wikipedia.org/wiki/Central_Michigan_Chippewas_football" TargetMode="External"/><Relationship Id="rId656" Type="http://schemas.openxmlformats.org/officeDocument/2006/relationships/hyperlink" Target="https://en.wikipedia.org/wiki/Michigan" TargetMode="External"/><Relationship Id="rId655" Type="http://schemas.openxmlformats.org/officeDocument/2006/relationships/hyperlink" Target="https://en.wikipedia.org/wiki/Mount_Pleasant,_Michigan" TargetMode="External"/><Relationship Id="rId654" Type="http://schemas.openxmlformats.org/officeDocument/2006/relationships/hyperlink" Target="https://en.wikipedia.org/wiki/Kelly/Shorts_Stadium" TargetMode="External"/><Relationship Id="rId659" Type="http://schemas.openxmlformats.org/officeDocument/2006/relationships/hyperlink" Target="https://en.wikipedia.org/wiki/Kalamazoo,_Michigan" TargetMode="External"/><Relationship Id="rId658" Type="http://schemas.openxmlformats.org/officeDocument/2006/relationships/hyperlink" Target="https://en.wikipedia.org/wiki/Waldo_Stadium" TargetMode="External"/><Relationship Id="rId1480" Type="http://schemas.openxmlformats.org/officeDocument/2006/relationships/hyperlink" Target="https://en.wikipedia.org/wiki/Baltimore" TargetMode="External"/><Relationship Id="rId1481" Type="http://schemas.openxmlformats.org/officeDocument/2006/relationships/hyperlink" Target="https://en.wikipedia.org/wiki/Maryland" TargetMode="External"/><Relationship Id="rId1482" Type="http://schemas.openxmlformats.org/officeDocument/2006/relationships/hyperlink" Target="https://en.wikipedia.org/wiki/Morgan_State_Bears_football" TargetMode="External"/><Relationship Id="rId1483" Type="http://schemas.openxmlformats.org/officeDocument/2006/relationships/hyperlink" Target="https://en.wikipedia.org/wiki/Estes_Stadium" TargetMode="External"/><Relationship Id="rId653" Type="http://schemas.openxmlformats.org/officeDocument/2006/relationships/hyperlink" Target="https://en.wikipedia.org/wiki/Harvard_Crimson_football" TargetMode="External"/><Relationship Id="rId1000" Type="http://schemas.openxmlformats.org/officeDocument/2006/relationships/hyperlink" Target="https://en.wikipedia.org/wiki/North_Dakota_State_Bison_football" TargetMode="External"/><Relationship Id="rId1484" Type="http://schemas.openxmlformats.org/officeDocument/2006/relationships/hyperlink" Target="https://en.wikipedia.org/wiki/Conway,_Arkansas" TargetMode="External"/><Relationship Id="rId652" Type="http://schemas.openxmlformats.org/officeDocument/2006/relationships/hyperlink" Target="https://en.wikipedia.org/wiki/Massachusetts" TargetMode="External"/><Relationship Id="rId1001" Type="http://schemas.openxmlformats.org/officeDocument/2006/relationships/hyperlink" Target="https://en.wikipedia.org/wiki/Subaru_Park" TargetMode="External"/><Relationship Id="rId1485" Type="http://schemas.openxmlformats.org/officeDocument/2006/relationships/hyperlink" Target="https://en.wikipedia.org/wiki/Arkansas" TargetMode="External"/><Relationship Id="rId651" Type="http://schemas.openxmlformats.org/officeDocument/2006/relationships/hyperlink" Target="https://en.wikipedia.org/wiki/Allston,_Massachusetts" TargetMode="External"/><Relationship Id="rId1002" Type="http://schemas.openxmlformats.org/officeDocument/2006/relationships/hyperlink" Target="https://en.wikipedia.org/wiki/Chester,_Pennsylvania" TargetMode="External"/><Relationship Id="rId1486" Type="http://schemas.openxmlformats.org/officeDocument/2006/relationships/hyperlink" Target="https://en.wikipedia.org/wiki/Central_Arkansas_Bears_football" TargetMode="External"/><Relationship Id="rId650" Type="http://schemas.openxmlformats.org/officeDocument/2006/relationships/hyperlink" Target="https://en.wikipedia.org/wiki/Harvard_Stadium" TargetMode="External"/><Relationship Id="rId1003" Type="http://schemas.openxmlformats.org/officeDocument/2006/relationships/hyperlink" Target="https://en.wikipedia.org/wiki/Pennsylvania" TargetMode="External"/><Relationship Id="rId1487" Type="http://schemas.openxmlformats.org/officeDocument/2006/relationships/hyperlink" Target="https://en.wikipedia.org/wiki/Fortera_Stadium" TargetMode="External"/><Relationship Id="rId1037" Type="http://schemas.openxmlformats.org/officeDocument/2006/relationships/hyperlink" Target="https://en.wikipedia.org/wiki/Ogden,_Utah" TargetMode="External"/><Relationship Id="rId1038" Type="http://schemas.openxmlformats.org/officeDocument/2006/relationships/hyperlink" Target="https://en.wikipedia.org/wiki/Utah" TargetMode="External"/><Relationship Id="rId1039" Type="http://schemas.openxmlformats.org/officeDocument/2006/relationships/hyperlink" Target="https://en.wikipedia.org/wiki/Weber_State_Wildcats_football" TargetMode="External"/><Relationship Id="rId206" Type="http://schemas.openxmlformats.org/officeDocument/2006/relationships/hyperlink" Target="https://en.wikipedia.org/wiki/Cincinnati" TargetMode="External"/><Relationship Id="rId205" Type="http://schemas.openxmlformats.org/officeDocument/2006/relationships/hyperlink" Target="https://en.wikipedia.org/wiki/Paycor_Stadium" TargetMode="External"/><Relationship Id="rId689" Type="http://schemas.openxmlformats.org/officeDocument/2006/relationships/hyperlink" Target="https://en.wikipedia.org/wiki/Akron_Zips_football" TargetMode="External"/><Relationship Id="rId204" Type="http://schemas.openxmlformats.org/officeDocument/2006/relationships/hyperlink" Target="https://en.wikipedia.org/wiki/Virginia_Tech_Hokies_football" TargetMode="External"/><Relationship Id="rId688" Type="http://schemas.openxmlformats.org/officeDocument/2006/relationships/hyperlink" Target="https://en.wikipedia.org/wiki/Ohio" TargetMode="External"/><Relationship Id="rId203" Type="http://schemas.openxmlformats.org/officeDocument/2006/relationships/hyperlink" Target="https://en.wikipedia.org/wiki/Virginia" TargetMode="External"/><Relationship Id="rId687" Type="http://schemas.openxmlformats.org/officeDocument/2006/relationships/hyperlink" Target="https://en.wikipedia.org/wiki/Akron,_Ohio" TargetMode="External"/><Relationship Id="rId209" Type="http://schemas.openxmlformats.org/officeDocument/2006/relationships/hyperlink" Target="https://en.wikipedia.org/wiki/Ford_Field" TargetMode="External"/><Relationship Id="rId208" Type="http://schemas.openxmlformats.org/officeDocument/2006/relationships/hyperlink" Target="https://en.wikipedia.org/wiki/Cincinnati_Bengals" TargetMode="External"/><Relationship Id="rId207" Type="http://schemas.openxmlformats.org/officeDocument/2006/relationships/hyperlink" Target="https://en.wikipedia.org/wiki/Ohio" TargetMode="External"/><Relationship Id="rId682" Type="http://schemas.openxmlformats.org/officeDocument/2006/relationships/hyperlink" Target="https://en.wikipedia.org/wiki/William_%22Dick%22_Price_Stadium" TargetMode="External"/><Relationship Id="rId681" Type="http://schemas.openxmlformats.org/officeDocument/2006/relationships/hyperlink" Target="https://en.wikipedia.org/wiki/Appalachian_State_Mountaineers_football" TargetMode="External"/><Relationship Id="rId1030" Type="http://schemas.openxmlformats.org/officeDocument/2006/relationships/hyperlink" Target="https://en.wikipedia.org/wiki/Louisiana" TargetMode="External"/><Relationship Id="rId680" Type="http://schemas.openxmlformats.org/officeDocument/2006/relationships/hyperlink" Target="https://en.wikipedia.org/wiki/North_Carolina" TargetMode="External"/><Relationship Id="rId1031" Type="http://schemas.openxmlformats.org/officeDocument/2006/relationships/hyperlink" Target="https://en.wikipedia.org/wiki/McNeese_Cowboys_football" TargetMode="External"/><Relationship Id="rId1032" Type="http://schemas.openxmlformats.org/officeDocument/2006/relationships/hyperlink" Target="https://en.wikipedia.org/wiki/Robert_W._Plaster_Stadium" TargetMode="External"/><Relationship Id="rId202" Type="http://schemas.openxmlformats.org/officeDocument/2006/relationships/hyperlink" Target="https://en.wikipedia.org/wiki/Blacksburg,_Virginia" TargetMode="External"/><Relationship Id="rId686" Type="http://schemas.openxmlformats.org/officeDocument/2006/relationships/hyperlink" Target="https://en.wikipedia.org/wiki/InfoCision_Stadium_%E2%80%93_Summa_Field" TargetMode="External"/><Relationship Id="rId1033" Type="http://schemas.openxmlformats.org/officeDocument/2006/relationships/hyperlink" Target="https://en.wikipedia.org/wiki/Springfield,_Missouri" TargetMode="External"/><Relationship Id="rId201" Type="http://schemas.openxmlformats.org/officeDocument/2006/relationships/hyperlink" Target="https://en.wikipedia.org/wiki/Lane_Stadium" TargetMode="External"/><Relationship Id="rId685" Type="http://schemas.openxmlformats.org/officeDocument/2006/relationships/hyperlink" Target="https://en.wikipedia.org/wiki/Norfolk_State_Spartans_football" TargetMode="External"/><Relationship Id="rId1034" Type="http://schemas.openxmlformats.org/officeDocument/2006/relationships/hyperlink" Target="https://en.wikipedia.org/wiki/Missouri" TargetMode="External"/><Relationship Id="rId200" Type="http://schemas.openxmlformats.org/officeDocument/2006/relationships/hyperlink" Target="https://en.wikipedia.org/wiki/New_England_Patriots" TargetMode="External"/><Relationship Id="rId684" Type="http://schemas.openxmlformats.org/officeDocument/2006/relationships/hyperlink" Target="https://en.wikipedia.org/wiki/Virginia" TargetMode="External"/><Relationship Id="rId1035" Type="http://schemas.openxmlformats.org/officeDocument/2006/relationships/hyperlink" Target="https://en.wikipedia.org/wiki/Missouri_State_Bears_football" TargetMode="External"/><Relationship Id="rId683" Type="http://schemas.openxmlformats.org/officeDocument/2006/relationships/hyperlink" Target="https://en.wikipedia.org/wiki/Norfolk,_Virginia" TargetMode="External"/><Relationship Id="rId1036" Type="http://schemas.openxmlformats.org/officeDocument/2006/relationships/hyperlink" Target="https://en.wikipedia.org/wiki/Stewart_Stadium" TargetMode="External"/><Relationship Id="rId1026" Type="http://schemas.openxmlformats.org/officeDocument/2006/relationships/hyperlink" Target="https://en.wikipedia.org/wiki/Odessa,_Texas" TargetMode="External"/><Relationship Id="rId1027" Type="http://schemas.openxmlformats.org/officeDocument/2006/relationships/hyperlink" Target="https://en.wikipedia.org/wiki/Texas" TargetMode="External"/><Relationship Id="rId1028" Type="http://schemas.openxmlformats.org/officeDocument/2006/relationships/hyperlink" Target="https://en.wikipedia.org/wiki/Cowboy_Stadium" TargetMode="External"/><Relationship Id="rId1029" Type="http://schemas.openxmlformats.org/officeDocument/2006/relationships/hyperlink" Target="https://en.wikipedia.org/wiki/Lake_Charles,_Louisiana" TargetMode="External"/><Relationship Id="rId679" Type="http://schemas.openxmlformats.org/officeDocument/2006/relationships/hyperlink" Target="https://en.wikipedia.org/wiki/Boone,_North_Carolina" TargetMode="External"/><Relationship Id="rId678" Type="http://schemas.openxmlformats.org/officeDocument/2006/relationships/hyperlink" Target="https://en.wikipedia.org/wiki/Kidd_Brewer_Stadium" TargetMode="External"/><Relationship Id="rId677" Type="http://schemas.openxmlformats.org/officeDocument/2006/relationships/hyperlink" Target="https://en.wikipedia.org/wiki/Tulsa_Golden_Hurricane_football" TargetMode="External"/><Relationship Id="rId676" Type="http://schemas.openxmlformats.org/officeDocument/2006/relationships/hyperlink" Target="https://en.wikipedia.org/wiki/Oklahoma" TargetMode="External"/><Relationship Id="rId671" Type="http://schemas.openxmlformats.org/officeDocument/2006/relationships/hyperlink" Target="https://en.wikipedia.org/wiki/San_Marcos,_Texas" TargetMode="External"/><Relationship Id="rId670" Type="http://schemas.openxmlformats.org/officeDocument/2006/relationships/hyperlink" Target="https://en.wikipedia.org/wiki/Bobcat_Stadium_(Texas_State)" TargetMode="External"/><Relationship Id="rId1020" Type="http://schemas.openxmlformats.org/officeDocument/2006/relationships/hyperlink" Target="https://en.wikipedia.org/wiki/Colorado_Rapids" TargetMode="External"/><Relationship Id="rId1021" Type="http://schemas.openxmlformats.org/officeDocument/2006/relationships/hyperlink" Target="https://en.wikipedia.org/wiki/PayPal_Park" TargetMode="External"/><Relationship Id="rId675" Type="http://schemas.openxmlformats.org/officeDocument/2006/relationships/hyperlink" Target="https://en.wikipedia.org/wiki/Tulsa,_Oklahoma" TargetMode="External"/><Relationship Id="rId1022" Type="http://schemas.openxmlformats.org/officeDocument/2006/relationships/hyperlink" Target="https://en.wikipedia.org/wiki/San_Jose,_California" TargetMode="External"/><Relationship Id="rId674" Type="http://schemas.openxmlformats.org/officeDocument/2006/relationships/hyperlink" Target="https://en.wikipedia.org/wiki/Skelly_Field_at_H._A._Chapman_Stadium" TargetMode="External"/><Relationship Id="rId1023" Type="http://schemas.openxmlformats.org/officeDocument/2006/relationships/hyperlink" Target="https://en.wikipedia.org/wiki/California" TargetMode="External"/><Relationship Id="rId673" Type="http://schemas.openxmlformats.org/officeDocument/2006/relationships/hyperlink" Target="https://en.wikipedia.org/wiki/Texas_State_Bobcats_football" TargetMode="External"/><Relationship Id="rId1024" Type="http://schemas.openxmlformats.org/officeDocument/2006/relationships/hyperlink" Target="https://en.wikipedia.org/wiki/San_Jose_Earthquakes" TargetMode="External"/><Relationship Id="rId672" Type="http://schemas.openxmlformats.org/officeDocument/2006/relationships/hyperlink" Target="https://en.wikipedia.org/wiki/Texas" TargetMode="External"/><Relationship Id="rId1025" Type="http://schemas.openxmlformats.org/officeDocument/2006/relationships/hyperlink" Target="https://en.wikipedia.org/wiki/Ratliff_Stadium" TargetMode="External"/><Relationship Id="rId190" Type="http://schemas.openxmlformats.org/officeDocument/2006/relationships/hyperlink" Target="https://en.wikipedia.org/wiki/St._Louis" TargetMode="External"/><Relationship Id="rId194" Type="http://schemas.openxmlformats.org/officeDocument/2006/relationships/hyperlink" Target="https://en.wikipedia.org/wiki/Minneapolis" TargetMode="External"/><Relationship Id="rId193" Type="http://schemas.openxmlformats.org/officeDocument/2006/relationships/hyperlink" Target="https://en.wikipedia.org/wiki/U.S._Bank_Stadium" TargetMode="External"/><Relationship Id="rId192" Type="http://schemas.openxmlformats.org/officeDocument/2006/relationships/hyperlink" Target="https://en.wikipedia.org/wiki/St._Louis_Battlehawks" TargetMode="External"/><Relationship Id="rId191" Type="http://schemas.openxmlformats.org/officeDocument/2006/relationships/hyperlink" Target="https://en.wikipedia.org/wiki/Missouri" TargetMode="External"/><Relationship Id="rId187" Type="http://schemas.openxmlformats.org/officeDocument/2006/relationships/hyperlink" Target="https://en.wikipedia.org/wiki/Ohio" TargetMode="External"/><Relationship Id="rId186" Type="http://schemas.openxmlformats.org/officeDocument/2006/relationships/hyperlink" Target="https://en.wikipedia.org/wiki/Cleveland" TargetMode="External"/><Relationship Id="rId185" Type="http://schemas.openxmlformats.org/officeDocument/2006/relationships/hyperlink" Target="https://en.wikipedia.org/wiki/Cleveland_Browns_Stadium" TargetMode="External"/><Relationship Id="rId184" Type="http://schemas.openxmlformats.org/officeDocument/2006/relationships/hyperlink" Target="https://en.wikipedia.org/wiki/Philadelphia_Eagles" TargetMode="External"/><Relationship Id="rId189" Type="http://schemas.openxmlformats.org/officeDocument/2006/relationships/hyperlink" Target="https://en.wikipedia.org/wiki/The_Dome_at_America%27s_Center" TargetMode="External"/><Relationship Id="rId188" Type="http://schemas.openxmlformats.org/officeDocument/2006/relationships/hyperlink" Target="https://en.wikipedia.org/wiki/Cleveland_Browns" TargetMode="External"/><Relationship Id="rId183" Type="http://schemas.openxmlformats.org/officeDocument/2006/relationships/hyperlink" Target="https://en.wikipedia.org/wiki/Pennsylvania" TargetMode="External"/><Relationship Id="rId182" Type="http://schemas.openxmlformats.org/officeDocument/2006/relationships/hyperlink" Target="https://en.wikipedia.org/wiki/Philadelphia" TargetMode="External"/><Relationship Id="rId181" Type="http://schemas.openxmlformats.org/officeDocument/2006/relationships/hyperlink" Target="https://en.wikipedia.org/wiki/Lincoln_Financial_Field" TargetMode="External"/><Relationship Id="rId180" Type="http://schemas.openxmlformats.org/officeDocument/2006/relationships/hyperlink" Target="https://en.wikipedia.org/wiki/Jacksonville_Jaguars" TargetMode="External"/><Relationship Id="rId176" Type="http://schemas.openxmlformats.org/officeDocument/2006/relationships/hyperlink" Target="https://en.wikipedia.org/wiki/Pittsburgh_Steelers" TargetMode="External"/><Relationship Id="rId175" Type="http://schemas.openxmlformats.org/officeDocument/2006/relationships/hyperlink" Target="https://en.wikipedia.org/wiki/Pennsylvania" TargetMode="External"/><Relationship Id="rId174" Type="http://schemas.openxmlformats.org/officeDocument/2006/relationships/hyperlink" Target="https://en.wikipedia.org/wiki/Pittsburgh" TargetMode="External"/><Relationship Id="rId173" Type="http://schemas.openxmlformats.org/officeDocument/2006/relationships/hyperlink" Target="https://en.wikipedia.org/wiki/Acrisure_Stadium" TargetMode="External"/><Relationship Id="rId179" Type="http://schemas.openxmlformats.org/officeDocument/2006/relationships/hyperlink" Target="https://en.wikipedia.org/wiki/Florida" TargetMode="External"/><Relationship Id="rId178" Type="http://schemas.openxmlformats.org/officeDocument/2006/relationships/hyperlink" Target="https://en.wikipedia.org/wiki/Jacksonville,_Florida" TargetMode="External"/><Relationship Id="rId177" Type="http://schemas.openxmlformats.org/officeDocument/2006/relationships/hyperlink" Target="https://en.wikipedia.org/wiki/EverBank_Stadium" TargetMode="External"/><Relationship Id="rId198" Type="http://schemas.openxmlformats.org/officeDocument/2006/relationships/hyperlink" Target="https://en.wikipedia.org/wiki/Foxborough,_Massachusetts" TargetMode="External"/><Relationship Id="rId197" Type="http://schemas.openxmlformats.org/officeDocument/2006/relationships/hyperlink" Target="https://en.wikipedia.org/wiki/Gillette_Stadium" TargetMode="External"/><Relationship Id="rId196" Type="http://schemas.openxmlformats.org/officeDocument/2006/relationships/hyperlink" Target="https://en.wikipedia.org/wiki/Minnesota_Vikings" TargetMode="External"/><Relationship Id="rId195" Type="http://schemas.openxmlformats.org/officeDocument/2006/relationships/hyperlink" Target="https://en.wikipedia.org/wiki/Minnesota" TargetMode="External"/><Relationship Id="rId199" Type="http://schemas.openxmlformats.org/officeDocument/2006/relationships/hyperlink" Target="https://en.wikipedia.org/wiki/Massachusetts" TargetMode="External"/><Relationship Id="rId150" Type="http://schemas.openxmlformats.org/officeDocument/2006/relationships/hyperlink" Target="https://en.wikipedia.org/wiki/Seattle" TargetMode="External"/><Relationship Id="rId149" Type="http://schemas.openxmlformats.org/officeDocument/2006/relationships/hyperlink" Target="https://en.wikipedia.org/wiki/Husky_Stadium" TargetMode="External"/><Relationship Id="rId148" Type="http://schemas.openxmlformats.org/officeDocument/2006/relationships/hyperlink" Target="https://en.wikipedia.org/wiki/Los_Angeles_Rams" TargetMode="External"/><Relationship Id="rId1090" Type="http://schemas.openxmlformats.org/officeDocument/2006/relationships/hyperlink" Target="https://en.wikipedia.org/wiki/Kibbie_Dome" TargetMode="External"/><Relationship Id="rId1091" Type="http://schemas.openxmlformats.org/officeDocument/2006/relationships/hyperlink" Target="https://en.wikipedia.org/wiki/Moscow,_Idaho" TargetMode="External"/><Relationship Id="rId1092" Type="http://schemas.openxmlformats.org/officeDocument/2006/relationships/hyperlink" Target="https://en.wikipedia.org/wiki/Idaho" TargetMode="External"/><Relationship Id="rId1093" Type="http://schemas.openxmlformats.org/officeDocument/2006/relationships/hyperlink" Target="https://en.wikipedia.org/wiki/Idaho_Vandals_football" TargetMode="External"/><Relationship Id="rId1094" Type="http://schemas.openxmlformats.org/officeDocument/2006/relationships/hyperlink" Target="https://en.wikipedia.org/wiki/Paladin_Stadium" TargetMode="External"/><Relationship Id="rId143" Type="http://schemas.openxmlformats.org/officeDocument/2006/relationships/hyperlink" Target="https://en.wikipedia.org/wiki/Maryland" TargetMode="External"/><Relationship Id="rId1095" Type="http://schemas.openxmlformats.org/officeDocument/2006/relationships/hyperlink" Target="https://en.wikipedia.org/wiki/Greenville,_South_Carolina" TargetMode="External"/><Relationship Id="rId142" Type="http://schemas.openxmlformats.org/officeDocument/2006/relationships/hyperlink" Target="https://en.wikipedia.org/wiki/Baltimore" TargetMode="External"/><Relationship Id="rId1096" Type="http://schemas.openxmlformats.org/officeDocument/2006/relationships/hyperlink" Target="https://en.wikipedia.org/wiki/South_Carolina" TargetMode="External"/><Relationship Id="rId141" Type="http://schemas.openxmlformats.org/officeDocument/2006/relationships/hyperlink" Target="https://en.wikipedia.org/wiki/M%26T_Bank_Stadium" TargetMode="External"/><Relationship Id="rId1097" Type="http://schemas.openxmlformats.org/officeDocument/2006/relationships/hyperlink" Target="https://en.wikipedia.org/wiki/Furman_Paladins_football" TargetMode="External"/><Relationship Id="rId140" Type="http://schemas.openxmlformats.org/officeDocument/2006/relationships/hyperlink" Target="https://en.wikipedia.org/wiki/Atlanta_Falcons" TargetMode="External"/><Relationship Id="rId1098" Type="http://schemas.openxmlformats.org/officeDocument/2006/relationships/hyperlink" Target="https://en.wikipedia.org/wiki/Goodman_Stadium" TargetMode="External"/><Relationship Id="rId147" Type="http://schemas.openxmlformats.org/officeDocument/2006/relationships/hyperlink" Target="https://en.wikipedia.org/wiki/California" TargetMode="External"/><Relationship Id="rId1099" Type="http://schemas.openxmlformats.org/officeDocument/2006/relationships/hyperlink" Target="https://en.wikipedia.org/wiki/Bethlehem,_Pennsylvania" TargetMode="External"/><Relationship Id="rId146" Type="http://schemas.openxmlformats.org/officeDocument/2006/relationships/hyperlink" Target="https://en.wikipedia.org/wiki/Inglewood,_California" TargetMode="External"/><Relationship Id="rId145" Type="http://schemas.openxmlformats.org/officeDocument/2006/relationships/hyperlink" Target="https://en.wikipedia.org/wiki/SoFi_Stadium" TargetMode="External"/><Relationship Id="rId144" Type="http://schemas.openxmlformats.org/officeDocument/2006/relationships/hyperlink" Target="https://en.wikipedia.org/wiki/Baltimore_Ravens" TargetMode="External"/><Relationship Id="rId139" Type="http://schemas.openxmlformats.org/officeDocument/2006/relationships/hyperlink" Target="https://en.wikipedia.org/wiki/Georgia_(U.S._state)" TargetMode="External"/><Relationship Id="rId138" Type="http://schemas.openxmlformats.org/officeDocument/2006/relationships/hyperlink" Target="https://en.wikipedia.org/wiki/Atlanta" TargetMode="External"/><Relationship Id="rId137" Type="http://schemas.openxmlformats.org/officeDocument/2006/relationships/hyperlink" Target="https://en.wikipedia.org/wiki/Mercedes-Benz_Stadium" TargetMode="External"/><Relationship Id="rId1080" Type="http://schemas.openxmlformats.org/officeDocument/2006/relationships/hyperlink" Target="https://en.wikipedia.org/wiki/Indian_Wells_Tennis_Garden" TargetMode="External"/><Relationship Id="rId1081" Type="http://schemas.openxmlformats.org/officeDocument/2006/relationships/hyperlink" Target="https://en.wikipedia.org/wiki/Indian_Wells,_California" TargetMode="External"/><Relationship Id="rId1082" Type="http://schemas.openxmlformats.org/officeDocument/2006/relationships/hyperlink" Target="https://en.wikipedia.org/wiki/California" TargetMode="External"/><Relationship Id="rId1083" Type="http://schemas.openxmlformats.org/officeDocument/2006/relationships/hyperlink" Target="https://en.wikipedia.org/wiki/Provost_Umphrey_Stadium" TargetMode="External"/><Relationship Id="rId132" Type="http://schemas.openxmlformats.org/officeDocument/2006/relationships/hyperlink" Target="https://en.wikipedia.org/wiki/New_York_(state)" TargetMode="External"/><Relationship Id="rId1084" Type="http://schemas.openxmlformats.org/officeDocument/2006/relationships/hyperlink" Target="https://en.wikipedia.org/wiki/Beaumont,_Texas" TargetMode="External"/><Relationship Id="rId131" Type="http://schemas.openxmlformats.org/officeDocument/2006/relationships/hyperlink" Target="https://en.wikipedia.org/wiki/Orchard_Park_(town),_New_York" TargetMode="External"/><Relationship Id="rId1085" Type="http://schemas.openxmlformats.org/officeDocument/2006/relationships/hyperlink" Target="https://en.wikipedia.org/wiki/Texas" TargetMode="External"/><Relationship Id="rId130" Type="http://schemas.openxmlformats.org/officeDocument/2006/relationships/hyperlink" Target="https://en.wikipedia.org/wiki/Highmark_Stadium_(New_York)" TargetMode="External"/><Relationship Id="rId1086" Type="http://schemas.openxmlformats.org/officeDocument/2006/relationships/hyperlink" Target="https://en.wikipedia.org/wiki/Lamar_Cardinals_football" TargetMode="External"/><Relationship Id="rId1087" Type="http://schemas.openxmlformats.org/officeDocument/2006/relationships/hyperlink" Target="https://en.wikipedia.org/wiki/Stallworth_Stadium" TargetMode="External"/><Relationship Id="rId136" Type="http://schemas.openxmlformats.org/officeDocument/2006/relationships/hyperlink" Target="https://en.wikipedia.org/wiki/Alabama" TargetMode="External"/><Relationship Id="rId1088" Type="http://schemas.openxmlformats.org/officeDocument/2006/relationships/hyperlink" Target="https://en.wikipedia.org/wiki/Baytown,_Texas" TargetMode="External"/><Relationship Id="rId135" Type="http://schemas.openxmlformats.org/officeDocument/2006/relationships/hyperlink" Target="https://en.wikipedia.org/wiki/Birmingham,_Alabama" TargetMode="External"/><Relationship Id="rId1089" Type="http://schemas.openxmlformats.org/officeDocument/2006/relationships/hyperlink" Target="https://en.wikipedia.org/wiki/Texas" TargetMode="External"/><Relationship Id="rId134" Type="http://schemas.openxmlformats.org/officeDocument/2006/relationships/hyperlink" Target="https://en.wikipedia.org/wiki/Legion_Field" TargetMode="External"/><Relationship Id="rId133" Type="http://schemas.openxmlformats.org/officeDocument/2006/relationships/hyperlink" Target="https://en.wikipedia.org/wiki/Buffalo_Bills" TargetMode="External"/><Relationship Id="rId172" Type="http://schemas.openxmlformats.org/officeDocument/2006/relationships/hyperlink" Target="https://en.wikipedia.org/wiki/San_Francisco_49ers" TargetMode="External"/><Relationship Id="rId171" Type="http://schemas.openxmlformats.org/officeDocument/2006/relationships/hyperlink" Target="https://en.wikipedia.org/wiki/California" TargetMode="External"/><Relationship Id="rId170" Type="http://schemas.openxmlformats.org/officeDocument/2006/relationships/hyperlink" Target="https://en.wikipedia.org/wiki/Santa_Clara,_California" TargetMode="External"/><Relationship Id="rId165" Type="http://schemas.openxmlformats.org/officeDocument/2006/relationships/hyperlink" Target="https://en.wikipedia.org/wiki/Lumen_Field" TargetMode="External"/><Relationship Id="rId164" Type="http://schemas.openxmlformats.org/officeDocument/2006/relationships/hyperlink" Target="https://en.wikipedia.org/wiki/Tennessee_Titans" TargetMode="External"/><Relationship Id="rId163" Type="http://schemas.openxmlformats.org/officeDocument/2006/relationships/hyperlink" Target="https://en.wikipedia.org/wiki/Tennessee" TargetMode="External"/><Relationship Id="rId162" Type="http://schemas.openxmlformats.org/officeDocument/2006/relationships/hyperlink" Target="https://en.wikipedia.org/wiki/Nashville,_Tennessee" TargetMode="External"/><Relationship Id="rId169" Type="http://schemas.openxmlformats.org/officeDocument/2006/relationships/hyperlink" Target="https://en.wikipedia.org/wiki/Levi%27s_Stadium" TargetMode="External"/><Relationship Id="rId168" Type="http://schemas.openxmlformats.org/officeDocument/2006/relationships/hyperlink" Target="https://en.wikipedia.org/wiki/Seattle_Seahawks" TargetMode="External"/><Relationship Id="rId167" Type="http://schemas.openxmlformats.org/officeDocument/2006/relationships/hyperlink" Target="https://en.wikipedia.org/wiki/Washington_(state)" TargetMode="External"/><Relationship Id="rId166" Type="http://schemas.openxmlformats.org/officeDocument/2006/relationships/hyperlink" Target="https://en.wikipedia.org/wiki/Seattle" TargetMode="External"/><Relationship Id="rId161" Type="http://schemas.openxmlformats.org/officeDocument/2006/relationships/hyperlink" Target="https://en.wikipedia.org/wiki/Nissan_Stadium" TargetMode="External"/><Relationship Id="rId160" Type="http://schemas.openxmlformats.org/officeDocument/2006/relationships/hyperlink" Target="https://en.wikipedia.org/wiki/Tampa_Bay_Buccaneers" TargetMode="External"/><Relationship Id="rId159" Type="http://schemas.openxmlformats.org/officeDocument/2006/relationships/hyperlink" Target="https://en.wikipedia.org/wiki/Florida" TargetMode="External"/><Relationship Id="rId154" Type="http://schemas.openxmlformats.org/officeDocument/2006/relationships/hyperlink" Target="https://en.wikipedia.org/wiki/Iowa_City,_Iowa" TargetMode="External"/><Relationship Id="rId153" Type="http://schemas.openxmlformats.org/officeDocument/2006/relationships/hyperlink" Target="https://en.wikipedia.org/wiki/Kinnick_Stadium" TargetMode="External"/><Relationship Id="rId152" Type="http://schemas.openxmlformats.org/officeDocument/2006/relationships/hyperlink" Target="https://en.wikipedia.org/wiki/Washington_Huskies_football" TargetMode="External"/><Relationship Id="rId151" Type="http://schemas.openxmlformats.org/officeDocument/2006/relationships/hyperlink" Target="https://en.wikipedia.org/wiki/Washington_(state)" TargetMode="External"/><Relationship Id="rId158" Type="http://schemas.openxmlformats.org/officeDocument/2006/relationships/hyperlink" Target="https://en.wikipedia.org/wiki/Tampa,_Florida" TargetMode="External"/><Relationship Id="rId157" Type="http://schemas.openxmlformats.org/officeDocument/2006/relationships/hyperlink" Target="https://en.wikipedia.org/wiki/Raymond_James_Stadium" TargetMode="External"/><Relationship Id="rId156" Type="http://schemas.openxmlformats.org/officeDocument/2006/relationships/hyperlink" Target="https://en.wikipedia.org/wiki/Iowa_Hawkeyes_football" TargetMode="External"/><Relationship Id="rId155" Type="http://schemas.openxmlformats.org/officeDocument/2006/relationships/hyperlink" Target="https://en.wikipedia.org/wiki/Iowa" TargetMode="External"/><Relationship Id="rId1510" Type="http://schemas.openxmlformats.org/officeDocument/2006/relationships/hyperlink" Target="https://en.wikipedia.org/wiki/Jayne_Stadium" TargetMode="External"/><Relationship Id="rId1511" Type="http://schemas.openxmlformats.org/officeDocument/2006/relationships/hyperlink" Target="https://en.wikipedia.org/wiki/Morehead,_Kentucky" TargetMode="External"/><Relationship Id="rId1512" Type="http://schemas.openxmlformats.org/officeDocument/2006/relationships/hyperlink" Target="https://en.wikipedia.org/wiki/Kentucky" TargetMode="External"/><Relationship Id="rId1513" Type="http://schemas.openxmlformats.org/officeDocument/2006/relationships/hyperlink" Target="https://en.wikipedia.org/wiki/Morehead_State_Eagles_football" TargetMode="External"/><Relationship Id="rId1514" Type="http://schemas.openxmlformats.org/officeDocument/2006/relationships/hyperlink" Target="https://en.wikipedia.org/wiki/O%27Brien_Field_(Charleston)" TargetMode="External"/><Relationship Id="rId1515" Type="http://schemas.openxmlformats.org/officeDocument/2006/relationships/hyperlink" Target="https://en.wikipedia.org/wiki/Charleston,_Illinois" TargetMode="External"/><Relationship Id="rId1516" Type="http://schemas.openxmlformats.org/officeDocument/2006/relationships/hyperlink" Target="https://en.wikipedia.org/wiki/Illinois" TargetMode="External"/><Relationship Id="rId1517" Type="http://schemas.openxmlformats.org/officeDocument/2006/relationships/hyperlink" Target="https://en.wikipedia.org/wiki/Eastern_Illinois_Panthers_football" TargetMode="External"/><Relationship Id="rId1518" Type="http://schemas.openxmlformats.org/officeDocument/2006/relationships/hyperlink" Target="https://en.wikipedia.org/wiki/O%27Kelly%E2%80%93Riddick_Stadium" TargetMode="External"/><Relationship Id="rId1519" Type="http://schemas.openxmlformats.org/officeDocument/2006/relationships/hyperlink" Target="https://en.wikipedia.org/wiki/Durham,_North_Carolina" TargetMode="External"/><Relationship Id="rId1500" Type="http://schemas.openxmlformats.org/officeDocument/2006/relationships/hyperlink" Target="https://en.wikipedia.org/wiki/Sioux_Falls,_South_Dakota" TargetMode="External"/><Relationship Id="rId1501" Type="http://schemas.openxmlformats.org/officeDocument/2006/relationships/hyperlink" Target="https://en.wikipedia.org/wiki/South_Dakota" TargetMode="External"/><Relationship Id="rId1502" Type="http://schemas.openxmlformats.org/officeDocument/2006/relationships/hyperlink" Target="https://en.wikipedia.org/wiki/Rice%E2%80%93Totten_Stadium" TargetMode="External"/><Relationship Id="rId1503" Type="http://schemas.openxmlformats.org/officeDocument/2006/relationships/hyperlink" Target="https://en.wikipedia.org/wiki/Itta_Bena,_Mississippi" TargetMode="External"/><Relationship Id="rId1504" Type="http://schemas.openxmlformats.org/officeDocument/2006/relationships/hyperlink" Target="https://en.wikipedia.org/wiki/Mississippi" TargetMode="External"/><Relationship Id="rId1505" Type="http://schemas.openxmlformats.org/officeDocument/2006/relationships/hyperlink" Target="https://en.wikipedia.org/wiki/Mississippi_Valley_State_Delta_Devils_football" TargetMode="External"/><Relationship Id="rId1506" Type="http://schemas.openxmlformats.org/officeDocument/2006/relationships/hyperlink" Target="https://en.wikipedia.org/wiki/Alumni_Memorial_Field" TargetMode="External"/><Relationship Id="rId1507" Type="http://schemas.openxmlformats.org/officeDocument/2006/relationships/hyperlink" Target="https://en.wikipedia.org/wiki/Lexington,_Virginia" TargetMode="External"/><Relationship Id="rId1508" Type="http://schemas.openxmlformats.org/officeDocument/2006/relationships/hyperlink" Target="https://en.wikipedia.org/wiki/Virginia" TargetMode="External"/><Relationship Id="rId1509" Type="http://schemas.openxmlformats.org/officeDocument/2006/relationships/hyperlink" Target="https://en.wikipedia.org/wiki/VMI_Keydets_football" TargetMode="External"/><Relationship Id="rId1576" Type="http://schemas.openxmlformats.org/officeDocument/2006/relationships/hyperlink" Target="https://en.wikipedia.org/wiki/Grand_Junction_Jackalopes" TargetMode="External"/><Relationship Id="rId1577" Type="http://schemas.openxmlformats.org/officeDocument/2006/relationships/hyperlink" Target="https://en.wikipedia.org/wiki/Houck_Stadium" TargetMode="External"/><Relationship Id="rId1578" Type="http://schemas.openxmlformats.org/officeDocument/2006/relationships/hyperlink" Target="https://en.wikipedia.org/wiki/Cape_Girardeau,_Missouri" TargetMode="External"/><Relationship Id="rId1579" Type="http://schemas.openxmlformats.org/officeDocument/2006/relationships/hyperlink" Target="https://en.wikipedia.org/wiki/Missouri" TargetMode="External"/><Relationship Id="rId509" Type="http://schemas.openxmlformats.org/officeDocument/2006/relationships/hyperlink" Target="https://en.wikipedia.org/wiki/Houston" TargetMode="External"/><Relationship Id="rId508" Type="http://schemas.openxmlformats.org/officeDocument/2006/relationships/hyperlink" Target="https://en.wikipedia.org/wiki/Minute_Maid_Park" TargetMode="External"/><Relationship Id="rId503" Type="http://schemas.openxmlformats.org/officeDocument/2006/relationships/hyperlink" Target="https://en.wikipedia.org/wiki/Washington_Nationals" TargetMode="External"/><Relationship Id="rId987" Type="http://schemas.openxmlformats.org/officeDocument/2006/relationships/hyperlink" Target="https://en.wikipedia.org/wiki/Mesquite,_Texas" TargetMode="External"/><Relationship Id="rId502" Type="http://schemas.openxmlformats.org/officeDocument/2006/relationships/hyperlink" Target="https://en.wikipedia.org/wiki/District_of_Columbia" TargetMode="External"/><Relationship Id="rId986" Type="http://schemas.openxmlformats.org/officeDocument/2006/relationships/hyperlink" Target="https://en.wikipedia.org/wiki/Mesquite_Memorial_Stadium" TargetMode="External"/><Relationship Id="rId501" Type="http://schemas.openxmlformats.org/officeDocument/2006/relationships/hyperlink" Target="https://en.wikipedia.org/wiki/Washington,_D.C." TargetMode="External"/><Relationship Id="rId985" Type="http://schemas.openxmlformats.org/officeDocument/2006/relationships/hyperlink" Target="https://en.wikipedia.org/wiki/Bakersfield_College" TargetMode="External"/><Relationship Id="rId500" Type="http://schemas.openxmlformats.org/officeDocument/2006/relationships/hyperlink" Target="https://en.wikipedia.org/wiki/Nationals_Park" TargetMode="External"/><Relationship Id="rId984" Type="http://schemas.openxmlformats.org/officeDocument/2006/relationships/hyperlink" Target="https://en.wikipedia.org/wiki/California" TargetMode="External"/><Relationship Id="rId507" Type="http://schemas.openxmlformats.org/officeDocument/2006/relationships/hyperlink" Target="https://en.wikipedia.org/wiki/Louisiana_Ragin%27_Cajuns_football" TargetMode="External"/><Relationship Id="rId506" Type="http://schemas.openxmlformats.org/officeDocument/2006/relationships/hyperlink" Target="https://en.wikipedia.org/wiki/Louisiana" TargetMode="External"/><Relationship Id="rId505" Type="http://schemas.openxmlformats.org/officeDocument/2006/relationships/hyperlink" Target="https://en.wikipedia.org/wiki/Lafayette,_Louisiana" TargetMode="External"/><Relationship Id="rId989" Type="http://schemas.openxmlformats.org/officeDocument/2006/relationships/hyperlink" Target="https://en.wikipedia.org/wiki/Allianz_Field" TargetMode="External"/><Relationship Id="rId504" Type="http://schemas.openxmlformats.org/officeDocument/2006/relationships/hyperlink" Target="https://en.wikipedia.org/wiki/Cajun_Field" TargetMode="External"/><Relationship Id="rId988" Type="http://schemas.openxmlformats.org/officeDocument/2006/relationships/hyperlink" Target="https://en.wikipedia.org/wiki/Texas" TargetMode="External"/><Relationship Id="rId1570" Type="http://schemas.openxmlformats.org/officeDocument/2006/relationships/hyperlink" Target="https://en.wikipedia.org/wiki/Kingston_Stadium" TargetMode="External"/><Relationship Id="rId1571" Type="http://schemas.openxmlformats.org/officeDocument/2006/relationships/hyperlink" Target="https://en.wikipedia.org/wiki/Cedar_Rapids,_Iowa" TargetMode="External"/><Relationship Id="rId983" Type="http://schemas.openxmlformats.org/officeDocument/2006/relationships/hyperlink" Target="https://en.wikipedia.org/wiki/Bakersfield" TargetMode="External"/><Relationship Id="rId1572" Type="http://schemas.openxmlformats.org/officeDocument/2006/relationships/hyperlink" Target="https://en.wikipedia.org/wiki/Iowa" TargetMode="External"/><Relationship Id="rId982" Type="http://schemas.openxmlformats.org/officeDocument/2006/relationships/hyperlink" Target="https://en.wikipedia.org/wiki/Memorial_Stadium_(Bakersfield)" TargetMode="External"/><Relationship Id="rId1573" Type="http://schemas.openxmlformats.org/officeDocument/2006/relationships/hyperlink" Target="https://en.wikipedia.org/wiki/Suplizio_Field" TargetMode="External"/><Relationship Id="rId981" Type="http://schemas.openxmlformats.org/officeDocument/2006/relationships/hyperlink" Target="https://en.wikipedia.org/wiki/Grambling_State_Tigers_football" TargetMode="External"/><Relationship Id="rId1574" Type="http://schemas.openxmlformats.org/officeDocument/2006/relationships/hyperlink" Target="https://en.wikipedia.org/wiki/Grand_Junction,_Colorado" TargetMode="External"/><Relationship Id="rId980" Type="http://schemas.openxmlformats.org/officeDocument/2006/relationships/hyperlink" Target="https://en.wikipedia.org/wiki/Louisiana" TargetMode="External"/><Relationship Id="rId1575" Type="http://schemas.openxmlformats.org/officeDocument/2006/relationships/hyperlink" Target="https://en.wikipedia.org/wiki/Colorado" TargetMode="External"/><Relationship Id="rId1565" Type="http://schemas.openxmlformats.org/officeDocument/2006/relationships/hyperlink" Target="https://en.wikipedia.org/wiki/Dothan,_Alabama" TargetMode="External"/><Relationship Id="rId1566" Type="http://schemas.openxmlformats.org/officeDocument/2006/relationships/hyperlink" Target="https://en.wikipedia.org/wiki/Alabama" TargetMode="External"/><Relationship Id="rId1567" Type="http://schemas.openxmlformats.org/officeDocument/2006/relationships/hyperlink" Target="https://en.wikipedia.org/wiki/Jackson_High_School_(Michigan)" TargetMode="External"/><Relationship Id="rId1568" Type="http://schemas.openxmlformats.org/officeDocument/2006/relationships/hyperlink" Target="https://en.wikipedia.org/wiki/Jackson,_Michigan" TargetMode="External"/><Relationship Id="rId1569" Type="http://schemas.openxmlformats.org/officeDocument/2006/relationships/hyperlink" Target="https://en.wikipedia.org/wiki/Michigan" TargetMode="External"/><Relationship Id="rId976" Type="http://schemas.openxmlformats.org/officeDocument/2006/relationships/hyperlink" Target="https://en.wikipedia.org/wiki/Florida" TargetMode="External"/><Relationship Id="rId975" Type="http://schemas.openxmlformats.org/officeDocument/2006/relationships/hyperlink" Target="https://en.wikipedia.org/wiki/Tallahassee,_Florida" TargetMode="External"/><Relationship Id="rId974" Type="http://schemas.openxmlformats.org/officeDocument/2006/relationships/hyperlink" Target="https://en.wikipedia.org/wiki/Bragg_Memorial_Stadium" TargetMode="External"/><Relationship Id="rId973" Type="http://schemas.openxmlformats.org/officeDocument/2006/relationships/hyperlink" Target="https://en.wikipedia.org/wiki/Ohio" TargetMode="External"/><Relationship Id="rId979" Type="http://schemas.openxmlformats.org/officeDocument/2006/relationships/hyperlink" Target="https://en.wikipedia.org/wiki/Grambling,_Louisiana" TargetMode="External"/><Relationship Id="rId978" Type="http://schemas.openxmlformats.org/officeDocument/2006/relationships/hyperlink" Target="https://en.wikipedia.org/wiki/Eddie_G._Robinson_Memorial_Stadium" TargetMode="External"/><Relationship Id="rId977" Type="http://schemas.openxmlformats.org/officeDocument/2006/relationships/hyperlink" Target="https://en.wikipedia.org/wiki/Florida_A%26M_Rattlers_football" TargetMode="External"/><Relationship Id="rId1560" Type="http://schemas.openxmlformats.org/officeDocument/2006/relationships/hyperlink" Target="https://en.wikipedia.org/wiki/Phoenix_Rising_FC" TargetMode="External"/><Relationship Id="rId972" Type="http://schemas.openxmlformats.org/officeDocument/2006/relationships/hyperlink" Target="https://en.wikipedia.org/wiki/Columbus,_Ohio" TargetMode="External"/><Relationship Id="rId1561" Type="http://schemas.openxmlformats.org/officeDocument/2006/relationships/hyperlink" Target="https://en.wikipedia.org/wiki/Comalander_Stadium" TargetMode="External"/><Relationship Id="rId971" Type="http://schemas.openxmlformats.org/officeDocument/2006/relationships/hyperlink" Target="https://en.wikipedia.org/wiki/Historic_Crew_Stadium" TargetMode="External"/><Relationship Id="rId1562" Type="http://schemas.openxmlformats.org/officeDocument/2006/relationships/hyperlink" Target="https://en.wikipedia.org/wiki/San_Antonio,_Texas" TargetMode="External"/><Relationship Id="rId970" Type="http://schemas.openxmlformats.org/officeDocument/2006/relationships/hyperlink" Target="https://en.wikipedia.org/wiki/D.C._United" TargetMode="External"/><Relationship Id="rId1563" Type="http://schemas.openxmlformats.org/officeDocument/2006/relationships/hyperlink" Target="https://en.wikipedia.org/wiki/Texas" TargetMode="External"/><Relationship Id="rId1564" Type="http://schemas.openxmlformats.org/officeDocument/2006/relationships/hyperlink" Target="https://en.wikipedia.org/wiki/Rip_Hewes_Stadium" TargetMode="External"/><Relationship Id="rId1114" Type="http://schemas.openxmlformats.org/officeDocument/2006/relationships/hyperlink" Target="https://en.wikipedia.org/wiki/Clarkston,_Georgia" TargetMode="External"/><Relationship Id="rId1115" Type="http://schemas.openxmlformats.org/officeDocument/2006/relationships/hyperlink" Target="https://en.wikipedia.org/wiki/Georgia_(U.S._state)" TargetMode="External"/><Relationship Id="rId1116" Type="http://schemas.openxmlformats.org/officeDocument/2006/relationships/hyperlink" Target="https://en.wikipedia.org/wiki/Jerry_Richardson_Stadium" TargetMode="External"/><Relationship Id="rId1117" Type="http://schemas.openxmlformats.org/officeDocument/2006/relationships/hyperlink" Target="https://en.wikipedia.org/wiki/Charlotte,_North_Carolina" TargetMode="External"/><Relationship Id="rId1118" Type="http://schemas.openxmlformats.org/officeDocument/2006/relationships/hyperlink" Target="https://en.wikipedia.org/wiki/North_Carolina" TargetMode="External"/><Relationship Id="rId1119" Type="http://schemas.openxmlformats.org/officeDocument/2006/relationships/hyperlink" Target="https://en.wikipedia.org/wiki/Charlotte_49ers_football" TargetMode="External"/><Relationship Id="rId525" Type="http://schemas.openxmlformats.org/officeDocument/2006/relationships/hyperlink" Target="https://en.wikipedia.org/wiki/Chicago" TargetMode="External"/><Relationship Id="rId524" Type="http://schemas.openxmlformats.org/officeDocument/2006/relationships/hyperlink" Target="https://en.wikipedia.org/wiki/Guaranteed_Rate_Field" TargetMode="External"/><Relationship Id="rId523" Type="http://schemas.openxmlformats.org/officeDocument/2006/relationships/hyperlink" Target="https://en.wikipedia.org/wiki/Fresno_State_Bulldogs_football" TargetMode="External"/><Relationship Id="rId522" Type="http://schemas.openxmlformats.org/officeDocument/2006/relationships/hyperlink" Target="https://en.wikipedia.org/wiki/California" TargetMode="External"/><Relationship Id="rId529" Type="http://schemas.openxmlformats.org/officeDocument/2006/relationships/hyperlink" Target="https://en.wikipedia.org/wiki/Nashville,_Tennessee" TargetMode="External"/><Relationship Id="rId528" Type="http://schemas.openxmlformats.org/officeDocument/2006/relationships/hyperlink" Target="https://en.wikipedia.org/wiki/FirstBank_Stadium" TargetMode="External"/><Relationship Id="rId527" Type="http://schemas.openxmlformats.org/officeDocument/2006/relationships/hyperlink" Target="https://en.wikipedia.org/wiki/Chicago_White_Sox" TargetMode="External"/><Relationship Id="rId526" Type="http://schemas.openxmlformats.org/officeDocument/2006/relationships/hyperlink" Target="https://en.wikipedia.org/wiki/Illinois" TargetMode="External"/><Relationship Id="rId521" Type="http://schemas.openxmlformats.org/officeDocument/2006/relationships/hyperlink" Target="https://en.wikipedia.org/wiki/Fresno,_California" TargetMode="External"/><Relationship Id="rId1110" Type="http://schemas.openxmlformats.org/officeDocument/2006/relationships/hyperlink" Target="https://en.wikipedia.org/wiki/Hersheypark_Stadium" TargetMode="External"/><Relationship Id="rId520" Type="http://schemas.openxmlformats.org/officeDocument/2006/relationships/hyperlink" Target="https://en.wikipedia.org/wiki/Valley_Children%27s_Stadium" TargetMode="External"/><Relationship Id="rId1111" Type="http://schemas.openxmlformats.org/officeDocument/2006/relationships/hyperlink" Target="https://en.wikipedia.org/wiki/Hershey,_Pennsylvania" TargetMode="External"/><Relationship Id="rId1112" Type="http://schemas.openxmlformats.org/officeDocument/2006/relationships/hyperlink" Target="https://en.wikipedia.org/wiki/Pennsylvania" TargetMode="External"/><Relationship Id="rId1113" Type="http://schemas.openxmlformats.org/officeDocument/2006/relationships/hyperlink" Target="https://en.wikipedia.org/wiki/James_R._Hallford_Stadium" TargetMode="External"/><Relationship Id="rId1103" Type="http://schemas.openxmlformats.org/officeDocument/2006/relationships/hyperlink" Target="https://en.wikipedia.org/wiki/Pine_Bluff,_Arkansas" TargetMode="External"/><Relationship Id="rId1587" Type="http://schemas.openxmlformats.org/officeDocument/2006/relationships/hyperlink" Target="https://en.wikipedia.org/wiki/Mississippi" TargetMode="External"/><Relationship Id="rId1104" Type="http://schemas.openxmlformats.org/officeDocument/2006/relationships/hyperlink" Target="https://en.wikipedia.org/wiki/Arkansas" TargetMode="External"/><Relationship Id="rId1588" Type="http://schemas.openxmlformats.org/officeDocument/2006/relationships/hyperlink" Target="https://en.wikipedia.org/wiki/Tupelo_High_School" TargetMode="External"/><Relationship Id="rId1105" Type="http://schemas.openxmlformats.org/officeDocument/2006/relationships/hyperlink" Target="https://en.wikipedia.org/wiki/Arkansas%E2%80%93Pine_Bluff_Golden_Lions_football" TargetMode="External"/><Relationship Id="rId1589" Type="http://schemas.openxmlformats.org/officeDocument/2006/relationships/drawing" Target="../drawings/drawing2.xml"/><Relationship Id="rId1106" Type="http://schemas.openxmlformats.org/officeDocument/2006/relationships/hyperlink" Target="https://en.wikipedia.org/wiki/Harry_Turpin_Stadium" TargetMode="External"/><Relationship Id="rId1107" Type="http://schemas.openxmlformats.org/officeDocument/2006/relationships/hyperlink" Target="https://en.wikipedia.org/wiki/Natchitoches,_Louisiana" TargetMode="External"/><Relationship Id="rId1108" Type="http://schemas.openxmlformats.org/officeDocument/2006/relationships/hyperlink" Target="https://en.wikipedia.org/wiki/Louisiana" TargetMode="External"/><Relationship Id="rId1109" Type="http://schemas.openxmlformats.org/officeDocument/2006/relationships/hyperlink" Target="https://en.wikipedia.org/wiki/Northwestern_State_Demons_football" TargetMode="External"/><Relationship Id="rId519" Type="http://schemas.openxmlformats.org/officeDocument/2006/relationships/hyperlink" Target="https://en.wikipedia.org/wiki/Detroit_Tigers" TargetMode="External"/><Relationship Id="rId514" Type="http://schemas.openxmlformats.org/officeDocument/2006/relationships/hyperlink" Target="https://en.wikipedia.org/wiki/Georgia_(U.S._state)" TargetMode="External"/><Relationship Id="rId998" Type="http://schemas.openxmlformats.org/officeDocument/2006/relationships/hyperlink" Target="https://en.wikipedia.org/wiki/Fargo,_North_Dakota" TargetMode="External"/><Relationship Id="rId513" Type="http://schemas.openxmlformats.org/officeDocument/2006/relationships/hyperlink" Target="https://en.wikipedia.org/wiki/Cumberland,_Georgia" TargetMode="External"/><Relationship Id="rId997" Type="http://schemas.openxmlformats.org/officeDocument/2006/relationships/hyperlink" Target="https://en.wikipedia.org/wiki/Fargodome" TargetMode="External"/><Relationship Id="rId512" Type="http://schemas.openxmlformats.org/officeDocument/2006/relationships/hyperlink" Target="https://en.wikipedia.org/wiki/Truist_Park" TargetMode="External"/><Relationship Id="rId996" Type="http://schemas.openxmlformats.org/officeDocument/2006/relationships/hyperlink" Target="https://en.wikipedia.org/wiki/South_Dakota_State_Jackrabbits_football" TargetMode="External"/><Relationship Id="rId511" Type="http://schemas.openxmlformats.org/officeDocument/2006/relationships/hyperlink" Target="https://en.wikipedia.org/wiki/Houston_Astros" TargetMode="External"/><Relationship Id="rId995" Type="http://schemas.openxmlformats.org/officeDocument/2006/relationships/hyperlink" Target="https://en.wikipedia.org/wiki/South_Dakota" TargetMode="External"/><Relationship Id="rId518" Type="http://schemas.openxmlformats.org/officeDocument/2006/relationships/hyperlink" Target="https://en.wikipedia.org/wiki/Michigan" TargetMode="External"/><Relationship Id="rId517" Type="http://schemas.openxmlformats.org/officeDocument/2006/relationships/hyperlink" Target="https://en.wikipedia.org/wiki/Detroit" TargetMode="External"/><Relationship Id="rId516" Type="http://schemas.openxmlformats.org/officeDocument/2006/relationships/hyperlink" Target="https://en.wikipedia.org/wiki/Comerica_Park" TargetMode="External"/><Relationship Id="rId515" Type="http://schemas.openxmlformats.org/officeDocument/2006/relationships/hyperlink" Target="https://en.wikipedia.org/wiki/Atlanta_Braves" TargetMode="External"/><Relationship Id="rId999" Type="http://schemas.openxmlformats.org/officeDocument/2006/relationships/hyperlink" Target="https://en.wikipedia.org/wiki/North_Dakota" TargetMode="External"/><Relationship Id="rId990" Type="http://schemas.openxmlformats.org/officeDocument/2006/relationships/hyperlink" Target="https://en.wikipedia.org/wiki/St._Paul,_Minnesota" TargetMode="External"/><Relationship Id="rId1580" Type="http://schemas.openxmlformats.org/officeDocument/2006/relationships/hyperlink" Target="https://en.wikipedia.org/wiki/Southeast_Missouri_State_Redhawks_football" TargetMode="External"/><Relationship Id="rId1581" Type="http://schemas.openxmlformats.org/officeDocument/2006/relationships/hyperlink" Target="https://en.wikipedia.org/wiki/LMCU_Ballpark" TargetMode="External"/><Relationship Id="rId1582" Type="http://schemas.openxmlformats.org/officeDocument/2006/relationships/hyperlink" Target="https://en.wikipedia.org/wiki/Comstock_Park" TargetMode="External"/><Relationship Id="rId510" Type="http://schemas.openxmlformats.org/officeDocument/2006/relationships/hyperlink" Target="https://en.wikipedia.org/wiki/Texas" TargetMode="External"/><Relationship Id="rId994" Type="http://schemas.openxmlformats.org/officeDocument/2006/relationships/hyperlink" Target="https://en.wikipedia.org/wiki/Brookings,_South_Dakota" TargetMode="External"/><Relationship Id="rId1583" Type="http://schemas.openxmlformats.org/officeDocument/2006/relationships/hyperlink" Target="https://en.wikipedia.org/wiki/Michigan" TargetMode="External"/><Relationship Id="rId993" Type="http://schemas.openxmlformats.org/officeDocument/2006/relationships/hyperlink" Target="https://en.wikipedia.org/wiki/Dana_J._Dykhouse_Stadium" TargetMode="External"/><Relationship Id="rId1100" Type="http://schemas.openxmlformats.org/officeDocument/2006/relationships/hyperlink" Target="https://en.wikipedia.org/wiki/Pennsylvania" TargetMode="External"/><Relationship Id="rId1584" Type="http://schemas.openxmlformats.org/officeDocument/2006/relationships/hyperlink" Target="https://en.wikipedia.org/wiki/West_Michigan_Whitecaps" TargetMode="External"/><Relationship Id="rId992" Type="http://schemas.openxmlformats.org/officeDocument/2006/relationships/hyperlink" Target="https://en.wikipedia.org/wiki/Minnesota_United_FC" TargetMode="External"/><Relationship Id="rId1101" Type="http://schemas.openxmlformats.org/officeDocument/2006/relationships/hyperlink" Target="https://en.wikipedia.org/wiki/Lehigh_Mountain_Hawks_football" TargetMode="External"/><Relationship Id="rId1585" Type="http://schemas.openxmlformats.org/officeDocument/2006/relationships/hyperlink" Target="https://en.wikipedia.org/wiki/Tupelo_High_School" TargetMode="External"/><Relationship Id="rId991" Type="http://schemas.openxmlformats.org/officeDocument/2006/relationships/hyperlink" Target="https://en.wikipedia.org/wiki/Minnesota" TargetMode="External"/><Relationship Id="rId1102" Type="http://schemas.openxmlformats.org/officeDocument/2006/relationships/hyperlink" Target="https://en.wikipedia.org/wiki/Simmons_Bank_Field" TargetMode="External"/><Relationship Id="rId1586" Type="http://schemas.openxmlformats.org/officeDocument/2006/relationships/hyperlink" Target="https://en.wikipedia.org/wiki/Tupelo,_Mississippi" TargetMode="External"/><Relationship Id="rId1532" Type="http://schemas.openxmlformats.org/officeDocument/2006/relationships/hyperlink" Target="https://en.wikipedia.org/wiki/Maryland" TargetMode="External"/><Relationship Id="rId1533" Type="http://schemas.openxmlformats.org/officeDocument/2006/relationships/hyperlink" Target="https://en.wikipedia.org/wiki/Bowie_Baysox" TargetMode="External"/><Relationship Id="rId1534" Type="http://schemas.openxmlformats.org/officeDocument/2006/relationships/hyperlink" Target="https://en.wikipedia.org/wiki/Durham_Bulls_Athletic_Park" TargetMode="External"/><Relationship Id="rId1535" Type="http://schemas.openxmlformats.org/officeDocument/2006/relationships/hyperlink" Target="https://en.wikipedia.org/wiki/Durham,_North_Carolina" TargetMode="External"/><Relationship Id="rId1536" Type="http://schemas.openxmlformats.org/officeDocument/2006/relationships/hyperlink" Target="https://en.wikipedia.org/wiki/North_Carolina" TargetMode="External"/><Relationship Id="rId1537" Type="http://schemas.openxmlformats.org/officeDocument/2006/relationships/hyperlink" Target="https://en.wikipedia.org/wiki/Durham_Bulls" TargetMode="External"/><Relationship Id="rId1538" Type="http://schemas.openxmlformats.org/officeDocument/2006/relationships/hyperlink" Target="https://en.wikipedia.org/wiki/Gold_Mine_on_Airline" TargetMode="External"/><Relationship Id="rId1539" Type="http://schemas.openxmlformats.org/officeDocument/2006/relationships/hyperlink" Target="https://en.wikipedia.org/wiki/Metairie,_Louisiana" TargetMode="External"/><Relationship Id="rId949" Type="http://schemas.openxmlformats.org/officeDocument/2006/relationships/hyperlink" Target="https://en.wikipedia.org/wiki/Richmond,_Kentucky" TargetMode="External"/><Relationship Id="rId948" Type="http://schemas.openxmlformats.org/officeDocument/2006/relationships/hyperlink" Target="https://en.wikipedia.org/wiki/Roy_Kidd_Stadium" TargetMode="External"/><Relationship Id="rId943" Type="http://schemas.openxmlformats.org/officeDocument/2006/relationships/hyperlink" Target="https://en.wikipedia.org/wiki/Brown_Bears_football" TargetMode="External"/><Relationship Id="rId942" Type="http://schemas.openxmlformats.org/officeDocument/2006/relationships/hyperlink" Target="https://en.wikipedia.org/wiki/Rhode_Island" TargetMode="External"/><Relationship Id="rId941" Type="http://schemas.openxmlformats.org/officeDocument/2006/relationships/hyperlink" Target="https://en.wikipedia.org/wiki/Providence,_Rhode_Island" TargetMode="External"/><Relationship Id="rId940" Type="http://schemas.openxmlformats.org/officeDocument/2006/relationships/hyperlink" Target="https://en.wikipedia.org/wiki/Brown_Stadium" TargetMode="External"/><Relationship Id="rId947" Type="http://schemas.openxmlformats.org/officeDocument/2006/relationships/hyperlink" Target="https://en.wikipedia.org/wiki/West_Texas_A%26M_Buffaloes_football" TargetMode="External"/><Relationship Id="rId946" Type="http://schemas.openxmlformats.org/officeDocument/2006/relationships/hyperlink" Target="https://en.wikipedia.org/wiki/Texas" TargetMode="External"/><Relationship Id="rId945" Type="http://schemas.openxmlformats.org/officeDocument/2006/relationships/hyperlink" Target="https://en.wikipedia.org/wiki/Canyon,_Texas" TargetMode="External"/><Relationship Id="rId944" Type="http://schemas.openxmlformats.org/officeDocument/2006/relationships/hyperlink" Target="https://en.wikipedia.org/wiki/Happy_State_Bank_Stadium" TargetMode="External"/><Relationship Id="rId1530" Type="http://schemas.openxmlformats.org/officeDocument/2006/relationships/hyperlink" Target="https://en.wikipedia.org/wiki/Prince_George%27s_Stadium" TargetMode="External"/><Relationship Id="rId1531" Type="http://schemas.openxmlformats.org/officeDocument/2006/relationships/hyperlink" Target="https://en.wikipedia.org/wiki/Bowie,_Maryland" TargetMode="External"/><Relationship Id="rId1521" Type="http://schemas.openxmlformats.org/officeDocument/2006/relationships/hyperlink" Target="https://en.wikipedia.org/wiki/North_Carolina_Central_Eagles_football" TargetMode="External"/><Relationship Id="rId1522" Type="http://schemas.openxmlformats.org/officeDocument/2006/relationships/hyperlink" Target="https://en.wikipedia.org/wiki/PNC_Field" TargetMode="External"/><Relationship Id="rId1523" Type="http://schemas.openxmlformats.org/officeDocument/2006/relationships/hyperlink" Target="https://en.wikipedia.org/wiki/Moosic,_Pennsylvania" TargetMode="External"/><Relationship Id="rId1524" Type="http://schemas.openxmlformats.org/officeDocument/2006/relationships/hyperlink" Target="https://en.wikipedia.org/wiki/Pennsylvania" TargetMode="External"/><Relationship Id="rId1525" Type="http://schemas.openxmlformats.org/officeDocument/2006/relationships/hyperlink" Target="https://en.wikipedia.org/wiki/Scranton/Wilkes-Barre_RailRiders" TargetMode="External"/><Relationship Id="rId1526" Type="http://schemas.openxmlformats.org/officeDocument/2006/relationships/hyperlink" Target="https://en.wikipedia.org/wiki/Northwestern_Medicine_Field" TargetMode="External"/><Relationship Id="rId1527" Type="http://schemas.openxmlformats.org/officeDocument/2006/relationships/hyperlink" Target="https://en.wikipedia.org/wiki/Geneva,_Illinois" TargetMode="External"/><Relationship Id="rId1528" Type="http://schemas.openxmlformats.org/officeDocument/2006/relationships/hyperlink" Target="https://en.wikipedia.org/wiki/Illinois" TargetMode="External"/><Relationship Id="rId1529" Type="http://schemas.openxmlformats.org/officeDocument/2006/relationships/hyperlink" Target="https://en.wikipedia.org/wiki/Kane_County_Cougars" TargetMode="External"/><Relationship Id="rId939" Type="http://schemas.openxmlformats.org/officeDocument/2006/relationships/hyperlink" Target="https://en.wikipedia.org/wiki/Real_Salt_Lake" TargetMode="External"/><Relationship Id="rId938" Type="http://schemas.openxmlformats.org/officeDocument/2006/relationships/hyperlink" Target="https://en.wikipedia.org/wiki/Utah" TargetMode="External"/><Relationship Id="rId937" Type="http://schemas.openxmlformats.org/officeDocument/2006/relationships/hyperlink" Target="https://en.wikipedia.org/wiki/Sandy,_Utah" TargetMode="External"/><Relationship Id="rId932" Type="http://schemas.openxmlformats.org/officeDocument/2006/relationships/hyperlink" Target="https://en.wikipedia.org/wiki/Columbus_Crew" TargetMode="External"/><Relationship Id="rId931" Type="http://schemas.openxmlformats.org/officeDocument/2006/relationships/hyperlink" Target="https://en.wikipedia.org/wiki/Ohio" TargetMode="External"/><Relationship Id="rId930" Type="http://schemas.openxmlformats.org/officeDocument/2006/relationships/hyperlink" Target="https://en.wikipedia.org/wiki/Columbus,_Ohio" TargetMode="External"/><Relationship Id="rId936" Type="http://schemas.openxmlformats.org/officeDocument/2006/relationships/hyperlink" Target="https://en.wikipedia.org/wiki/America_First_Field" TargetMode="External"/><Relationship Id="rId935" Type="http://schemas.openxmlformats.org/officeDocument/2006/relationships/hyperlink" Target="https://en.wikipedia.org/wiki/California" TargetMode="External"/><Relationship Id="rId934" Type="http://schemas.openxmlformats.org/officeDocument/2006/relationships/hyperlink" Target="https://en.wikipedia.org/wiki/Sacramento,_California" TargetMode="External"/><Relationship Id="rId933" Type="http://schemas.openxmlformats.org/officeDocument/2006/relationships/hyperlink" Target="https://en.wikipedia.org/wiki/Charles_C._Hughes_Stadium" TargetMode="External"/><Relationship Id="rId1520" Type="http://schemas.openxmlformats.org/officeDocument/2006/relationships/hyperlink" Target="https://en.wikipedia.org/wiki/North_Carolina" TargetMode="External"/><Relationship Id="rId1554" Type="http://schemas.openxmlformats.org/officeDocument/2006/relationships/hyperlink" Target="https://en.wikipedia.org/wiki/Nashville,_Tennessee" TargetMode="External"/><Relationship Id="rId1555" Type="http://schemas.openxmlformats.org/officeDocument/2006/relationships/hyperlink" Target="https://en.wikipedia.org/wiki/Tennessee" TargetMode="External"/><Relationship Id="rId1556" Type="http://schemas.openxmlformats.org/officeDocument/2006/relationships/hyperlink" Target="https://en.wikipedia.org/wiki/Nashville_Sounds" TargetMode="External"/><Relationship Id="rId1557" Type="http://schemas.openxmlformats.org/officeDocument/2006/relationships/hyperlink" Target="https://en.wikipedia.org/wiki/Phoenix_Rising_Soccer_Complex_at_Wild_Horse_Pass" TargetMode="External"/><Relationship Id="rId1558" Type="http://schemas.openxmlformats.org/officeDocument/2006/relationships/hyperlink" Target="https://en.wikipedia.org/wiki/Chandler,_Arizona" TargetMode="External"/><Relationship Id="rId1559" Type="http://schemas.openxmlformats.org/officeDocument/2006/relationships/hyperlink" Target="https://en.wikipedia.org/wiki/Arizona" TargetMode="External"/><Relationship Id="rId965" Type="http://schemas.openxmlformats.org/officeDocument/2006/relationships/hyperlink" Target="https://en.wikipedia.org/wiki/Illinois" TargetMode="External"/><Relationship Id="rId964" Type="http://schemas.openxmlformats.org/officeDocument/2006/relationships/hyperlink" Target="https://en.wikipedia.org/wiki/Bridgeview,_Illinois" TargetMode="External"/><Relationship Id="rId963" Type="http://schemas.openxmlformats.org/officeDocument/2006/relationships/hyperlink" Target="https://en.wikipedia.org/wiki/SeatGeek_Stadium" TargetMode="External"/><Relationship Id="rId962" Type="http://schemas.openxmlformats.org/officeDocument/2006/relationships/hyperlink" Target="https://en.wikipedia.org/wiki/FIU_Golden_Panthers_football" TargetMode="External"/><Relationship Id="rId969" Type="http://schemas.openxmlformats.org/officeDocument/2006/relationships/hyperlink" Target="https://en.wikipedia.org/wiki/District_of_Columbia" TargetMode="External"/><Relationship Id="rId968" Type="http://schemas.openxmlformats.org/officeDocument/2006/relationships/hyperlink" Target="https://en.wikipedia.org/wiki/Washington,_D.C." TargetMode="External"/><Relationship Id="rId967" Type="http://schemas.openxmlformats.org/officeDocument/2006/relationships/hyperlink" Target="https://en.wikipedia.org/wiki/Audi_Field" TargetMode="External"/><Relationship Id="rId966" Type="http://schemas.openxmlformats.org/officeDocument/2006/relationships/hyperlink" Target="https://en.wikipedia.org/wiki/Chicago_Red_Stars" TargetMode="External"/><Relationship Id="rId961" Type="http://schemas.openxmlformats.org/officeDocument/2006/relationships/hyperlink" Target="https://en.wikipedia.org/wiki/Florida" TargetMode="External"/><Relationship Id="rId1550" Type="http://schemas.openxmlformats.org/officeDocument/2006/relationships/hyperlink" Target="https://en.wikipedia.org/wiki/Cary,_North_Carolina" TargetMode="External"/><Relationship Id="rId960" Type="http://schemas.openxmlformats.org/officeDocument/2006/relationships/hyperlink" Target="https://en.wikipedia.org/wiki/Miami" TargetMode="External"/><Relationship Id="rId1551" Type="http://schemas.openxmlformats.org/officeDocument/2006/relationships/hyperlink" Target="https://en.wikipedia.org/wiki/North_Carolina" TargetMode="External"/><Relationship Id="rId1552" Type="http://schemas.openxmlformats.org/officeDocument/2006/relationships/hyperlink" Target="https://en.wikipedia.org/wiki/North_Carolina_Courage" TargetMode="External"/><Relationship Id="rId1553" Type="http://schemas.openxmlformats.org/officeDocument/2006/relationships/hyperlink" Target="https://en.wikipedia.org/wiki/First_Horizon_Park" TargetMode="External"/><Relationship Id="rId1543" Type="http://schemas.openxmlformats.org/officeDocument/2006/relationships/hyperlink" Target="https://en.wikipedia.org/wiki/Phoenix,_Arizona" TargetMode="External"/><Relationship Id="rId1544" Type="http://schemas.openxmlformats.org/officeDocument/2006/relationships/hyperlink" Target="https://en.wikipedia.org/wiki/Arizona" TargetMode="External"/><Relationship Id="rId1545" Type="http://schemas.openxmlformats.org/officeDocument/2006/relationships/hyperlink" Target="https://en.wikipedia.org/wiki/Autozone_Park" TargetMode="External"/><Relationship Id="rId1546" Type="http://schemas.openxmlformats.org/officeDocument/2006/relationships/hyperlink" Target="https://en.wikipedia.org/wiki/Memphis,_Tennessee" TargetMode="External"/><Relationship Id="rId1547" Type="http://schemas.openxmlformats.org/officeDocument/2006/relationships/hyperlink" Target="https://en.wikipedia.org/wiki/Tennessee" TargetMode="External"/><Relationship Id="rId1548" Type="http://schemas.openxmlformats.org/officeDocument/2006/relationships/hyperlink" Target="https://en.wikipedia.org/wiki/Memphis_Redbirds" TargetMode="External"/><Relationship Id="rId1549" Type="http://schemas.openxmlformats.org/officeDocument/2006/relationships/hyperlink" Target="https://en.wikipedia.org/wiki/WakeMed_Soccer_Park" TargetMode="External"/><Relationship Id="rId959" Type="http://schemas.openxmlformats.org/officeDocument/2006/relationships/hyperlink" Target="https://en.wikipedia.org/wiki/FIU_Stadium" TargetMode="External"/><Relationship Id="rId954" Type="http://schemas.openxmlformats.org/officeDocument/2006/relationships/hyperlink" Target="https://en.wikipedia.org/wiki/Florida" TargetMode="External"/><Relationship Id="rId953" Type="http://schemas.openxmlformats.org/officeDocument/2006/relationships/hyperlink" Target="https://en.wikipedia.org/wiki/Lauderhill,_Florida" TargetMode="External"/><Relationship Id="rId952" Type="http://schemas.openxmlformats.org/officeDocument/2006/relationships/hyperlink" Target="https://en.wikipedia.org/wiki/Central_Broward_Park" TargetMode="External"/><Relationship Id="rId951" Type="http://schemas.openxmlformats.org/officeDocument/2006/relationships/hyperlink" Target="https://en.wikipedia.org/wiki/Eastern_Kentucky_Colonels_football" TargetMode="External"/><Relationship Id="rId958" Type="http://schemas.openxmlformats.org/officeDocument/2006/relationships/hyperlink" Target="https://en.wikipedia.org/wiki/Hawaii" TargetMode="External"/><Relationship Id="rId957" Type="http://schemas.openxmlformats.org/officeDocument/2006/relationships/hyperlink" Target="https://en.wikipedia.org/wiki/Wailuku,_Hawaii" TargetMode="External"/><Relationship Id="rId956" Type="http://schemas.openxmlformats.org/officeDocument/2006/relationships/hyperlink" Target="https://en.wikipedia.org/wiki/War_Memorial_Stadium_(Wailuku,_Hawaii)" TargetMode="External"/><Relationship Id="rId955" Type="http://schemas.openxmlformats.org/officeDocument/2006/relationships/hyperlink" Target="https://en.wikipedia.org/wiki/Floridians_FC" TargetMode="External"/><Relationship Id="rId950" Type="http://schemas.openxmlformats.org/officeDocument/2006/relationships/hyperlink" Target="https://en.wikipedia.org/wiki/Kentucky" TargetMode="External"/><Relationship Id="rId1540" Type="http://schemas.openxmlformats.org/officeDocument/2006/relationships/hyperlink" Target="https://en.wikipedia.org/wiki/Louisiana" TargetMode="External"/><Relationship Id="rId1541" Type="http://schemas.openxmlformats.org/officeDocument/2006/relationships/hyperlink" Target="https://en.wikipedia.org/wiki/New_Orleans_Gold" TargetMode="External"/><Relationship Id="rId1542" Type="http://schemas.openxmlformats.org/officeDocument/2006/relationships/hyperlink" Target="https://en.wikipedia.org/wiki/American_Family_Fields_of_Phoenix" TargetMode="External"/><Relationship Id="rId590" Type="http://schemas.openxmlformats.org/officeDocument/2006/relationships/hyperlink" Target="https://en.wikipedia.org/wiki/Albertsons_Stadium" TargetMode="External"/><Relationship Id="rId107" Type="http://schemas.openxmlformats.org/officeDocument/2006/relationships/hyperlink" Target="https://en.wikipedia.org/wiki/Denver" TargetMode="External"/><Relationship Id="rId106" Type="http://schemas.openxmlformats.org/officeDocument/2006/relationships/hyperlink" Target="https://en.wikipedia.org/wiki/Empower_Field_at_Mile_High" TargetMode="External"/><Relationship Id="rId105" Type="http://schemas.openxmlformats.org/officeDocument/2006/relationships/hyperlink" Target="https://en.wikipedia.org/wiki/Arkansas_Razorbacks_football" TargetMode="External"/><Relationship Id="rId589" Type="http://schemas.openxmlformats.org/officeDocument/2006/relationships/hyperlink" Target="https://en.wikipedia.org/wiki/Colorado_State_Rams_football" TargetMode="External"/><Relationship Id="rId104" Type="http://schemas.openxmlformats.org/officeDocument/2006/relationships/hyperlink" Target="https://en.wikipedia.org/wiki/Arkansas" TargetMode="External"/><Relationship Id="rId588" Type="http://schemas.openxmlformats.org/officeDocument/2006/relationships/hyperlink" Target="https://en.wikipedia.org/wiki/Colorado" TargetMode="External"/><Relationship Id="rId109" Type="http://schemas.openxmlformats.org/officeDocument/2006/relationships/hyperlink" Target="https://en.wikipedia.org/wiki/Denver_Broncos" TargetMode="External"/><Relationship Id="rId1170" Type="http://schemas.openxmlformats.org/officeDocument/2006/relationships/hyperlink" Target="https://en.wikipedia.org/wiki/Rhodes_Stadium" TargetMode="External"/><Relationship Id="rId108" Type="http://schemas.openxmlformats.org/officeDocument/2006/relationships/hyperlink" Target="https://en.wikipedia.org/wiki/Colorado" TargetMode="External"/><Relationship Id="rId1171" Type="http://schemas.openxmlformats.org/officeDocument/2006/relationships/hyperlink" Target="https://en.wikipedia.org/wiki/Elon,_North_Carolina" TargetMode="External"/><Relationship Id="rId583" Type="http://schemas.openxmlformats.org/officeDocument/2006/relationships/hyperlink" Target="https://en.wikipedia.org/wiki/Miami" TargetMode="External"/><Relationship Id="rId1172" Type="http://schemas.openxmlformats.org/officeDocument/2006/relationships/hyperlink" Target="https://en.wikipedia.org/wiki/North_Carolina" TargetMode="External"/><Relationship Id="rId582" Type="http://schemas.openxmlformats.org/officeDocument/2006/relationships/hyperlink" Target="https://en.wikipedia.org/wiki/LoanDepot_Park" TargetMode="External"/><Relationship Id="rId1173" Type="http://schemas.openxmlformats.org/officeDocument/2006/relationships/hyperlink" Target="https://en.wikipedia.org/wiki/Elon_Phoenix_football" TargetMode="External"/><Relationship Id="rId581" Type="http://schemas.openxmlformats.org/officeDocument/2006/relationships/hyperlink" Target="https://en.wikipedia.org/wiki/USA_Sevens" TargetMode="External"/><Relationship Id="rId1174" Type="http://schemas.openxmlformats.org/officeDocument/2006/relationships/hyperlink" Target="https://en.wikipedia.org/wiki/Rochester_Community_Sports_Complex_Stadium" TargetMode="External"/><Relationship Id="rId580" Type="http://schemas.openxmlformats.org/officeDocument/2006/relationships/hyperlink" Target="https://en.wikipedia.org/wiki/Nevada" TargetMode="External"/><Relationship Id="rId1175" Type="http://schemas.openxmlformats.org/officeDocument/2006/relationships/hyperlink" Target="https://en.wikipedia.org/wiki/Rochester,_New_York" TargetMode="External"/><Relationship Id="rId103" Type="http://schemas.openxmlformats.org/officeDocument/2006/relationships/hyperlink" Target="https://en.wikipedia.org/wiki/Fayetteville,_Arkansas" TargetMode="External"/><Relationship Id="rId587" Type="http://schemas.openxmlformats.org/officeDocument/2006/relationships/hyperlink" Target="https://en.wikipedia.org/wiki/Fort_Collins,_Colorado" TargetMode="External"/><Relationship Id="rId1176" Type="http://schemas.openxmlformats.org/officeDocument/2006/relationships/hyperlink" Target="https://en.wikipedia.org/wiki/New_York_(state)" TargetMode="External"/><Relationship Id="rId102" Type="http://schemas.openxmlformats.org/officeDocument/2006/relationships/hyperlink" Target="https://en.wikipedia.org/wiki/Donald_W._Reynolds_Razorback_Stadium" TargetMode="External"/><Relationship Id="rId586" Type="http://schemas.openxmlformats.org/officeDocument/2006/relationships/hyperlink" Target="https://en.wikipedia.org/wiki/Canvas_Stadium" TargetMode="External"/><Relationship Id="rId1177" Type="http://schemas.openxmlformats.org/officeDocument/2006/relationships/hyperlink" Target="https://en.wikipedia.org/wiki/Flower_City_Union" TargetMode="External"/><Relationship Id="rId101" Type="http://schemas.openxmlformats.org/officeDocument/2006/relationships/hyperlink" Target="https://en.wikipedia.org/wiki/Kansas_City_Chiefs" TargetMode="External"/><Relationship Id="rId585" Type="http://schemas.openxmlformats.org/officeDocument/2006/relationships/hyperlink" Target="https://en.wikipedia.org/wiki/Miami_Marlins" TargetMode="External"/><Relationship Id="rId1178" Type="http://schemas.openxmlformats.org/officeDocument/2006/relationships/hyperlink" Target="https://en.wikipedia.org/wiki/Bob_Waters_Field_at_E._J._Whitmire_Stadium" TargetMode="External"/><Relationship Id="rId100" Type="http://schemas.openxmlformats.org/officeDocument/2006/relationships/hyperlink" Target="https://en.wikipedia.org/wiki/Missouri" TargetMode="External"/><Relationship Id="rId584" Type="http://schemas.openxmlformats.org/officeDocument/2006/relationships/hyperlink" Target="https://en.wikipedia.org/wiki/Florida" TargetMode="External"/><Relationship Id="rId1179" Type="http://schemas.openxmlformats.org/officeDocument/2006/relationships/hyperlink" Target="https://en.wikipedia.org/wiki/Cullowhee,_North_Carolina" TargetMode="External"/><Relationship Id="rId1169" Type="http://schemas.openxmlformats.org/officeDocument/2006/relationships/hyperlink" Target="https://en.wikipedia.org/wiki/Sam_Houston_Bearkats_football" TargetMode="External"/><Relationship Id="rId579" Type="http://schemas.openxmlformats.org/officeDocument/2006/relationships/hyperlink" Target="https://en.wikipedia.org/wiki/Whitney,_Nevada" TargetMode="External"/><Relationship Id="rId578" Type="http://schemas.openxmlformats.org/officeDocument/2006/relationships/hyperlink" Target="https://en.wikipedia.org/wiki/Sam_Boyd_Stadium" TargetMode="External"/><Relationship Id="rId577" Type="http://schemas.openxmlformats.org/officeDocument/2006/relationships/hyperlink" Target="https://en.wikipedia.org/wiki/Boston_Red_Sox" TargetMode="External"/><Relationship Id="rId1160" Type="http://schemas.openxmlformats.org/officeDocument/2006/relationships/hyperlink" Target="https://en.wikipedia.org/wiki/Florence,_Alabama" TargetMode="External"/><Relationship Id="rId572" Type="http://schemas.openxmlformats.org/officeDocument/2006/relationships/hyperlink" Target="https://en.wikipedia.org/wiki/Missouri" TargetMode="External"/><Relationship Id="rId1161" Type="http://schemas.openxmlformats.org/officeDocument/2006/relationships/hyperlink" Target="https://en.wikipedia.org/wiki/Alabama" TargetMode="External"/><Relationship Id="rId571" Type="http://schemas.openxmlformats.org/officeDocument/2006/relationships/hyperlink" Target="https://en.wikipedia.org/wiki/Kansas_City,_Missouri" TargetMode="External"/><Relationship Id="rId1162" Type="http://schemas.openxmlformats.org/officeDocument/2006/relationships/hyperlink" Target="https://en.wikipedia.org/wiki/North_Alabama_Lions_football" TargetMode="External"/><Relationship Id="rId570" Type="http://schemas.openxmlformats.org/officeDocument/2006/relationships/hyperlink" Target="https://en.wikipedia.org/wiki/Kauffman_Stadium" TargetMode="External"/><Relationship Id="rId1163" Type="http://schemas.openxmlformats.org/officeDocument/2006/relationships/hyperlink" Target="https://en.wikipedia.org/wiki/Louis_Armstrong_Stadium" TargetMode="External"/><Relationship Id="rId1164" Type="http://schemas.openxmlformats.org/officeDocument/2006/relationships/hyperlink" Target="https://en.wikipedia.org/wiki/New_York_City" TargetMode="External"/><Relationship Id="rId576" Type="http://schemas.openxmlformats.org/officeDocument/2006/relationships/hyperlink" Target="https://en.wikipedia.org/wiki/Massachusetts" TargetMode="External"/><Relationship Id="rId1165" Type="http://schemas.openxmlformats.org/officeDocument/2006/relationships/hyperlink" Target="https://en.wikipedia.org/wiki/New_York_(state)" TargetMode="External"/><Relationship Id="rId575" Type="http://schemas.openxmlformats.org/officeDocument/2006/relationships/hyperlink" Target="https://en.wikipedia.org/wiki/Boston" TargetMode="External"/><Relationship Id="rId1166" Type="http://schemas.openxmlformats.org/officeDocument/2006/relationships/hyperlink" Target="https://en.wikipedia.org/wiki/Bowers_Stadium" TargetMode="External"/><Relationship Id="rId574" Type="http://schemas.openxmlformats.org/officeDocument/2006/relationships/hyperlink" Target="https://en.wikipedia.org/wiki/Fenway_Park" TargetMode="External"/><Relationship Id="rId1167" Type="http://schemas.openxmlformats.org/officeDocument/2006/relationships/hyperlink" Target="https://en.wikipedia.org/wiki/Huntsville,_Texas" TargetMode="External"/><Relationship Id="rId573" Type="http://schemas.openxmlformats.org/officeDocument/2006/relationships/hyperlink" Target="https://en.wikipedia.org/wiki/Kansas_City_Royals" TargetMode="External"/><Relationship Id="rId1168" Type="http://schemas.openxmlformats.org/officeDocument/2006/relationships/hyperlink" Target="https://en.wikipedia.org/wiki/Texas" TargetMode="External"/><Relationship Id="rId129" Type="http://schemas.openxmlformats.org/officeDocument/2006/relationships/hyperlink" Target="https://en.wikipedia.org/wiki/Houston_Texans" TargetMode="External"/><Relationship Id="rId128" Type="http://schemas.openxmlformats.org/officeDocument/2006/relationships/hyperlink" Target="https://en.wikipedia.org/wiki/Texas" TargetMode="External"/><Relationship Id="rId127" Type="http://schemas.openxmlformats.org/officeDocument/2006/relationships/hyperlink" Target="https://en.wikipedia.org/wiki/Houston" TargetMode="External"/><Relationship Id="rId126" Type="http://schemas.openxmlformats.org/officeDocument/2006/relationships/hyperlink" Target="https://en.wikipedia.org/wiki/NRG_Stadium" TargetMode="External"/><Relationship Id="rId1190" Type="http://schemas.openxmlformats.org/officeDocument/2006/relationships/hyperlink" Target="https://en.wikipedia.org/wiki/Normal,_Illinois" TargetMode="External"/><Relationship Id="rId1191" Type="http://schemas.openxmlformats.org/officeDocument/2006/relationships/hyperlink" Target="https://en.wikipedia.org/wiki/Illinois" TargetMode="External"/><Relationship Id="rId1192" Type="http://schemas.openxmlformats.org/officeDocument/2006/relationships/hyperlink" Target="https://en.wikipedia.org/wiki/Illinois_State_Redbirds_football" TargetMode="External"/><Relationship Id="rId1193" Type="http://schemas.openxmlformats.org/officeDocument/2006/relationships/hyperlink" Target="https://en.wikipedia.org/wiki/Fisher_Stadium" TargetMode="External"/><Relationship Id="rId121" Type="http://schemas.openxmlformats.org/officeDocument/2006/relationships/hyperlink" Target="https://en.wikipedia.org/wiki/Carolina_Panthers" TargetMode="External"/><Relationship Id="rId1194" Type="http://schemas.openxmlformats.org/officeDocument/2006/relationships/hyperlink" Target="https://en.wikipedia.org/wiki/Easton,_Pennsylvania" TargetMode="External"/><Relationship Id="rId120" Type="http://schemas.openxmlformats.org/officeDocument/2006/relationships/hyperlink" Target="https://en.wikipedia.org/wiki/North_Carolina" TargetMode="External"/><Relationship Id="rId1195" Type="http://schemas.openxmlformats.org/officeDocument/2006/relationships/hyperlink" Target="https://en.wikipedia.org/wiki/Pennsylvania" TargetMode="External"/><Relationship Id="rId1196" Type="http://schemas.openxmlformats.org/officeDocument/2006/relationships/hyperlink" Target="https://en.wikipedia.org/wiki/Lafayette_Leopards_football" TargetMode="External"/><Relationship Id="rId1197" Type="http://schemas.openxmlformats.org/officeDocument/2006/relationships/hyperlink" Target="https://en.wikipedia.org/wiki/Louisville_Slugger_Field" TargetMode="External"/><Relationship Id="rId125" Type="http://schemas.openxmlformats.org/officeDocument/2006/relationships/hyperlink" Target="https://en.wikipedia.org/wiki/New_Orleans_Saints" TargetMode="External"/><Relationship Id="rId1198" Type="http://schemas.openxmlformats.org/officeDocument/2006/relationships/hyperlink" Target="https://en.wikipedia.org/wiki/Louisville,_Kentucky" TargetMode="External"/><Relationship Id="rId124" Type="http://schemas.openxmlformats.org/officeDocument/2006/relationships/hyperlink" Target="https://en.wikipedia.org/wiki/Louisiana" TargetMode="External"/><Relationship Id="rId1199" Type="http://schemas.openxmlformats.org/officeDocument/2006/relationships/hyperlink" Target="https://en.wikipedia.org/wiki/Kentucky" TargetMode="External"/><Relationship Id="rId123" Type="http://schemas.openxmlformats.org/officeDocument/2006/relationships/hyperlink" Target="https://en.wikipedia.org/wiki/New_Orleans" TargetMode="External"/><Relationship Id="rId122" Type="http://schemas.openxmlformats.org/officeDocument/2006/relationships/hyperlink" Target="https://en.wikipedia.org/wiki/Caesars_Superdome" TargetMode="External"/><Relationship Id="rId118" Type="http://schemas.openxmlformats.org/officeDocument/2006/relationships/hyperlink" Target="https://en.wikipedia.org/wiki/Bank_of_America_Stadium" TargetMode="External"/><Relationship Id="rId117" Type="http://schemas.openxmlformats.org/officeDocument/2006/relationships/hyperlink" Target="https://en.wikipedia.org/wiki/Michigan_State_Spartans_football" TargetMode="External"/><Relationship Id="rId116" Type="http://schemas.openxmlformats.org/officeDocument/2006/relationships/hyperlink" Target="https://en.wikipedia.org/wiki/Michigan" TargetMode="External"/><Relationship Id="rId115" Type="http://schemas.openxmlformats.org/officeDocument/2006/relationships/hyperlink" Target="https://en.wikipedia.org/wiki/East_Lansing,_Michigan" TargetMode="External"/><Relationship Id="rId599" Type="http://schemas.openxmlformats.org/officeDocument/2006/relationships/hyperlink" Target="https://en.wikipedia.org/wiki/Corvallis,_Oregon" TargetMode="External"/><Relationship Id="rId1180" Type="http://schemas.openxmlformats.org/officeDocument/2006/relationships/hyperlink" Target="https://en.wikipedia.org/wiki/North_Carolina" TargetMode="External"/><Relationship Id="rId1181" Type="http://schemas.openxmlformats.org/officeDocument/2006/relationships/hyperlink" Target="https://en.wikipedia.org/wiki/Western_Carolina_Catamounts_football" TargetMode="External"/><Relationship Id="rId119" Type="http://schemas.openxmlformats.org/officeDocument/2006/relationships/hyperlink" Target="https://en.wikipedia.org/wiki/Charlotte,_North_Carolina" TargetMode="External"/><Relationship Id="rId1182" Type="http://schemas.openxmlformats.org/officeDocument/2006/relationships/hyperlink" Target="https://en.wikipedia.org/wiki/McAllen_Veterans_Memorial_Stadium" TargetMode="External"/><Relationship Id="rId110" Type="http://schemas.openxmlformats.org/officeDocument/2006/relationships/hyperlink" Target="https://en.wikipedia.org/wiki/Camp_Randall_Stadium" TargetMode="External"/><Relationship Id="rId594" Type="http://schemas.openxmlformats.org/officeDocument/2006/relationships/hyperlink" Target="https://en.wikipedia.org/wiki/M._M._Roberts_Stadium" TargetMode="External"/><Relationship Id="rId1183" Type="http://schemas.openxmlformats.org/officeDocument/2006/relationships/hyperlink" Target="https://en.wikipedia.org/wiki/McAllen,_Texas" TargetMode="External"/><Relationship Id="rId593" Type="http://schemas.openxmlformats.org/officeDocument/2006/relationships/hyperlink" Target="https://en.wikipedia.org/wiki/Boise_State_Broncos_football" TargetMode="External"/><Relationship Id="rId1184" Type="http://schemas.openxmlformats.org/officeDocument/2006/relationships/hyperlink" Target="https://en.wikipedia.org/wiki/Texas" TargetMode="External"/><Relationship Id="rId592" Type="http://schemas.openxmlformats.org/officeDocument/2006/relationships/hyperlink" Target="https://en.wikipedia.org/wiki/Idaho" TargetMode="External"/><Relationship Id="rId1185" Type="http://schemas.openxmlformats.org/officeDocument/2006/relationships/hyperlink" Target="https://en.wikipedia.org/wiki/Innovative_Field" TargetMode="External"/><Relationship Id="rId591" Type="http://schemas.openxmlformats.org/officeDocument/2006/relationships/hyperlink" Target="https://en.wikipedia.org/wiki/Boise,_Idaho" TargetMode="External"/><Relationship Id="rId1186" Type="http://schemas.openxmlformats.org/officeDocument/2006/relationships/hyperlink" Target="https://en.wikipedia.org/wiki/Rochester,_New_York" TargetMode="External"/><Relationship Id="rId114" Type="http://schemas.openxmlformats.org/officeDocument/2006/relationships/hyperlink" Target="https://en.wikipedia.org/wiki/Spartan_Stadium_(East_Lansing)" TargetMode="External"/><Relationship Id="rId598" Type="http://schemas.openxmlformats.org/officeDocument/2006/relationships/hyperlink" Target="https://en.wikipedia.org/wiki/Reser_Stadium" TargetMode="External"/><Relationship Id="rId1187" Type="http://schemas.openxmlformats.org/officeDocument/2006/relationships/hyperlink" Target="https://en.wikipedia.org/wiki/New_York_(state)" TargetMode="External"/><Relationship Id="rId113" Type="http://schemas.openxmlformats.org/officeDocument/2006/relationships/hyperlink" Target="https://en.wikipedia.org/wiki/Wisconsin_Badgers_football" TargetMode="External"/><Relationship Id="rId597" Type="http://schemas.openxmlformats.org/officeDocument/2006/relationships/hyperlink" Target="https://en.wikipedia.org/wiki/Southern_Miss_Golden_Eagles_football" TargetMode="External"/><Relationship Id="rId1188" Type="http://schemas.openxmlformats.org/officeDocument/2006/relationships/hyperlink" Target="https://en.wikipedia.org/wiki/Rochester_Red_Wings" TargetMode="External"/><Relationship Id="rId112" Type="http://schemas.openxmlformats.org/officeDocument/2006/relationships/hyperlink" Target="https://en.wikipedia.org/wiki/Wisconsin" TargetMode="External"/><Relationship Id="rId596" Type="http://schemas.openxmlformats.org/officeDocument/2006/relationships/hyperlink" Target="https://en.wikipedia.org/wiki/Mississippi" TargetMode="External"/><Relationship Id="rId1189" Type="http://schemas.openxmlformats.org/officeDocument/2006/relationships/hyperlink" Target="https://en.wikipedia.org/wiki/Hancock_Stadium" TargetMode="External"/><Relationship Id="rId111" Type="http://schemas.openxmlformats.org/officeDocument/2006/relationships/hyperlink" Target="https://en.wikipedia.org/wiki/Madison,_Wisconsin" TargetMode="External"/><Relationship Id="rId595" Type="http://schemas.openxmlformats.org/officeDocument/2006/relationships/hyperlink" Target="https://en.wikipedia.org/wiki/Hattiesburg,_Mississippi" TargetMode="External"/><Relationship Id="rId1136" Type="http://schemas.openxmlformats.org/officeDocument/2006/relationships/hyperlink" Target="https://en.wikipedia.org/wiki/Carbondale,_Illinois" TargetMode="External"/><Relationship Id="rId1137" Type="http://schemas.openxmlformats.org/officeDocument/2006/relationships/hyperlink" Target="https://en.wikipedia.org/wiki/Illinois" TargetMode="External"/><Relationship Id="rId1138" Type="http://schemas.openxmlformats.org/officeDocument/2006/relationships/hyperlink" Target="https://en.wikipedia.org/wiki/Southern_Illinois_Salukis_football" TargetMode="External"/><Relationship Id="rId1139" Type="http://schemas.openxmlformats.org/officeDocument/2006/relationships/hyperlink" Target="https://en.wikipedia.org/wiki/Sloan_Park" TargetMode="External"/><Relationship Id="rId547" Type="http://schemas.openxmlformats.org/officeDocument/2006/relationships/hyperlink" Target="https://en.wikipedia.org/wiki/Albuquerque,_New_Mexico" TargetMode="External"/><Relationship Id="rId546" Type="http://schemas.openxmlformats.org/officeDocument/2006/relationships/hyperlink" Target="https://en.wikipedia.org/wiki/University_Stadium_(Albuquerque)" TargetMode="External"/><Relationship Id="rId545" Type="http://schemas.openxmlformats.org/officeDocument/2006/relationships/hyperlink" Target="https://en.wikipedia.org/wiki/Houston_Cougars_football" TargetMode="External"/><Relationship Id="rId544" Type="http://schemas.openxmlformats.org/officeDocument/2006/relationships/hyperlink" Target="https://en.wikipedia.org/wiki/Houston" TargetMode="External"/><Relationship Id="rId549" Type="http://schemas.openxmlformats.org/officeDocument/2006/relationships/hyperlink" Target="https://en.wikipedia.org/wiki/New_Mexico_Lobos_football" TargetMode="External"/><Relationship Id="rId548" Type="http://schemas.openxmlformats.org/officeDocument/2006/relationships/hyperlink" Target="https://en.wikipedia.org/wiki/New_Mexico" TargetMode="External"/><Relationship Id="rId1130" Type="http://schemas.openxmlformats.org/officeDocument/2006/relationships/hyperlink" Target="https://en.wikipedia.org/wiki/Allentown,_Pennsylvania" TargetMode="External"/><Relationship Id="rId1131" Type="http://schemas.openxmlformats.org/officeDocument/2006/relationships/hyperlink" Target="https://en.wikipedia.org/wiki/Pennsylvania" TargetMode="External"/><Relationship Id="rId543" Type="http://schemas.openxmlformats.org/officeDocument/2006/relationships/hyperlink" Target="https://en.wikipedia.org/wiki/TDECU_Stadium" TargetMode="External"/><Relationship Id="rId1132" Type="http://schemas.openxmlformats.org/officeDocument/2006/relationships/hyperlink" Target="https://en.wikipedia.org/wiki/Dick_Bivins_Stadium" TargetMode="External"/><Relationship Id="rId542" Type="http://schemas.openxmlformats.org/officeDocument/2006/relationships/hyperlink" Target="https://en.wikipedia.org/wiki/Alabama" TargetMode="External"/><Relationship Id="rId1133" Type="http://schemas.openxmlformats.org/officeDocument/2006/relationships/hyperlink" Target="https://en.wikipedia.org/wiki/Amarillo,_Texas" TargetMode="External"/><Relationship Id="rId541" Type="http://schemas.openxmlformats.org/officeDocument/2006/relationships/hyperlink" Target="https://en.wikipedia.org/wiki/Mobile,_Alabama" TargetMode="External"/><Relationship Id="rId1134" Type="http://schemas.openxmlformats.org/officeDocument/2006/relationships/hyperlink" Target="https://en.wikipedia.org/wiki/Texas" TargetMode="External"/><Relationship Id="rId540" Type="http://schemas.openxmlformats.org/officeDocument/2006/relationships/hyperlink" Target="https://en.wikipedia.org/wiki/Ladd-Peebles_Stadium" TargetMode="External"/><Relationship Id="rId1135" Type="http://schemas.openxmlformats.org/officeDocument/2006/relationships/hyperlink" Target="https://en.wikipedia.org/wiki/Saluki_Stadium" TargetMode="External"/><Relationship Id="rId1125" Type="http://schemas.openxmlformats.org/officeDocument/2006/relationships/hyperlink" Target="https://en.wikipedia.org/wiki/Arkansas" TargetMode="External"/><Relationship Id="rId1126" Type="http://schemas.openxmlformats.org/officeDocument/2006/relationships/hyperlink" Target="https://en.wikipedia.org/wiki/Greenway_Avenue_Stadium" TargetMode="External"/><Relationship Id="rId1127" Type="http://schemas.openxmlformats.org/officeDocument/2006/relationships/hyperlink" Target="https://en.wikipedia.org/wiki/Cumberland,_Maryland" TargetMode="External"/><Relationship Id="rId1128" Type="http://schemas.openxmlformats.org/officeDocument/2006/relationships/hyperlink" Target="https://en.wikipedia.org/wiki/Maryland" TargetMode="External"/><Relationship Id="rId1129" Type="http://schemas.openxmlformats.org/officeDocument/2006/relationships/hyperlink" Target="https://en.wikipedia.org/wiki/J._Birney_Crum_Stadium" TargetMode="External"/><Relationship Id="rId536" Type="http://schemas.openxmlformats.org/officeDocument/2006/relationships/hyperlink" Target="https://en.wikipedia.org/wiki/Petco_Park" TargetMode="External"/><Relationship Id="rId535" Type="http://schemas.openxmlformats.org/officeDocument/2006/relationships/hyperlink" Target="https://en.wikipedia.org/wiki/Texas_Rangers_(baseball)" TargetMode="External"/><Relationship Id="rId534" Type="http://schemas.openxmlformats.org/officeDocument/2006/relationships/hyperlink" Target="https://en.wikipedia.org/wiki/Texas" TargetMode="External"/><Relationship Id="rId533" Type="http://schemas.openxmlformats.org/officeDocument/2006/relationships/hyperlink" Target="https://en.wikipedia.org/wiki/Arlington,_Texas" TargetMode="External"/><Relationship Id="rId539" Type="http://schemas.openxmlformats.org/officeDocument/2006/relationships/hyperlink" Target="https://en.wikipedia.org/wiki/San_Diego_Padres" TargetMode="External"/><Relationship Id="rId538" Type="http://schemas.openxmlformats.org/officeDocument/2006/relationships/hyperlink" Target="https://en.wikipedia.org/wiki/California" TargetMode="External"/><Relationship Id="rId537" Type="http://schemas.openxmlformats.org/officeDocument/2006/relationships/hyperlink" Target="https://en.wikipedia.org/wiki/San_Diego" TargetMode="External"/><Relationship Id="rId1120" Type="http://schemas.openxmlformats.org/officeDocument/2006/relationships/hyperlink" Target="https://en.wikipedia.org/wiki/Stadium_Bowl" TargetMode="External"/><Relationship Id="rId532" Type="http://schemas.openxmlformats.org/officeDocument/2006/relationships/hyperlink" Target="https://en.wikipedia.org/wiki/Globe_Life_Field" TargetMode="External"/><Relationship Id="rId1121" Type="http://schemas.openxmlformats.org/officeDocument/2006/relationships/hyperlink" Target="https://en.wikipedia.org/wiki/Tacoma,_Washington" TargetMode="External"/><Relationship Id="rId531" Type="http://schemas.openxmlformats.org/officeDocument/2006/relationships/hyperlink" Target="https://en.wikipedia.org/wiki/Vanderbilt_Commodores_football" TargetMode="External"/><Relationship Id="rId1122" Type="http://schemas.openxmlformats.org/officeDocument/2006/relationships/hyperlink" Target="https://en.wikipedia.org/wiki/Washington_(state)" TargetMode="External"/><Relationship Id="rId530" Type="http://schemas.openxmlformats.org/officeDocument/2006/relationships/hyperlink" Target="https://en.wikipedia.org/wiki/Tennessee" TargetMode="External"/><Relationship Id="rId1123" Type="http://schemas.openxmlformats.org/officeDocument/2006/relationships/hyperlink" Target="https://en.wikipedia.org/wiki/Quigley_Stadium_(Little_Rock)" TargetMode="External"/><Relationship Id="rId1124" Type="http://schemas.openxmlformats.org/officeDocument/2006/relationships/hyperlink" Target="https://en.wikipedia.org/wiki/Little_Rock,_Arkansas" TargetMode="External"/><Relationship Id="rId1158" Type="http://schemas.openxmlformats.org/officeDocument/2006/relationships/hyperlink" Target="https://en.wikipedia.org/wiki/Salt_Lake_Bees" TargetMode="External"/><Relationship Id="rId1159" Type="http://schemas.openxmlformats.org/officeDocument/2006/relationships/hyperlink" Target="https://en.wikipedia.org/wiki/Braly_Municipal_Stadium" TargetMode="External"/><Relationship Id="rId569" Type="http://schemas.openxmlformats.org/officeDocument/2006/relationships/hyperlink" Target="https://en.wikipedia.org/wiki/Army_Black_Knights_football" TargetMode="External"/><Relationship Id="rId568" Type="http://schemas.openxmlformats.org/officeDocument/2006/relationships/hyperlink" Target="https://en.wikipedia.org/wiki/New_York_(state)" TargetMode="External"/><Relationship Id="rId567" Type="http://schemas.openxmlformats.org/officeDocument/2006/relationships/hyperlink" Target="https://en.wikipedia.org/wiki/West_Point,_New_York" TargetMode="External"/><Relationship Id="rId566" Type="http://schemas.openxmlformats.org/officeDocument/2006/relationships/hyperlink" Target="https://en.wikipedia.org/wiki/Michie_Stadium" TargetMode="External"/><Relationship Id="rId561" Type="http://schemas.openxmlformats.org/officeDocument/2006/relationships/hyperlink" Target="https://en.wikipedia.org/wiki/Cincinnati_Bearcats_football" TargetMode="External"/><Relationship Id="rId1150" Type="http://schemas.openxmlformats.org/officeDocument/2006/relationships/hyperlink" Target="https://en.wikipedia.org/wiki/Stephen_F._Austin_Lumberjacks_football" TargetMode="External"/><Relationship Id="rId560" Type="http://schemas.openxmlformats.org/officeDocument/2006/relationships/hyperlink" Target="https://en.wikipedia.org/wiki/Ohio" TargetMode="External"/><Relationship Id="rId1151" Type="http://schemas.openxmlformats.org/officeDocument/2006/relationships/hyperlink" Target="https://en.wikipedia.org/wiki/Drake_Stadium_(Drake_University)" TargetMode="External"/><Relationship Id="rId1152" Type="http://schemas.openxmlformats.org/officeDocument/2006/relationships/hyperlink" Target="https://en.wikipedia.org/wiki/Des_Moines,_Iowa" TargetMode="External"/><Relationship Id="rId1153" Type="http://schemas.openxmlformats.org/officeDocument/2006/relationships/hyperlink" Target="https://en.wikipedia.org/wiki/Iowa" TargetMode="External"/><Relationship Id="rId565" Type="http://schemas.openxmlformats.org/officeDocument/2006/relationships/hyperlink" Target="https://en.wikipedia.org/wiki/UConn_Huskies_football" TargetMode="External"/><Relationship Id="rId1154" Type="http://schemas.openxmlformats.org/officeDocument/2006/relationships/hyperlink" Target="https://en.wikipedia.org/wiki/Drake_Bulldogs_football" TargetMode="External"/><Relationship Id="rId564" Type="http://schemas.openxmlformats.org/officeDocument/2006/relationships/hyperlink" Target="https://en.wikipedia.org/wiki/Connecticut" TargetMode="External"/><Relationship Id="rId1155" Type="http://schemas.openxmlformats.org/officeDocument/2006/relationships/hyperlink" Target="https://en.wikipedia.org/wiki/Smith%27s_Ballpark" TargetMode="External"/><Relationship Id="rId563" Type="http://schemas.openxmlformats.org/officeDocument/2006/relationships/hyperlink" Target="https://en.wikipedia.org/wiki/East_Hartford,_Connecticut" TargetMode="External"/><Relationship Id="rId1156" Type="http://schemas.openxmlformats.org/officeDocument/2006/relationships/hyperlink" Target="https://en.wikipedia.org/wiki/Salt_Lake_City" TargetMode="External"/><Relationship Id="rId562" Type="http://schemas.openxmlformats.org/officeDocument/2006/relationships/hyperlink" Target="https://en.wikipedia.org/wiki/Pratt_%26_Whitney_Stadium_at_Rentschler_Field" TargetMode="External"/><Relationship Id="rId1157" Type="http://schemas.openxmlformats.org/officeDocument/2006/relationships/hyperlink" Target="https://en.wikipedia.org/wiki/Utah" TargetMode="External"/><Relationship Id="rId1147" Type="http://schemas.openxmlformats.org/officeDocument/2006/relationships/hyperlink" Target="https://en.wikipedia.org/wiki/Homer_Bryce_Stadium" TargetMode="External"/><Relationship Id="rId1148" Type="http://schemas.openxmlformats.org/officeDocument/2006/relationships/hyperlink" Target="https://en.wikipedia.org/wiki/Nacogdoches,_Texas" TargetMode="External"/><Relationship Id="rId1149" Type="http://schemas.openxmlformats.org/officeDocument/2006/relationships/hyperlink" Target="https://en.wikipedia.org/wiki/Texas" TargetMode="External"/><Relationship Id="rId558" Type="http://schemas.openxmlformats.org/officeDocument/2006/relationships/hyperlink" Target="https://en.wikipedia.org/wiki/Nippert_Stadium" TargetMode="External"/><Relationship Id="rId557" Type="http://schemas.openxmlformats.org/officeDocument/2006/relationships/hyperlink" Target="https://en.wikipedia.org/wiki/Minnesota_Twins" TargetMode="External"/><Relationship Id="rId556" Type="http://schemas.openxmlformats.org/officeDocument/2006/relationships/hyperlink" Target="https://en.wikipedia.org/wiki/Minnesota" TargetMode="External"/><Relationship Id="rId555" Type="http://schemas.openxmlformats.org/officeDocument/2006/relationships/hyperlink" Target="https://en.wikipedia.org/wiki/Minneapolis" TargetMode="External"/><Relationship Id="rId559" Type="http://schemas.openxmlformats.org/officeDocument/2006/relationships/hyperlink" Target="https://en.wikipedia.org/wiki/Cincinnati" TargetMode="External"/><Relationship Id="rId550" Type="http://schemas.openxmlformats.org/officeDocument/2006/relationships/hyperlink" Target="https://en.wikipedia.org/wiki/PNC_Park" TargetMode="External"/><Relationship Id="rId1140" Type="http://schemas.openxmlformats.org/officeDocument/2006/relationships/hyperlink" Target="https://en.wikipedia.org/wiki/Mesa,_Arizona" TargetMode="External"/><Relationship Id="rId1141" Type="http://schemas.openxmlformats.org/officeDocument/2006/relationships/hyperlink" Target="https://en.wikipedia.org/wiki/Arizona" TargetMode="External"/><Relationship Id="rId1142" Type="http://schemas.openxmlformats.org/officeDocument/2006/relationships/hyperlink" Target="https://en.wikipedia.org/wiki/Mesa_Solar_Sox" TargetMode="External"/><Relationship Id="rId554" Type="http://schemas.openxmlformats.org/officeDocument/2006/relationships/hyperlink" Target="https://en.wikipedia.org/wiki/Target_Field" TargetMode="External"/><Relationship Id="rId1143" Type="http://schemas.openxmlformats.org/officeDocument/2006/relationships/hyperlink" Target="https://en.wikipedia.org/wiki/Panther_Stadium_at_Blackshear_Field" TargetMode="External"/><Relationship Id="rId553" Type="http://schemas.openxmlformats.org/officeDocument/2006/relationships/hyperlink" Target="https://en.wikipedia.org/wiki/Pittsburgh_Pirates" TargetMode="External"/><Relationship Id="rId1144" Type="http://schemas.openxmlformats.org/officeDocument/2006/relationships/hyperlink" Target="https://en.wikipedia.org/wiki/Prairie_View,_Texas" TargetMode="External"/><Relationship Id="rId552" Type="http://schemas.openxmlformats.org/officeDocument/2006/relationships/hyperlink" Target="https://en.wikipedia.org/wiki/Pennsylvania" TargetMode="External"/><Relationship Id="rId1145" Type="http://schemas.openxmlformats.org/officeDocument/2006/relationships/hyperlink" Target="https://en.wikipedia.org/wiki/Texas" TargetMode="External"/><Relationship Id="rId551" Type="http://schemas.openxmlformats.org/officeDocument/2006/relationships/hyperlink" Target="https://en.wikipedia.org/wiki/Pittsburgh" TargetMode="External"/><Relationship Id="rId1146" Type="http://schemas.openxmlformats.org/officeDocument/2006/relationships/hyperlink" Target="https://en.wikipedia.org/wiki/Prairie_View_A%26M_Panthers_football" TargetMode="External"/><Relationship Id="rId495" Type="http://schemas.openxmlformats.org/officeDocument/2006/relationships/hyperlink" Target="https://en.wikipedia.org/wiki/Milwaukee_Brewers" TargetMode="External"/><Relationship Id="rId494" Type="http://schemas.openxmlformats.org/officeDocument/2006/relationships/hyperlink" Target="https://en.wikipedia.org/wiki/Wisconsin" TargetMode="External"/><Relationship Id="rId493" Type="http://schemas.openxmlformats.org/officeDocument/2006/relationships/hyperlink" Target="https://en.wikipedia.org/wiki/Milwaukee" TargetMode="External"/><Relationship Id="rId492" Type="http://schemas.openxmlformats.org/officeDocument/2006/relationships/hyperlink" Target="https://en.wikipedia.org/wiki/American_Family_Field" TargetMode="External"/><Relationship Id="rId499" Type="http://schemas.openxmlformats.org/officeDocument/2006/relationships/hyperlink" Target="https://en.wikipedia.org/wiki/Chicago_Cubs" TargetMode="External"/><Relationship Id="rId498" Type="http://schemas.openxmlformats.org/officeDocument/2006/relationships/hyperlink" Target="https://en.wikipedia.org/wiki/Illinois" TargetMode="External"/><Relationship Id="rId497" Type="http://schemas.openxmlformats.org/officeDocument/2006/relationships/hyperlink" Target="https://en.wikipedia.org/wiki/Chicago" TargetMode="External"/><Relationship Id="rId496" Type="http://schemas.openxmlformats.org/officeDocument/2006/relationships/hyperlink" Target="https://en.wikipedia.org/wiki/Wrigley_Field" TargetMode="External"/><Relationship Id="rId907" Type="http://schemas.openxmlformats.org/officeDocument/2006/relationships/hyperlink" Target="https://en.wikipedia.org/wiki/Florida" TargetMode="External"/><Relationship Id="rId906" Type="http://schemas.openxmlformats.org/officeDocument/2006/relationships/hyperlink" Target="https://en.wikipedia.org/wiki/Fort_Lauderdale,_Florida" TargetMode="External"/><Relationship Id="rId905" Type="http://schemas.openxmlformats.org/officeDocument/2006/relationships/hyperlink" Target="https://en.wikipedia.org/wiki/Chase_Stadium" TargetMode="External"/><Relationship Id="rId904" Type="http://schemas.openxmlformats.org/officeDocument/2006/relationships/hyperlink" Target="https://en.wikipedia.org/wiki/Coastal_Carolina_Chanticleers_football" TargetMode="External"/><Relationship Id="rId909" Type="http://schemas.openxmlformats.org/officeDocument/2006/relationships/hyperlink" Target="https://en.wikipedia.org/wiki/Bobcat_Stadium_(Montana_State_University)" TargetMode="External"/><Relationship Id="rId908" Type="http://schemas.openxmlformats.org/officeDocument/2006/relationships/hyperlink" Target="https://en.wikipedia.org/wiki/Inter_Miami_CF" TargetMode="External"/><Relationship Id="rId903" Type="http://schemas.openxmlformats.org/officeDocument/2006/relationships/hyperlink" Target="https://en.wikipedia.org/wiki/South_Carolina" TargetMode="External"/><Relationship Id="rId902" Type="http://schemas.openxmlformats.org/officeDocument/2006/relationships/hyperlink" Target="https://en.wikipedia.org/wiki/Conway,_South_Carolina" TargetMode="External"/><Relationship Id="rId901" Type="http://schemas.openxmlformats.org/officeDocument/2006/relationships/hyperlink" Target="https://en.wikipedia.org/wiki/Brooks_Stadium" TargetMode="External"/><Relationship Id="rId900" Type="http://schemas.openxmlformats.org/officeDocument/2006/relationships/hyperlink" Target="https://en.wikipedia.org/wiki/Alabama_A%26M_Bulldogs_football" TargetMode="External"/><Relationship Id="rId929" Type="http://schemas.openxmlformats.org/officeDocument/2006/relationships/hyperlink" Target="https://en.wikipedia.org/wiki/Lower.com_Field" TargetMode="External"/><Relationship Id="rId928" Type="http://schemas.openxmlformats.org/officeDocument/2006/relationships/hyperlink" Target="https://en.wikipedia.org/wiki/Chattanooga_Mocs_football" TargetMode="External"/><Relationship Id="rId927" Type="http://schemas.openxmlformats.org/officeDocument/2006/relationships/hyperlink" Target="https://en.wikipedia.org/wiki/Tennessee" TargetMode="External"/><Relationship Id="rId926" Type="http://schemas.openxmlformats.org/officeDocument/2006/relationships/hyperlink" Target="https://en.wikipedia.org/wiki/Chattanooga,_Tennessee" TargetMode="External"/><Relationship Id="rId921" Type="http://schemas.openxmlformats.org/officeDocument/2006/relationships/hyperlink" Target="https://en.wikipedia.org/wiki/Toyota_Stadium_(Texas)" TargetMode="External"/><Relationship Id="rId920" Type="http://schemas.openxmlformats.org/officeDocument/2006/relationships/hyperlink" Target="https://en.wikipedia.org/wiki/Youngstown_State_Penguins_football" TargetMode="External"/><Relationship Id="rId925" Type="http://schemas.openxmlformats.org/officeDocument/2006/relationships/hyperlink" Target="https://en.wikipedia.org/wiki/Finley_Stadium" TargetMode="External"/><Relationship Id="rId924" Type="http://schemas.openxmlformats.org/officeDocument/2006/relationships/hyperlink" Target="https://en.wikipedia.org/wiki/FC_Dallas" TargetMode="External"/><Relationship Id="rId923" Type="http://schemas.openxmlformats.org/officeDocument/2006/relationships/hyperlink" Target="https://en.wikipedia.org/wiki/Texas" TargetMode="External"/><Relationship Id="rId922" Type="http://schemas.openxmlformats.org/officeDocument/2006/relationships/hyperlink" Target="https://en.wikipedia.org/wiki/Frisco,_Texas" TargetMode="External"/><Relationship Id="rId918" Type="http://schemas.openxmlformats.org/officeDocument/2006/relationships/hyperlink" Target="https://en.wikipedia.org/wiki/Youngstown,_Ohio" TargetMode="External"/><Relationship Id="rId917" Type="http://schemas.openxmlformats.org/officeDocument/2006/relationships/hyperlink" Target="https://en.wikipedia.org/wiki/Stambaugh_Stadium" TargetMode="External"/><Relationship Id="rId916" Type="http://schemas.openxmlformats.org/officeDocument/2006/relationships/hyperlink" Target="https://en.wikipedia.org/wiki/Austin_FC" TargetMode="External"/><Relationship Id="rId915" Type="http://schemas.openxmlformats.org/officeDocument/2006/relationships/hyperlink" Target="https://en.wikipedia.org/wiki/Texas" TargetMode="External"/><Relationship Id="rId919" Type="http://schemas.openxmlformats.org/officeDocument/2006/relationships/hyperlink" Target="https://en.wikipedia.org/wiki/Ohio" TargetMode="External"/><Relationship Id="rId910" Type="http://schemas.openxmlformats.org/officeDocument/2006/relationships/hyperlink" Target="https://en.wikipedia.org/wiki/Bozeman,_Montana" TargetMode="External"/><Relationship Id="rId914" Type="http://schemas.openxmlformats.org/officeDocument/2006/relationships/hyperlink" Target="https://en.wikipedia.org/wiki/Austin,_Texas" TargetMode="External"/><Relationship Id="rId913" Type="http://schemas.openxmlformats.org/officeDocument/2006/relationships/hyperlink" Target="https://en.wikipedia.org/wiki/Q2_Stadium" TargetMode="External"/><Relationship Id="rId912" Type="http://schemas.openxmlformats.org/officeDocument/2006/relationships/hyperlink" Target="https://en.wikipedia.org/wiki/Montana_State_Bobcats_football" TargetMode="External"/><Relationship Id="rId911" Type="http://schemas.openxmlformats.org/officeDocument/2006/relationships/hyperlink" Target="https://en.wikipedia.org/wiki/Montana" TargetMode="External"/><Relationship Id="rId1213" Type="http://schemas.openxmlformats.org/officeDocument/2006/relationships/hyperlink" Target="https://en.wikipedia.org/wiki/Memorial_Stadium_(Terre_Haute,_Indiana)" TargetMode="External"/><Relationship Id="rId1214" Type="http://schemas.openxmlformats.org/officeDocument/2006/relationships/hyperlink" Target="https://en.wikipedia.org/wiki/Terre_Haute,_Indiana" TargetMode="External"/><Relationship Id="rId1215" Type="http://schemas.openxmlformats.org/officeDocument/2006/relationships/hyperlink" Target="https://en.wikipedia.org/wiki/Indiana" TargetMode="External"/><Relationship Id="rId1216" Type="http://schemas.openxmlformats.org/officeDocument/2006/relationships/hyperlink" Target="https://en.wikipedia.org/wiki/Indiana_State_Sycamores_football" TargetMode="External"/><Relationship Id="rId1217" Type="http://schemas.openxmlformats.org/officeDocument/2006/relationships/hyperlink" Target="https://en.wikipedia.org/wiki/Pasadena_Memorial_Stadium" TargetMode="External"/><Relationship Id="rId1218" Type="http://schemas.openxmlformats.org/officeDocument/2006/relationships/hyperlink" Target="https://en.wikipedia.org/wiki/Pasadena,_Texas" TargetMode="External"/><Relationship Id="rId1219" Type="http://schemas.openxmlformats.org/officeDocument/2006/relationships/hyperlink" Target="https://en.wikipedia.org/wiki/Texas" TargetMode="External"/><Relationship Id="rId866" Type="http://schemas.openxmlformats.org/officeDocument/2006/relationships/hyperlink" Target="https://en.wikipedia.org/wiki/BMO_Stadium" TargetMode="External"/><Relationship Id="rId865" Type="http://schemas.openxmlformats.org/officeDocument/2006/relationships/hyperlink" Target="https://en.wikipedia.org/wiki/South_Carolina_State_Bulldogs_football" TargetMode="External"/><Relationship Id="rId864" Type="http://schemas.openxmlformats.org/officeDocument/2006/relationships/hyperlink" Target="https://en.wikipedia.org/wiki/South_Carolina" TargetMode="External"/><Relationship Id="rId863" Type="http://schemas.openxmlformats.org/officeDocument/2006/relationships/hyperlink" Target="https://en.wikipedia.org/wiki/Orangeburg,_South_Carolina" TargetMode="External"/><Relationship Id="rId869" Type="http://schemas.openxmlformats.org/officeDocument/2006/relationships/hyperlink" Target="https://en.wikipedia.org/wiki/Los_Angeles_FC" TargetMode="External"/><Relationship Id="rId868" Type="http://schemas.openxmlformats.org/officeDocument/2006/relationships/hyperlink" Target="https://en.wikipedia.org/wiki/California" TargetMode="External"/><Relationship Id="rId867" Type="http://schemas.openxmlformats.org/officeDocument/2006/relationships/hyperlink" Target="https://en.wikipedia.org/wiki/Los_Angeles" TargetMode="External"/><Relationship Id="rId862" Type="http://schemas.openxmlformats.org/officeDocument/2006/relationships/hyperlink" Target="https://en.wikipedia.org/wiki/Oliver_C._Dawson_Stadium" TargetMode="External"/><Relationship Id="rId861" Type="http://schemas.openxmlformats.org/officeDocument/2006/relationships/hyperlink" Target="https://en.wikipedia.org/wiki/Houston_Dynamo" TargetMode="External"/><Relationship Id="rId1210" Type="http://schemas.openxmlformats.org/officeDocument/2006/relationships/hyperlink" Target="https://en.wikipedia.org/wiki/Phoenix,_Arizona" TargetMode="External"/><Relationship Id="rId860" Type="http://schemas.openxmlformats.org/officeDocument/2006/relationships/hyperlink" Target="https://en.wikipedia.org/wiki/Texas" TargetMode="External"/><Relationship Id="rId1211" Type="http://schemas.openxmlformats.org/officeDocument/2006/relationships/hyperlink" Target="https://en.wikipedia.org/wiki/Arizona" TargetMode="External"/><Relationship Id="rId1212" Type="http://schemas.openxmlformats.org/officeDocument/2006/relationships/hyperlink" Target="https://en.wikipedia.org/wiki/Glendale_Desert_Dogs" TargetMode="External"/><Relationship Id="rId1202" Type="http://schemas.openxmlformats.org/officeDocument/2006/relationships/hyperlink" Target="https://en.wikipedia.org/wiki/Lewisburg,_Pennsylvania" TargetMode="External"/><Relationship Id="rId1203" Type="http://schemas.openxmlformats.org/officeDocument/2006/relationships/hyperlink" Target="https://en.wikipedia.org/wiki/Pennsylvania" TargetMode="External"/><Relationship Id="rId1204" Type="http://schemas.openxmlformats.org/officeDocument/2006/relationships/hyperlink" Target="https://en.wikipedia.org/wiki/Bucknell_Bison_football" TargetMode="External"/><Relationship Id="rId1205" Type="http://schemas.openxmlformats.org/officeDocument/2006/relationships/hyperlink" Target="https://en.wikipedia.org/wiki/Gibbs_Stadium" TargetMode="External"/><Relationship Id="rId1206" Type="http://schemas.openxmlformats.org/officeDocument/2006/relationships/hyperlink" Target="https://en.wikipedia.org/wiki/Spartanburg,_South_Carolina" TargetMode="External"/><Relationship Id="rId1207" Type="http://schemas.openxmlformats.org/officeDocument/2006/relationships/hyperlink" Target="https://en.wikipedia.org/wiki/South_Carolina" TargetMode="External"/><Relationship Id="rId1208" Type="http://schemas.openxmlformats.org/officeDocument/2006/relationships/hyperlink" Target="https://en.wikipedia.org/wiki/Wofford_Terriers_football" TargetMode="External"/><Relationship Id="rId1209" Type="http://schemas.openxmlformats.org/officeDocument/2006/relationships/hyperlink" Target="https://en.wikipedia.org/wiki/Camelback_Ranch" TargetMode="External"/><Relationship Id="rId855" Type="http://schemas.openxmlformats.org/officeDocument/2006/relationships/hyperlink" Target="https://en.wikipedia.org/wiki/Monterey_Park,_California" TargetMode="External"/><Relationship Id="rId854" Type="http://schemas.openxmlformats.org/officeDocument/2006/relationships/hyperlink" Target="https://en.wikipedia.org/wiki/Weingart_Stadium" TargetMode="External"/><Relationship Id="rId853" Type="http://schemas.openxmlformats.org/officeDocument/2006/relationships/hyperlink" Target="https://en.wikipedia.org/wiki/St._Louis_City_SC" TargetMode="External"/><Relationship Id="rId852" Type="http://schemas.openxmlformats.org/officeDocument/2006/relationships/hyperlink" Target="https://en.wikipedia.org/wiki/Missouri" TargetMode="External"/><Relationship Id="rId859" Type="http://schemas.openxmlformats.org/officeDocument/2006/relationships/hyperlink" Target="https://en.wikipedia.org/wiki/Houston" TargetMode="External"/><Relationship Id="rId858" Type="http://schemas.openxmlformats.org/officeDocument/2006/relationships/hyperlink" Target="https://en.wikipedia.org/wiki/Shell_Energy_Stadium" TargetMode="External"/><Relationship Id="rId857" Type="http://schemas.openxmlformats.org/officeDocument/2006/relationships/hyperlink" Target="https://en.wikipedia.org/wiki/East_Los_Angeles_College" TargetMode="External"/><Relationship Id="rId856" Type="http://schemas.openxmlformats.org/officeDocument/2006/relationships/hyperlink" Target="https://en.wikipedia.org/wiki/California" TargetMode="External"/><Relationship Id="rId851" Type="http://schemas.openxmlformats.org/officeDocument/2006/relationships/hyperlink" Target="https://en.wikipedia.org/wiki/St._Louis" TargetMode="External"/><Relationship Id="rId850" Type="http://schemas.openxmlformats.org/officeDocument/2006/relationships/hyperlink" Target="https://en.wikipedia.org/wiki/CityPark" TargetMode="External"/><Relationship Id="rId1200" Type="http://schemas.openxmlformats.org/officeDocument/2006/relationships/hyperlink" Target="https://en.wikipedia.org/wiki/Louisville_Bats" TargetMode="External"/><Relationship Id="rId1201" Type="http://schemas.openxmlformats.org/officeDocument/2006/relationships/hyperlink" Target="https://en.wikipedia.org/wiki/Christy_Mathewson%E2%80%93Memorial_Stadium" TargetMode="External"/><Relationship Id="rId1235" Type="http://schemas.openxmlformats.org/officeDocument/2006/relationships/hyperlink" Target="https://en.wikipedia.org/wiki/Joy_and_Ralph_Ellis_Stadium" TargetMode="External"/><Relationship Id="rId1236" Type="http://schemas.openxmlformats.org/officeDocument/2006/relationships/hyperlink" Target="https://en.wikipedia.org/wiki/Irving,_Texas" TargetMode="External"/><Relationship Id="rId1237" Type="http://schemas.openxmlformats.org/officeDocument/2006/relationships/hyperlink" Target="https://en.wikipedia.org/wiki/Texas" TargetMode="External"/><Relationship Id="rId1238" Type="http://schemas.openxmlformats.org/officeDocument/2006/relationships/hyperlink" Target="https://en.wikipedia.org/wiki/Juan_Ram%C3%B3n_Loubriel_Stadium" TargetMode="External"/><Relationship Id="rId1239" Type="http://schemas.openxmlformats.org/officeDocument/2006/relationships/hyperlink" Target="https://en.wikipedia.org/wiki/Puerto_Rico" TargetMode="External"/><Relationship Id="rId409" Type="http://schemas.openxmlformats.org/officeDocument/2006/relationships/hyperlink" Target="https://en.wikipedia.org/wiki/Seattle" TargetMode="External"/><Relationship Id="rId404" Type="http://schemas.openxmlformats.org/officeDocument/2006/relationships/hyperlink" Target="https://en.wikipedia.org/wiki/Globe_Life_Park_in_Arlington" TargetMode="External"/><Relationship Id="rId888" Type="http://schemas.openxmlformats.org/officeDocument/2006/relationships/hyperlink" Target="https://en.wikipedia.org/wiki/Louisiana" TargetMode="External"/><Relationship Id="rId403" Type="http://schemas.openxmlformats.org/officeDocument/2006/relationships/hyperlink" Target="https://en.wikipedia.org/wiki/Arizona_Diamondbacks" TargetMode="External"/><Relationship Id="rId887" Type="http://schemas.openxmlformats.org/officeDocument/2006/relationships/hyperlink" Target="https://en.wikipedia.org/wiki/Baton_Rouge" TargetMode="External"/><Relationship Id="rId402" Type="http://schemas.openxmlformats.org/officeDocument/2006/relationships/hyperlink" Target="https://en.wikipedia.org/wiki/Arizona" TargetMode="External"/><Relationship Id="rId886" Type="http://schemas.openxmlformats.org/officeDocument/2006/relationships/hyperlink" Target="https://en.wikipedia.org/wiki/BREC_Memorial_Stadium" TargetMode="External"/><Relationship Id="rId401" Type="http://schemas.openxmlformats.org/officeDocument/2006/relationships/hyperlink" Target="https://en.wikipedia.org/wiki/Phoenix,_Arizona" TargetMode="External"/><Relationship Id="rId885" Type="http://schemas.openxmlformats.org/officeDocument/2006/relationships/hyperlink" Target="https://en.wikipedia.org/wiki/Cornell_Big_Red_football" TargetMode="External"/><Relationship Id="rId408" Type="http://schemas.openxmlformats.org/officeDocument/2006/relationships/hyperlink" Target="https://en.wikipedia.org/wiki/T-Mobile_Park" TargetMode="External"/><Relationship Id="rId407" Type="http://schemas.openxmlformats.org/officeDocument/2006/relationships/hyperlink" Target="https://en.wikipedia.org/wiki/Arlington_Renegades" TargetMode="External"/><Relationship Id="rId406" Type="http://schemas.openxmlformats.org/officeDocument/2006/relationships/hyperlink" Target="https://en.wikipedia.org/wiki/Texas" TargetMode="External"/><Relationship Id="rId405" Type="http://schemas.openxmlformats.org/officeDocument/2006/relationships/hyperlink" Target="https://en.wikipedia.org/wiki/Arlington,_Texas" TargetMode="External"/><Relationship Id="rId889" Type="http://schemas.openxmlformats.org/officeDocument/2006/relationships/hyperlink" Target="https://en.wikipedia.org/wiki/Truist_Stadium_(North_Carolina_A%26T)" TargetMode="External"/><Relationship Id="rId880" Type="http://schemas.openxmlformats.org/officeDocument/2006/relationships/hyperlink" Target="https://en.wikipedia.org/wiki/California" TargetMode="External"/><Relationship Id="rId1230" Type="http://schemas.openxmlformats.org/officeDocument/2006/relationships/hyperlink" Target="https://en.wikipedia.org/wiki/Pennsylvania" TargetMode="External"/><Relationship Id="rId400" Type="http://schemas.openxmlformats.org/officeDocument/2006/relationships/hyperlink" Target="https://en.wikipedia.org/wiki/Chase_Field" TargetMode="External"/><Relationship Id="rId884" Type="http://schemas.openxmlformats.org/officeDocument/2006/relationships/hyperlink" Target="https://en.wikipedia.org/wiki/New_York_(state)" TargetMode="External"/><Relationship Id="rId1231" Type="http://schemas.openxmlformats.org/officeDocument/2006/relationships/hyperlink" Target="https://en.wikipedia.org/wiki/Villanova_Wildcats_football" TargetMode="External"/><Relationship Id="rId883" Type="http://schemas.openxmlformats.org/officeDocument/2006/relationships/hyperlink" Target="https://en.wikipedia.org/wiki/Ithaca,_New_York" TargetMode="External"/><Relationship Id="rId1232" Type="http://schemas.openxmlformats.org/officeDocument/2006/relationships/hyperlink" Target="https://en.wikipedia.org/wiki/Pennington_Field" TargetMode="External"/><Relationship Id="rId882" Type="http://schemas.openxmlformats.org/officeDocument/2006/relationships/hyperlink" Target="https://en.wikipedia.org/wiki/Schoellkopf_Field" TargetMode="External"/><Relationship Id="rId1233" Type="http://schemas.openxmlformats.org/officeDocument/2006/relationships/hyperlink" Target="https://en.wikipedia.org/wiki/Bedford,_Texas" TargetMode="External"/><Relationship Id="rId881" Type="http://schemas.openxmlformats.org/officeDocument/2006/relationships/hyperlink" Target="https://en.wikipedia.org/wiki/San_Jose_State_Spartans_football" TargetMode="External"/><Relationship Id="rId1234" Type="http://schemas.openxmlformats.org/officeDocument/2006/relationships/hyperlink" Target="https://en.wikipedia.org/wiki/Texas" TargetMode="External"/><Relationship Id="rId1224" Type="http://schemas.openxmlformats.org/officeDocument/2006/relationships/hyperlink" Target="https://en.wikipedia.org/wiki/Hayward_Field" TargetMode="External"/><Relationship Id="rId1225" Type="http://schemas.openxmlformats.org/officeDocument/2006/relationships/hyperlink" Target="https://en.wikipedia.org/wiki/Eugene,_Oregon" TargetMode="External"/><Relationship Id="rId1226" Type="http://schemas.openxmlformats.org/officeDocument/2006/relationships/hyperlink" Target="https://en.wikipedia.org/wiki/Oregon" TargetMode="External"/><Relationship Id="rId1227" Type="http://schemas.openxmlformats.org/officeDocument/2006/relationships/hyperlink" Target="https://en.wikipedia.org/wiki/Oregon_Ducks_track_and_field" TargetMode="External"/><Relationship Id="rId1228" Type="http://schemas.openxmlformats.org/officeDocument/2006/relationships/hyperlink" Target="https://en.wikipedia.org/wiki/Villanova_Stadium" TargetMode="External"/><Relationship Id="rId1229" Type="http://schemas.openxmlformats.org/officeDocument/2006/relationships/hyperlink" Target="https://en.wikipedia.org/wiki/Villanova,_Pennsylvania" TargetMode="External"/><Relationship Id="rId877" Type="http://schemas.openxmlformats.org/officeDocument/2006/relationships/hyperlink" Target="https://en.wikipedia.org/wiki/Old_Dominion_Monarchs_football" TargetMode="External"/><Relationship Id="rId876" Type="http://schemas.openxmlformats.org/officeDocument/2006/relationships/hyperlink" Target="https://en.wikipedia.org/wiki/Virginia" TargetMode="External"/><Relationship Id="rId875" Type="http://schemas.openxmlformats.org/officeDocument/2006/relationships/hyperlink" Target="https://en.wikipedia.org/wiki/Norfolk,_Virginia" TargetMode="External"/><Relationship Id="rId874" Type="http://schemas.openxmlformats.org/officeDocument/2006/relationships/hyperlink" Target="https://en.wikipedia.org/wiki/S.B._Ballard_Stadium" TargetMode="External"/><Relationship Id="rId879" Type="http://schemas.openxmlformats.org/officeDocument/2006/relationships/hyperlink" Target="https://en.wikipedia.org/wiki/San_Jose,_California" TargetMode="External"/><Relationship Id="rId878" Type="http://schemas.openxmlformats.org/officeDocument/2006/relationships/hyperlink" Target="https://en.wikipedia.org/wiki/CEFCU_Stadium" TargetMode="External"/><Relationship Id="rId873" Type="http://schemas.openxmlformats.org/officeDocument/2006/relationships/hyperlink" Target="https://en.wikipedia.org/wiki/Delaware_Fightin%27_Blue_Hens_football" TargetMode="External"/><Relationship Id="rId1220" Type="http://schemas.openxmlformats.org/officeDocument/2006/relationships/hyperlink" Target="https://en.wikipedia.org/wiki/Zable_Stadium" TargetMode="External"/><Relationship Id="rId872" Type="http://schemas.openxmlformats.org/officeDocument/2006/relationships/hyperlink" Target="https://en.wikipedia.org/wiki/Delaware" TargetMode="External"/><Relationship Id="rId1221" Type="http://schemas.openxmlformats.org/officeDocument/2006/relationships/hyperlink" Target="https://en.wikipedia.org/wiki/Williamsburg,_Virginia" TargetMode="External"/><Relationship Id="rId871" Type="http://schemas.openxmlformats.org/officeDocument/2006/relationships/hyperlink" Target="https://en.wikipedia.org/wiki/Newark,_Delaware" TargetMode="External"/><Relationship Id="rId1222" Type="http://schemas.openxmlformats.org/officeDocument/2006/relationships/hyperlink" Target="https://en.wikipedia.org/wiki/Virginia" TargetMode="External"/><Relationship Id="rId870" Type="http://schemas.openxmlformats.org/officeDocument/2006/relationships/hyperlink" Target="https://en.wikipedia.org/wiki/Delaware_Stadium" TargetMode="External"/><Relationship Id="rId1223" Type="http://schemas.openxmlformats.org/officeDocument/2006/relationships/hyperlink" Target="https://en.wikipedia.org/wiki/William_%26_Mary_Tribe_football" TargetMode="External"/><Relationship Id="rId829" Type="http://schemas.openxmlformats.org/officeDocument/2006/relationships/hyperlink" Target="https://en.wikipedia.org/wiki/US_Open_(tennis)" TargetMode="External"/><Relationship Id="rId828" Type="http://schemas.openxmlformats.org/officeDocument/2006/relationships/hyperlink" Target="https://en.wikipedia.org/wiki/New_York_(state)" TargetMode="External"/><Relationship Id="rId827" Type="http://schemas.openxmlformats.org/officeDocument/2006/relationships/hyperlink" Target="https://en.wikipedia.org/wiki/New_York_City" TargetMode="External"/><Relationship Id="rId822" Type="http://schemas.openxmlformats.org/officeDocument/2006/relationships/hyperlink" Target="https://en.wikipedia.org/wiki/Houchens_Industries%E2%80%93L._T._Smith_Stadium" TargetMode="External"/><Relationship Id="rId821" Type="http://schemas.openxmlformats.org/officeDocument/2006/relationships/hyperlink" Target="https://en.wikipedia.org/wiki/Northern_Illinois_Huskies_football" TargetMode="External"/><Relationship Id="rId820" Type="http://schemas.openxmlformats.org/officeDocument/2006/relationships/hyperlink" Target="https://en.wikipedia.org/wiki/Illinois" TargetMode="External"/><Relationship Id="rId826" Type="http://schemas.openxmlformats.org/officeDocument/2006/relationships/hyperlink" Target="https://en.wikipedia.org/wiki/Arthur_Ashe_Stadium" TargetMode="External"/><Relationship Id="rId825" Type="http://schemas.openxmlformats.org/officeDocument/2006/relationships/hyperlink" Target="https://en.wikipedia.org/wiki/Western_Kentucky_Hilltoppers_football" TargetMode="External"/><Relationship Id="rId824" Type="http://schemas.openxmlformats.org/officeDocument/2006/relationships/hyperlink" Target="https://en.wikipedia.org/wiki/Kentucky" TargetMode="External"/><Relationship Id="rId823" Type="http://schemas.openxmlformats.org/officeDocument/2006/relationships/hyperlink" Target="https://en.wikipedia.org/wiki/Bowling_Green,_Kentucky" TargetMode="External"/><Relationship Id="rId819" Type="http://schemas.openxmlformats.org/officeDocument/2006/relationships/hyperlink" Target="https://en.wikipedia.org/wiki/DeKalb,_Illinois" TargetMode="External"/><Relationship Id="rId818" Type="http://schemas.openxmlformats.org/officeDocument/2006/relationships/hyperlink" Target="https://en.wikipedia.org/wiki/Huskie_Stadium" TargetMode="External"/><Relationship Id="rId817" Type="http://schemas.openxmlformats.org/officeDocument/2006/relationships/hyperlink" Target="https://en.wikipedia.org/wiki/Jacksonville_State_Gamecocks_football" TargetMode="External"/><Relationship Id="rId816" Type="http://schemas.openxmlformats.org/officeDocument/2006/relationships/hyperlink" Target="https://en.wikipedia.org/wiki/Alabama" TargetMode="External"/><Relationship Id="rId811" Type="http://schemas.openxmlformats.org/officeDocument/2006/relationships/hyperlink" Target="https://en.wikipedia.org/wiki/Athens,_Ohio" TargetMode="External"/><Relationship Id="rId810" Type="http://schemas.openxmlformats.org/officeDocument/2006/relationships/hyperlink" Target="https://en.wikipedia.org/wiki/Peden_Stadium" TargetMode="External"/><Relationship Id="rId815" Type="http://schemas.openxmlformats.org/officeDocument/2006/relationships/hyperlink" Target="https://en.wikipedia.org/wiki/Jacksonville,_Alabama" TargetMode="External"/><Relationship Id="rId814" Type="http://schemas.openxmlformats.org/officeDocument/2006/relationships/hyperlink" Target="https://en.wikipedia.org/wiki/Burgess%E2%80%93Snow_Field_at_JSU_Stadium" TargetMode="External"/><Relationship Id="rId813" Type="http://schemas.openxmlformats.org/officeDocument/2006/relationships/hyperlink" Target="https://en.wikipedia.org/wiki/Ohio_Bobcats_football" TargetMode="External"/><Relationship Id="rId812" Type="http://schemas.openxmlformats.org/officeDocument/2006/relationships/hyperlink" Target="https://en.wikipedia.org/wiki/Ohio" TargetMode="External"/><Relationship Id="rId849" Type="http://schemas.openxmlformats.org/officeDocument/2006/relationships/hyperlink" Target="https://en.wikipedia.org/wiki/Ball_State_Cardinals_football" TargetMode="External"/><Relationship Id="rId844" Type="http://schemas.openxmlformats.org/officeDocument/2006/relationships/hyperlink" Target="https://en.wikipedia.org/wiki/Mississippi" TargetMode="External"/><Relationship Id="rId843" Type="http://schemas.openxmlformats.org/officeDocument/2006/relationships/hyperlink" Target="https://en.wikipedia.org/wiki/Lorman,_Mississippi" TargetMode="External"/><Relationship Id="rId842" Type="http://schemas.openxmlformats.org/officeDocument/2006/relationships/hyperlink" Target="https://en.wikipedia.org/wiki/Jack_Spinks_Stadium" TargetMode="External"/><Relationship Id="rId841" Type="http://schemas.openxmlformats.org/officeDocument/2006/relationships/hyperlink" Target="https://en.wikipedia.org/wiki/Richmond_Kickers" TargetMode="External"/><Relationship Id="rId848" Type="http://schemas.openxmlformats.org/officeDocument/2006/relationships/hyperlink" Target="https://en.wikipedia.org/wiki/Indiana" TargetMode="External"/><Relationship Id="rId847" Type="http://schemas.openxmlformats.org/officeDocument/2006/relationships/hyperlink" Target="https://en.wikipedia.org/wiki/Muncie,_Indiana" TargetMode="External"/><Relationship Id="rId846" Type="http://schemas.openxmlformats.org/officeDocument/2006/relationships/hyperlink" Target="https://en.wikipedia.org/wiki/Scheumann_Stadium" TargetMode="External"/><Relationship Id="rId845" Type="http://schemas.openxmlformats.org/officeDocument/2006/relationships/hyperlink" Target="https://en.wikipedia.org/wiki/Alcorn_State_Braves_football" TargetMode="External"/><Relationship Id="rId840" Type="http://schemas.openxmlformats.org/officeDocument/2006/relationships/hyperlink" Target="https://en.wikipedia.org/wiki/Virginia" TargetMode="External"/><Relationship Id="rId839" Type="http://schemas.openxmlformats.org/officeDocument/2006/relationships/hyperlink" Target="https://en.wikipedia.org/wiki/Richmond,_Virginia" TargetMode="External"/><Relationship Id="rId838" Type="http://schemas.openxmlformats.org/officeDocument/2006/relationships/hyperlink" Target="https://en.wikipedia.org/wiki/City_Stadium_(Richmond)" TargetMode="External"/><Relationship Id="rId833" Type="http://schemas.openxmlformats.org/officeDocument/2006/relationships/hyperlink" Target="https://en.wikipedia.org/wiki/Holy_Cross_Crusaders_football" TargetMode="External"/><Relationship Id="rId832" Type="http://schemas.openxmlformats.org/officeDocument/2006/relationships/hyperlink" Target="https://en.wikipedia.org/wiki/Massachusetts" TargetMode="External"/><Relationship Id="rId831" Type="http://schemas.openxmlformats.org/officeDocument/2006/relationships/hyperlink" Target="https://en.wikipedia.org/wiki/Worcester,_Massachusetts" TargetMode="External"/><Relationship Id="rId830" Type="http://schemas.openxmlformats.org/officeDocument/2006/relationships/hyperlink" Target="https://en.wikipedia.org/wiki/Fitton_Field" TargetMode="External"/><Relationship Id="rId837" Type="http://schemas.openxmlformats.org/officeDocument/2006/relationships/hyperlink" Target="https://en.wikipedia.org/wiki/Pro_Football_Hall_of_Fame_Game" TargetMode="External"/><Relationship Id="rId836" Type="http://schemas.openxmlformats.org/officeDocument/2006/relationships/hyperlink" Target="https://en.wikipedia.org/wiki/Ohio" TargetMode="External"/><Relationship Id="rId835" Type="http://schemas.openxmlformats.org/officeDocument/2006/relationships/hyperlink" Target="https://en.wikipedia.org/wiki/Canton,_Ohio" TargetMode="External"/><Relationship Id="rId834" Type="http://schemas.openxmlformats.org/officeDocument/2006/relationships/hyperlink" Target="https://en.wikipedia.org/wiki/Tom_Benson_Hall_of_Fame_Stadium" TargetMode="External"/><Relationship Id="rId469" Type="http://schemas.openxmlformats.org/officeDocument/2006/relationships/hyperlink" Target="https://en.wikipedia.org/wiki/St._Louis" TargetMode="External"/><Relationship Id="rId468" Type="http://schemas.openxmlformats.org/officeDocument/2006/relationships/hyperlink" Target="https://en.wikipedia.org/wiki/Busch_Stadium" TargetMode="External"/><Relationship Id="rId467" Type="http://schemas.openxmlformats.org/officeDocument/2006/relationships/hyperlink" Target="https://en.wikipedia.org/wiki/Baltimore_Orioles" TargetMode="External"/><Relationship Id="rId1290" Type="http://schemas.openxmlformats.org/officeDocument/2006/relationships/hyperlink" Target="https://en.wikipedia.org/wiki/Idaho" TargetMode="External"/><Relationship Id="rId1291" Type="http://schemas.openxmlformats.org/officeDocument/2006/relationships/hyperlink" Target="https://en.wikipedia.org/wiki/Idaho_State_Bengals_football" TargetMode="External"/><Relationship Id="rId1292" Type="http://schemas.openxmlformats.org/officeDocument/2006/relationships/hyperlink" Target="https://en.wikipedia.org/wiki/Scottsdale_Stadium" TargetMode="External"/><Relationship Id="rId462" Type="http://schemas.openxmlformats.org/officeDocument/2006/relationships/hyperlink" Target="https://en.wikipedia.org/wiki/Massachusetts" TargetMode="External"/><Relationship Id="rId1293" Type="http://schemas.openxmlformats.org/officeDocument/2006/relationships/hyperlink" Target="https://en.wikipedia.org/wiki/Scottsdale,_Arizona" TargetMode="External"/><Relationship Id="rId461" Type="http://schemas.openxmlformats.org/officeDocument/2006/relationships/hyperlink" Target="https://en.wikipedia.org/wiki/Chestnut_Hill,_Massachusetts" TargetMode="External"/><Relationship Id="rId1294" Type="http://schemas.openxmlformats.org/officeDocument/2006/relationships/hyperlink" Target="https://en.wikipedia.org/wiki/Arizona" TargetMode="External"/><Relationship Id="rId460" Type="http://schemas.openxmlformats.org/officeDocument/2006/relationships/hyperlink" Target="https://en.wikipedia.org/wiki/Alumni_Stadium" TargetMode="External"/><Relationship Id="rId1295" Type="http://schemas.openxmlformats.org/officeDocument/2006/relationships/hyperlink" Target="https://en.wikipedia.org/wiki/Scottsdale_Scorpions" TargetMode="External"/><Relationship Id="rId1296" Type="http://schemas.openxmlformats.org/officeDocument/2006/relationships/hyperlink" Target="https://en.wikipedia.org/wiki/C._H._Collins_Athletic_Complex" TargetMode="External"/><Relationship Id="rId466" Type="http://schemas.openxmlformats.org/officeDocument/2006/relationships/hyperlink" Target="https://en.wikipedia.org/wiki/Maryland" TargetMode="External"/><Relationship Id="rId1297" Type="http://schemas.openxmlformats.org/officeDocument/2006/relationships/hyperlink" Target="https://en.wikipedia.org/wiki/Denton,_Texas" TargetMode="External"/><Relationship Id="rId465" Type="http://schemas.openxmlformats.org/officeDocument/2006/relationships/hyperlink" Target="https://en.wikipedia.org/wiki/Baltimore" TargetMode="External"/><Relationship Id="rId1298" Type="http://schemas.openxmlformats.org/officeDocument/2006/relationships/hyperlink" Target="https://en.wikipedia.org/wiki/Texas" TargetMode="External"/><Relationship Id="rId464" Type="http://schemas.openxmlformats.org/officeDocument/2006/relationships/hyperlink" Target="https://en.wikipedia.org/wiki/Oriole_Park_at_Camden_Yards" TargetMode="External"/><Relationship Id="rId1299" Type="http://schemas.openxmlformats.org/officeDocument/2006/relationships/hyperlink" Target="https://en.wikipedia.org/wiki/Ford_Center_at_The_Star" TargetMode="External"/><Relationship Id="rId463" Type="http://schemas.openxmlformats.org/officeDocument/2006/relationships/hyperlink" Target="https://en.wikipedia.org/wiki/Boston_College_Eagles_football" TargetMode="External"/><Relationship Id="rId459" Type="http://schemas.openxmlformats.org/officeDocument/2006/relationships/hyperlink" Target="https://en.wikipedia.org/wiki/Baylor_Bears_football" TargetMode="External"/><Relationship Id="rId458" Type="http://schemas.openxmlformats.org/officeDocument/2006/relationships/hyperlink" Target="https://en.wikipedia.org/wiki/Texas" TargetMode="External"/><Relationship Id="rId457" Type="http://schemas.openxmlformats.org/officeDocument/2006/relationships/hyperlink" Target="https://en.wikipedia.org/wiki/Waco,_Texas" TargetMode="External"/><Relationship Id="rId456" Type="http://schemas.openxmlformats.org/officeDocument/2006/relationships/hyperlink" Target="https://en.wikipedia.org/wiki/McLane_Stadium" TargetMode="External"/><Relationship Id="rId1280" Type="http://schemas.openxmlformats.org/officeDocument/2006/relationships/hyperlink" Target="https://en.wikipedia.org/wiki/Hampton_Pirates_football" TargetMode="External"/><Relationship Id="rId1281" Type="http://schemas.openxmlformats.org/officeDocument/2006/relationships/hyperlink" Target="https://en.wikipedia.org/wiki/Memorial_Stadium_(Seattle)" TargetMode="External"/><Relationship Id="rId451" Type="http://schemas.openxmlformats.org/officeDocument/2006/relationships/hyperlink" Target="https://en.wikipedia.org/wiki/Los_Angeles_Angels" TargetMode="External"/><Relationship Id="rId1282" Type="http://schemas.openxmlformats.org/officeDocument/2006/relationships/hyperlink" Target="https://en.wikipedia.org/wiki/Seattle" TargetMode="External"/><Relationship Id="rId450" Type="http://schemas.openxmlformats.org/officeDocument/2006/relationships/hyperlink" Target="https://en.wikipedia.org/wiki/California" TargetMode="External"/><Relationship Id="rId1283" Type="http://schemas.openxmlformats.org/officeDocument/2006/relationships/hyperlink" Target="https://en.wikipedia.org/wiki/Washington_(state)" TargetMode="External"/><Relationship Id="rId1284" Type="http://schemas.openxmlformats.org/officeDocument/2006/relationships/hyperlink" Target="https://en.wikipedia.org/wiki/Seattle_Cascades_(ultimate)" TargetMode="External"/><Relationship Id="rId1285" Type="http://schemas.openxmlformats.org/officeDocument/2006/relationships/hyperlink" Target="https://en.wikipedia.org/wiki/John_F._Kennedy_Stadium_(Bridgeport)" TargetMode="External"/><Relationship Id="rId455" Type="http://schemas.openxmlformats.org/officeDocument/2006/relationships/hyperlink" Target="https://en.wikipedia.org/wiki/UCF_Knights_football" TargetMode="External"/><Relationship Id="rId1286" Type="http://schemas.openxmlformats.org/officeDocument/2006/relationships/hyperlink" Target="https://en.wikipedia.org/wiki/Bridgeport,_Connecticut" TargetMode="External"/><Relationship Id="rId454" Type="http://schemas.openxmlformats.org/officeDocument/2006/relationships/hyperlink" Target="https://en.wikipedia.org/wiki/Florida" TargetMode="External"/><Relationship Id="rId1287" Type="http://schemas.openxmlformats.org/officeDocument/2006/relationships/hyperlink" Target="https://en.wikipedia.org/wiki/Connecticut" TargetMode="External"/><Relationship Id="rId453" Type="http://schemas.openxmlformats.org/officeDocument/2006/relationships/hyperlink" Target="https://en.wikipedia.org/wiki/Orlando,_Florida" TargetMode="External"/><Relationship Id="rId1288" Type="http://schemas.openxmlformats.org/officeDocument/2006/relationships/hyperlink" Target="https://en.wikipedia.org/wiki/ICCU_Dome" TargetMode="External"/><Relationship Id="rId452" Type="http://schemas.openxmlformats.org/officeDocument/2006/relationships/hyperlink" Target="https://en.wikipedia.org/wiki/FBC_Mortgage_Stadium" TargetMode="External"/><Relationship Id="rId1289" Type="http://schemas.openxmlformats.org/officeDocument/2006/relationships/hyperlink" Target="https://en.wikipedia.org/wiki/Pocatello,_Idaho" TargetMode="External"/><Relationship Id="rId491" Type="http://schemas.openxmlformats.org/officeDocument/2006/relationships/hyperlink" Target="https://en.wikipedia.org/wiki/San_Francisco_Giants" TargetMode="External"/><Relationship Id="rId490" Type="http://schemas.openxmlformats.org/officeDocument/2006/relationships/hyperlink" Target="https://en.wikipedia.org/wiki/California" TargetMode="External"/><Relationship Id="rId489" Type="http://schemas.openxmlformats.org/officeDocument/2006/relationships/hyperlink" Target="https://en.wikipedia.org/wiki/San_Francisco" TargetMode="External"/><Relationship Id="rId484" Type="http://schemas.openxmlformats.org/officeDocument/2006/relationships/hyperlink" Target="https://en.wikipedia.org/wiki/Citi_Field" TargetMode="External"/><Relationship Id="rId483" Type="http://schemas.openxmlformats.org/officeDocument/2006/relationships/hyperlink" Target="https://en.wikipedia.org/wiki/Tampa_Bay_Rays" TargetMode="External"/><Relationship Id="rId482" Type="http://schemas.openxmlformats.org/officeDocument/2006/relationships/hyperlink" Target="https://en.wikipedia.org/wiki/Florida" TargetMode="External"/><Relationship Id="rId481" Type="http://schemas.openxmlformats.org/officeDocument/2006/relationships/hyperlink" Target="https://en.wikipedia.org/wiki/St._Petersburg,_Florida" TargetMode="External"/><Relationship Id="rId488" Type="http://schemas.openxmlformats.org/officeDocument/2006/relationships/hyperlink" Target="https://en.wikipedia.org/wiki/Oracle_Park" TargetMode="External"/><Relationship Id="rId487" Type="http://schemas.openxmlformats.org/officeDocument/2006/relationships/hyperlink" Target="https://en.wikipedia.org/wiki/New_York_Mets" TargetMode="External"/><Relationship Id="rId486" Type="http://schemas.openxmlformats.org/officeDocument/2006/relationships/hyperlink" Target="https://en.wikipedia.org/wiki/New_York_(state)" TargetMode="External"/><Relationship Id="rId485" Type="http://schemas.openxmlformats.org/officeDocument/2006/relationships/hyperlink" Target="https://en.wikipedia.org/wiki/New_York_City" TargetMode="External"/><Relationship Id="rId480" Type="http://schemas.openxmlformats.org/officeDocument/2006/relationships/hyperlink" Target="https://en.wikipedia.org/wiki/Tropicana_Field" TargetMode="External"/><Relationship Id="rId479" Type="http://schemas.openxmlformats.org/officeDocument/2006/relationships/hyperlink" Target="https://en.wikipedia.org/wiki/Philadelphia_Phillies" TargetMode="External"/><Relationship Id="rId478" Type="http://schemas.openxmlformats.org/officeDocument/2006/relationships/hyperlink" Target="https://en.wikipedia.org/wiki/Pennsylvania" TargetMode="External"/><Relationship Id="rId473" Type="http://schemas.openxmlformats.org/officeDocument/2006/relationships/hyperlink" Target="https://en.wikipedia.org/wiki/Cincinnati" TargetMode="External"/><Relationship Id="rId472" Type="http://schemas.openxmlformats.org/officeDocument/2006/relationships/hyperlink" Target="https://en.wikipedia.org/wiki/Great_American_Ball_Park" TargetMode="External"/><Relationship Id="rId471" Type="http://schemas.openxmlformats.org/officeDocument/2006/relationships/hyperlink" Target="https://en.wikipedia.org/wiki/St._Louis_Cardinals" TargetMode="External"/><Relationship Id="rId470" Type="http://schemas.openxmlformats.org/officeDocument/2006/relationships/hyperlink" Target="https://en.wikipedia.org/wiki/Missouri" TargetMode="External"/><Relationship Id="rId477" Type="http://schemas.openxmlformats.org/officeDocument/2006/relationships/hyperlink" Target="https://en.wikipedia.org/wiki/Philadelphia" TargetMode="External"/><Relationship Id="rId476" Type="http://schemas.openxmlformats.org/officeDocument/2006/relationships/hyperlink" Target="https://en.wikipedia.org/wiki/Citizens_Bank_Park" TargetMode="External"/><Relationship Id="rId475" Type="http://schemas.openxmlformats.org/officeDocument/2006/relationships/hyperlink" Target="https://en.wikipedia.org/wiki/Cincinnati_Reds" TargetMode="External"/><Relationship Id="rId474" Type="http://schemas.openxmlformats.org/officeDocument/2006/relationships/hyperlink" Target="https://en.wikipedia.org/wiki/Ohio" TargetMode="External"/><Relationship Id="rId1257" Type="http://schemas.openxmlformats.org/officeDocument/2006/relationships/hyperlink" Target="https://en.wikipedia.org/wiki/Mayag%C3%BCez_Athletics_Stadium" TargetMode="External"/><Relationship Id="rId1258" Type="http://schemas.openxmlformats.org/officeDocument/2006/relationships/hyperlink" Target="https://en.wikipedia.org/wiki/Mayag%C3%BCez" TargetMode="External"/><Relationship Id="rId1259" Type="http://schemas.openxmlformats.org/officeDocument/2006/relationships/hyperlink" Target="https://en.wikipedia.org/wiki/Puerto_Rico" TargetMode="External"/><Relationship Id="rId426" Type="http://schemas.openxmlformats.org/officeDocument/2006/relationships/hyperlink" Target="https://en.wikipedia.org/wiki/Texas" TargetMode="External"/><Relationship Id="rId425" Type="http://schemas.openxmlformats.org/officeDocument/2006/relationships/hyperlink" Target="https://en.wikipedia.org/wiki/Houston" TargetMode="External"/><Relationship Id="rId424" Type="http://schemas.openxmlformats.org/officeDocument/2006/relationships/hyperlink" Target="https://en.wikipedia.org/wiki/Rice_Stadium_(Rice_University)" TargetMode="External"/><Relationship Id="rId423" Type="http://schemas.openxmlformats.org/officeDocument/2006/relationships/hyperlink" Target="https://en.wikipedia.org/wiki/UAB_Blazers_football" TargetMode="External"/><Relationship Id="rId429" Type="http://schemas.openxmlformats.org/officeDocument/2006/relationships/hyperlink" Target="https://en.wikipedia.org/wiki/Fort_Worth,_Texas" TargetMode="External"/><Relationship Id="rId428" Type="http://schemas.openxmlformats.org/officeDocument/2006/relationships/hyperlink" Target="https://en.wikipedia.org/wiki/Amon_G._Carter_Stadium" TargetMode="External"/><Relationship Id="rId427" Type="http://schemas.openxmlformats.org/officeDocument/2006/relationships/hyperlink" Target="https://en.wikipedia.org/wiki/Rice_Owls_football" TargetMode="External"/><Relationship Id="rId1250" Type="http://schemas.openxmlformats.org/officeDocument/2006/relationships/hyperlink" Target="https://en.wikipedia.org/wiki/Victory_Field" TargetMode="External"/><Relationship Id="rId1251" Type="http://schemas.openxmlformats.org/officeDocument/2006/relationships/hyperlink" Target="https://en.wikipedia.org/wiki/Indianapolis" TargetMode="External"/><Relationship Id="rId1252" Type="http://schemas.openxmlformats.org/officeDocument/2006/relationships/hyperlink" Target="https://en.wikipedia.org/wiki/Indiana" TargetMode="External"/><Relationship Id="rId422" Type="http://schemas.openxmlformats.org/officeDocument/2006/relationships/hyperlink" Target="https://en.wikipedia.org/wiki/Alabama" TargetMode="External"/><Relationship Id="rId1253" Type="http://schemas.openxmlformats.org/officeDocument/2006/relationships/hyperlink" Target="https://en.wikipedia.org/wiki/Indianapolis_Indians" TargetMode="External"/><Relationship Id="rId421" Type="http://schemas.openxmlformats.org/officeDocument/2006/relationships/hyperlink" Target="https://en.wikipedia.org/wiki/Birmingham,_Alabama" TargetMode="External"/><Relationship Id="rId1254" Type="http://schemas.openxmlformats.org/officeDocument/2006/relationships/hyperlink" Target="https://en.wikipedia.org/wiki/Wheeling_Island_Stadium" TargetMode="External"/><Relationship Id="rId420" Type="http://schemas.openxmlformats.org/officeDocument/2006/relationships/hyperlink" Target="https://en.wikipedia.org/wiki/Protective_Stadium" TargetMode="External"/><Relationship Id="rId1255" Type="http://schemas.openxmlformats.org/officeDocument/2006/relationships/hyperlink" Target="https://en.wikipedia.org/wiki/Wheeling,_West_Virginia" TargetMode="External"/><Relationship Id="rId1256" Type="http://schemas.openxmlformats.org/officeDocument/2006/relationships/hyperlink" Target="https://en.wikipedia.org/wiki/West_Virginia" TargetMode="External"/><Relationship Id="rId1246" Type="http://schemas.openxmlformats.org/officeDocument/2006/relationships/hyperlink" Target="https://en.wikipedia.org/wiki/Alerus_Center" TargetMode="External"/><Relationship Id="rId1247" Type="http://schemas.openxmlformats.org/officeDocument/2006/relationships/hyperlink" Target="https://en.wikipedia.org/wiki/Grand_Forks,_North_Dakota" TargetMode="External"/><Relationship Id="rId1248" Type="http://schemas.openxmlformats.org/officeDocument/2006/relationships/hyperlink" Target="https://en.wikipedia.org/wiki/North_Dakota" TargetMode="External"/><Relationship Id="rId1249" Type="http://schemas.openxmlformats.org/officeDocument/2006/relationships/hyperlink" Target="https://en.wikipedia.org/wiki/North_Dakota_Fighting_Hawks_football" TargetMode="External"/><Relationship Id="rId415" Type="http://schemas.openxmlformats.org/officeDocument/2006/relationships/hyperlink" Target="https://en.wikipedia.org/wiki/Kansas_Jayhawks_football" TargetMode="External"/><Relationship Id="rId899" Type="http://schemas.openxmlformats.org/officeDocument/2006/relationships/hyperlink" Target="https://en.wikipedia.org/wiki/Alabama" TargetMode="External"/><Relationship Id="rId414" Type="http://schemas.openxmlformats.org/officeDocument/2006/relationships/hyperlink" Target="https://en.wikipedia.org/wiki/Kansas" TargetMode="External"/><Relationship Id="rId898" Type="http://schemas.openxmlformats.org/officeDocument/2006/relationships/hyperlink" Target="https://en.wikipedia.org/wiki/Huntsville,_Alabama" TargetMode="External"/><Relationship Id="rId413" Type="http://schemas.openxmlformats.org/officeDocument/2006/relationships/hyperlink" Target="https://en.wikipedia.org/wiki/Lawrence,_Kansas" TargetMode="External"/><Relationship Id="rId897" Type="http://schemas.openxmlformats.org/officeDocument/2006/relationships/hyperlink" Target="https://en.wikipedia.org/wiki/Louis_Crews_Stadium" TargetMode="External"/><Relationship Id="rId412" Type="http://schemas.openxmlformats.org/officeDocument/2006/relationships/hyperlink" Target="https://en.wikipedia.org/wiki/David_Booth_Kansas_Memorial_Stadium" TargetMode="External"/><Relationship Id="rId896" Type="http://schemas.openxmlformats.org/officeDocument/2006/relationships/hyperlink" Target="https://en.wikipedia.org/wiki/Sacramento_State_Hornets_football" TargetMode="External"/><Relationship Id="rId419" Type="http://schemas.openxmlformats.org/officeDocument/2006/relationships/hyperlink" Target="https://en.wikipedia.org/wiki/Northwestern_Wildcats_football" TargetMode="External"/><Relationship Id="rId418" Type="http://schemas.openxmlformats.org/officeDocument/2006/relationships/hyperlink" Target="https://en.wikipedia.org/wiki/Illinois" TargetMode="External"/><Relationship Id="rId417" Type="http://schemas.openxmlformats.org/officeDocument/2006/relationships/hyperlink" Target="https://en.wikipedia.org/wiki/Evanston,_Illinois" TargetMode="External"/><Relationship Id="rId416" Type="http://schemas.openxmlformats.org/officeDocument/2006/relationships/hyperlink" Target="https://en.wikipedia.org/wiki/Ryan_Field_(stadium)" TargetMode="External"/><Relationship Id="rId891" Type="http://schemas.openxmlformats.org/officeDocument/2006/relationships/hyperlink" Target="https://en.wikipedia.org/wiki/North_Carolina" TargetMode="External"/><Relationship Id="rId890" Type="http://schemas.openxmlformats.org/officeDocument/2006/relationships/hyperlink" Target="https://en.wikipedia.org/wiki/Greensboro,_North_Carolina" TargetMode="External"/><Relationship Id="rId1240" Type="http://schemas.openxmlformats.org/officeDocument/2006/relationships/hyperlink" Target="https://en.wikipedia.org/wiki/Bayam%C3%B3n" TargetMode="External"/><Relationship Id="rId1241" Type="http://schemas.openxmlformats.org/officeDocument/2006/relationships/hyperlink" Target="https://en.wikipedia.org/wiki/Bayam%C3%B3n_F%C3%BAtbol_Club" TargetMode="External"/><Relationship Id="rId411" Type="http://schemas.openxmlformats.org/officeDocument/2006/relationships/hyperlink" Target="https://en.wikipedia.org/wiki/Seattle_Mariners" TargetMode="External"/><Relationship Id="rId895" Type="http://schemas.openxmlformats.org/officeDocument/2006/relationships/hyperlink" Target="https://en.wikipedia.org/wiki/California" TargetMode="External"/><Relationship Id="rId1242" Type="http://schemas.openxmlformats.org/officeDocument/2006/relationships/hyperlink" Target="https://en.wikipedia.org/wiki/Kenneth_P._LaValle_Stadium" TargetMode="External"/><Relationship Id="rId410" Type="http://schemas.openxmlformats.org/officeDocument/2006/relationships/hyperlink" Target="https://en.wikipedia.org/wiki/Washington_(state)" TargetMode="External"/><Relationship Id="rId894" Type="http://schemas.openxmlformats.org/officeDocument/2006/relationships/hyperlink" Target="https://en.wikipedia.org/wiki/Sacramento,_California" TargetMode="External"/><Relationship Id="rId1243" Type="http://schemas.openxmlformats.org/officeDocument/2006/relationships/hyperlink" Target="https://en.wikipedia.org/wiki/Stony_Brook,_New_York" TargetMode="External"/><Relationship Id="rId893" Type="http://schemas.openxmlformats.org/officeDocument/2006/relationships/hyperlink" Target="https://en.wikipedia.org/wiki/Hornet_Stadium_(Sacramento_State)" TargetMode="External"/><Relationship Id="rId1244" Type="http://schemas.openxmlformats.org/officeDocument/2006/relationships/hyperlink" Target="https://en.wikipedia.org/wiki/New_York_(state)" TargetMode="External"/><Relationship Id="rId892" Type="http://schemas.openxmlformats.org/officeDocument/2006/relationships/hyperlink" Target="https://en.wikipedia.org/wiki/North_Carolina_A%26T_Aggies_football" TargetMode="External"/><Relationship Id="rId1245" Type="http://schemas.openxmlformats.org/officeDocument/2006/relationships/hyperlink" Target="https://en.wikipedia.org/wiki/Stony_Brook_Seawolves_football" TargetMode="External"/><Relationship Id="rId1279" Type="http://schemas.openxmlformats.org/officeDocument/2006/relationships/hyperlink" Target="https://en.wikipedia.org/wiki/Virginia" TargetMode="External"/><Relationship Id="rId448" Type="http://schemas.openxmlformats.org/officeDocument/2006/relationships/hyperlink" Target="https://en.wikipedia.org/wiki/Angel_Stadium" TargetMode="External"/><Relationship Id="rId447" Type="http://schemas.openxmlformats.org/officeDocument/2006/relationships/hyperlink" Target="https://en.wikipedia.org/wiki/New_York_Yankees" TargetMode="External"/><Relationship Id="rId446" Type="http://schemas.openxmlformats.org/officeDocument/2006/relationships/hyperlink" Target="https://en.wikipedia.org/wiki/New_York_(state)" TargetMode="External"/><Relationship Id="rId445" Type="http://schemas.openxmlformats.org/officeDocument/2006/relationships/hyperlink" Target="https://en.wikipedia.org/wiki/New_York_City" TargetMode="External"/><Relationship Id="rId449" Type="http://schemas.openxmlformats.org/officeDocument/2006/relationships/hyperlink" Target="https://en.wikipedia.org/wiki/Anaheim,_California" TargetMode="External"/><Relationship Id="rId1270" Type="http://schemas.openxmlformats.org/officeDocument/2006/relationships/hyperlink" Target="https://en.wikipedia.org/wiki/Indianapolis" TargetMode="External"/><Relationship Id="rId440" Type="http://schemas.openxmlformats.org/officeDocument/2006/relationships/hyperlink" Target="https://en.wikipedia.org/wiki/Falcon_Stadium" TargetMode="External"/><Relationship Id="rId1271" Type="http://schemas.openxmlformats.org/officeDocument/2006/relationships/hyperlink" Target="https://en.wikipedia.org/wiki/Indiana" TargetMode="External"/><Relationship Id="rId1272" Type="http://schemas.openxmlformats.org/officeDocument/2006/relationships/hyperlink" Target="https://en.wikipedia.org/wiki/Indy_Eleven" TargetMode="External"/><Relationship Id="rId1273" Type="http://schemas.openxmlformats.org/officeDocument/2006/relationships/hyperlink" Target="https://en.wikipedia.org/wiki/Harbor_Park" TargetMode="External"/><Relationship Id="rId1274" Type="http://schemas.openxmlformats.org/officeDocument/2006/relationships/hyperlink" Target="https://en.wikipedia.org/wiki/Norfolk,_Virginia" TargetMode="External"/><Relationship Id="rId444" Type="http://schemas.openxmlformats.org/officeDocument/2006/relationships/hyperlink" Target="https://en.wikipedia.org/wiki/Yankee_Stadium" TargetMode="External"/><Relationship Id="rId1275" Type="http://schemas.openxmlformats.org/officeDocument/2006/relationships/hyperlink" Target="https://en.wikipedia.org/wiki/Virginia" TargetMode="External"/><Relationship Id="rId443" Type="http://schemas.openxmlformats.org/officeDocument/2006/relationships/hyperlink" Target="https://en.wikipedia.org/wiki/Air_Force_Falcons_football" TargetMode="External"/><Relationship Id="rId1276" Type="http://schemas.openxmlformats.org/officeDocument/2006/relationships/hyperlink" Target="https://en.wikipedia.org/wiki/Norfolk_Tides" TargetMode="External"/><Relationship Id="rId442" Type="http://schemas.openxmlformats.org/officeDocument/2006/relationships/hyperlink" Target="https://en.wikipedia.org/wiki/Colorado" TargetMode="External"/><Relationship Id="rId1277" Type="http://schemas.openxmlformats.org/officeDocument/2006/relationships/hyperlink" Target="https://en.wikipedia.org/wiki/Armstrong_Stadium" TargetMode="External"/><Relationship Id="rId441" Type="http://schemas.openxmlformats.org/officeDocument/2006/relationships/hyperlink" Target="https://en.wikipedia.org/wiki/Colorado_Springs,_Colorado" TargetMode="External"/><Relationship Id="rId1278" Type="http://schemas.openxmlformats.org/officeDocument/2006/relationships/hyperlink" Target="https://en.wikipedia.org/wiki/Hampton,_Virginia" TargetMode="External"/><Relationship Id="rId1268" Type="http://schemas.openxmlformats.org/officeDocument/2006/relationships/hyperlink" Target="https://en.wikipedia.org/wiki/Richmond_Flying_Squirrels" TargetMode="External"/><Relationship Id="rId1269" Type="http://schemas.openxmlformats.org/officeDocument/2006/relationships/hyperlink" Target="https://en.wikipedia.org/wiki/IU_Michael_A._Carroll_Track_%26_Soccer_Stadium" TargetMode="External"/><Relationship Id="rId437" Type="http://schemas.openxmlformats.org/officeDocument/2006/relationships/hyperlink" Target="https://en.wikipedia.org/wiki/Oakland,_California" TargetMode="External"/><Relationship Id="rId436" Type="http://schemas.openxmlformats.org/officeDocument/2006/relationships/hyperlink" Target="https://en.wikipedia.org/wiki/Oakland_Coliseum" TargetMode="External"/><Relationship Id="rId435" Type="http://schemas.openxmlformats.org/officeDocument/2006/relationships/hyperlink" Target="https://en.wikipedia.org/wiki/Colorado_Rockies" TargetMode="External"/><Relationship Id="rId434" Type="http://schemas.openxmlformats.org/officeDocument/2006/relationships/hyperlink" Target="https://en.wikipedia.org/wiki/Colorado" TargetMode="External"/><Relationship Id="rId439" Type="http://schemas.openxmlformats.org/officeDocument/2006/relationships/hyperlink" Target="https://en.wikipedia.org/wiki/Oakland_Athletics" TargetMode="External"/><Relationship Id="rId438" Type="http://schemas.openxmlformats.org/officeDocument/2006/relationships/hyperlink" Target="https://en.wikipedia.org/wiki/California" TargetMode="External"/><Relationship Id="rId1260" Type="http://schemas.openxmlformats.org/officeDocument/2006/relationships/hyperlink" Target="https://en.wikipedia.org/wiki/Puerto_Rico_Sol_FC" TargetMode="External"/><Relationship Id="rId1261" Type="http://schemas.openxmlformats.org/officeDocument/2006/relationships/hyperlink" Target="https://en.wikipedia.org/wiki/Swayze_Field" TargetMode="External"/><Relationship Id="rId1262" Type="http://schemas.openxmlformats.org/officeDocument/2006/relationships/hyperlink" Target="https://en.wikipedia.org/wiki/Oxford,_Mississippi" TargetMode="External"/><Relationship Id="rId1263" Type="http://schemas.openxmlformats.org/officeDocument/2006/relationships/hyperlink" Target="https://en.wikipedia.org/wiki/Mississippi" TargetMode="External"/><Relationship Id="rId433" Type="http://schemas.openxmlformats.org/officeDocument/2006/relationships/hyperlink" Target="https://en.wikipedia.org/wiki/Denver" TargetMode="External"/><Relationship Id="rId1264" Type="http://schemas.openxmlformats.org/officeDocument/2006/relationships/hyperlink" Target="https://en.wikipedia.org/wiki/Ole_Miss_Rebels_baseball" TargetMode="External"/><Relationship Id="rId432" Type="http://schemas.openxmlformats.org/officeDocument/2006/relationships/hyperlink" Target="https://en.wikipedia.org/wiki/Coors_Field" TargetMode="External"/><Relationship Id="rId1265" Type="http://schemas.openxmlformats.org/officeDocument/2006/relationships/hyperlink" Target="https://en.wikipedia.org/wiki/The_Diamond_(Richmond,_Virginia)" TargetMode="External"/><Relationship Id="rId431" Type="http://schemas.openxmlformats.org/officeDocument/2006/relationships/hyperlink" Target="https://en.wikipedia.org/wiki/TCU_Horned_Frogs_football" TargetMode="External"/><Relationship Id="rId1266" Type="http://schemas.openxmlformats.org/officeDocument/2006/relationships/hyperlink" Target="https://en.wikipedia.org/wiki/Richmond,_Virginia" TargetMode="External"/><Relationship Id="rId430" Type="http://schemas.openxmlformats.org/officeDocument/2006/relationships/hyperlink" Target="https://en.wikipedia.org/wiki/Texas" TargetMode="External"/><Relationship Id="rId1267" Type="http://schemas.openxmlformats.org/officeDocument/2006/relationships/hyperlink" Target="https://en.wikipedia.org/wiki/Virginia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en.wikipedia.org/wiki/File:Arizona_veterans_memorial_coliseum.jpg" TargetMode="External"/><Relationship Id="rId391" Type="http://schemas.openxmlformats.org/officeDocument/2006/relationships/hyperlink" Target="https://en.wikipedia.org/wiki/Greater_Boston" TargetMode="External"/><Relationship Id="rId390" Type="http://schemas.openxmlformats.org/officeDocument/2006/relationships/hyperlink" Target="https://en.wikipedia.org/wiki/Worcester_Railers" TargetMode="External"/><Relationship Id="rId1" Type="http://schemas.openxmlformats.org/officeDocument/2006/relationships/hyperlink" Target="https://en.wikipedia.org/wiki/Seating_capacity" TargetMode="External"/><Relationship Id="rId2" Type="http://schemas.openxmlformats.org/officeDocument/2006/relationships/hyperlink" Target="https://en.wikipedia.org/wiki/Sports_venue" TargetMode="External"/><Relationship Id="rId3" Type="http://schemas.openxmlformats.org/officeDocument/2006/relationships/hyperlink" Target="https://en.wikipedia.org/wiki/List_of_indoor_arenas_in_the_United_States" TargetMode="External"/><Relationship Id="rId4" Type="http://schemas.openxmlformats.org/officeDocument/2006/relationships/hyperlink" Target="https://en.wikipedia.org/wiki/National_Basketball_Association" TargetMode="External"/><Relationship Id="rId2180" Type="http://schemas.openxmlformats.org/officeDocument/2006/relationships/hyperlink" Target="https://en.wikipedia.org/wiki/Chicago_Coliseum" TargetMode="External"/><Relationship Id="rId2181" Type="http://schemas.openxmlformats.org/officeDocument/2006/relationships/hyperlink" Target="https://en.wikipedia.org/wiki/Chicago_Stadium" TargetMode="External"/><Relationship Id="rId2182" Type="http://schemas.openxmlformats.org/officeDocument/2006/relationships/hyperlink" Target="https://en.wikipedia.org/wiki/Civic_Arena_(Pittsburgh)" TargetMode="External"/><Relationship Id="rId2183" Type="http://schemas.openxmlformats.org/officeDocument/2006/relationships/hyperlink" Target="https://en.wikipedia.org/wiki/Cleveland_Arena" TargetMode="External"/><Relationship Id="rId9" Type="http://schemas.openxmlformats.org/officeDocument/2006/relationships/hyperlink" Target="https://en.wikipedia.org/wiki/UNC_Greensboro_Spartans_men%27s_basketball" TargetMode="External"/><Relationship Id="rId385" Type="http://schemas.openxmlformats.org/officeDocument/2006/relationships/hyperlink" Target="https://en.wikipedia.org/wiki/New_York_metropolitan_area" TargetMode="External"/><Relationship Id="rId2184" Type="http://schemas.openxmlformats.org/officeDocument/2006/relationships/hyperlink" Target="https://en.wikipedia.org/wiki/Coconut_Grove_Convention_Center" TargetMode="External"/><Relationship Id="rId384" Type="http://schemas.openxmlformats.org/officeDocument/2006/relationships/hyperlink" Target="https://en.wikipedia.org/wiki/Long_Island_Nets" TargetMode="External"/><Relationship Id="rId2185" Type="http://schemas.openxmlformats.org/officeDocument/2006/relationships/hyperlink" Target="https://en.wikipedia.org/wiki/Coliseum_at_Richfield" TargetMode="External"/><Relationship Id="rId383" Type="http://schemas.openxmlformats.org/officeDocument/2006/relationships/hyperlink" Target="https://en.wikipedia.org/wiki/New_York_(state)" TargetMode="External"/><Relationship Id="rId2186" Type="http://schemas.openxmlformats.org/officeDocument/2006/relationships/hyperlink" Target="https://en.wikipedia.org/wiki/Lakewood_Church_Central_Campus" TargetMode="External"/><Relationship Id="rId382" Type="http://schemas.openxmlformats.org/officeDocument/2006/relationships/hyperlink" Target="https://en.wikipedia.org/wiki/Uniondale,_New_York" TargetMode="External"/><Relationship Id="rId2187" Type="http://schemas.openxmlformats.org/officeDocument/2006/relationships/hyperlink" Target="https://en.wikipedia.org/wiki/Curtis_Hixon_Hall" TargetMode="External"/><Relationship Id="rId5" Type="http://schemas.openxmlformats.org/officeDocument/2006/relationships/hyperlink" Target="https://en.wikipedia.org/wiki/File:Greensboro_Coliseum.jpg" TargetMode="External"/><Relationship Id="rId389" Type="http://schemas.openxmlformats.org/officeDocument/2006/relationships/hyperlink" Target="https://en.wikipedia.org/wiki/Massachusetts" TargetMode="External"/><Relationship Id="rId2188" Type="http://schemas.openxmlformats.org/officeDocument/2006/relationships/hyperlink" Target="https://en.wikipedia.org/wiki/Denver_Coliseum" TargetMode="External"/><Relationship Id="rId6" Type="http://schemas.openxmlformats.org/officeDocument/2006/relationships/hyperlink" Target="https://en.wikipedia.org/wiki/Greensboro_Coliseum" TargetMode="External"/><Relationship Id="rId388" Type="http://schemas.openxmlformats.org/officeDocument/2006/relationships/hyperlink" Target="https://en.wikipedia.org/wiki/Worcester,_Massachusetts" TargetMode="External"/><Relationship Id="rId2189" Type="http://schemas.openxmlformats.org/officeDocument/2006/relationships/hyperlink" Target="https://en.wikipedia.org/wiki/Duquesne_Gardens" TargetMode="External"/><Relationship Id="rId7" Type="http://schemas.openxmlformats.org/officeDocument/2006/relationships/hyperlink" Target="https://en.wikipedia.org/wiki/Greensboro,_North_Carolina" TargetMode="External"/><Relationship Id="rId387" Type="http://schemas.openxmlformats.org/officeDocument/2006/relationships/hyperlink" Target="https://en.wikipedia.org/wiki/DCU_Center" TargetMode="External"/><Relationship Id="rId8" Type="http://schemas.openxmlformats.org/officeDocument/2006/relationships/hyperlink" Target="https://en.wikipedia.org/wiki/North_Carolina" TargetMode="External"/><Relationship Id="rId386" Type="http://schemas.openxmlformats.org/officeDocument/2006/relationships/hyperlink" Target="https://en.wikipedia.org/wiki/File:DCU_Center_Worcester_MA.JPG" TargetMode="External"/><Relationship Id="rId381" Type="http://schemas.openxmlformats.org/officeDocument/2006/relationships/hyperlink" Target="https://en.wikipedia.org/wiki/Nassau_Coliseum" TargetMode="External"/><Relationship Id="rId380" Type="http://schemas.openxmlformats.org/officeDocument/2006/relationships/hyperlink" Target="https://en.wikipedia.org/wiki/File:Nassau_Coliseum_2021.jpg" TargetMode="External"/><Relationship Id="rId379" Type="http://schemas.openxmlformats.org/officeDocument/2006/relationships/hyperlink" Target="https://en.wikipedia.org/wiki/Mississippi" TargetMode="External"/><Relationship Id="rId2170" Type="http://schemas.openxmlformats.org/officeDocument/2006/relationships/hyperlink" Target="https://en.wikipedia.org/wiki/Amway_Arena" TargetMode="External"/><Relationship Id="rId2171" Type="http://schemas.openxmlformats.org/officeDocument/2006/relationships/hyperlink" Target="https://en.wikipedia.org/wiki/ARCO_Arena_(1985)" TargetMode="External"/><Relationship Id="rId2172" Type="http://schemas.openxmlformats.org/officeDocument/2006/relationships/hyperlink" Target="https://en.wikipedia.org/wiki/Bayfront_Arena" TargetMode="External"/><Relationship Id="rId374" Type="http://schemas.openxmlformats.org/officeDocument/2006/relationships/hyperlink" Target="https://en.wikipedia.org/wiki/Oklahoma_City" TargetMode="External"/><Relationship Id="rId2173" Type="http://schemas.openxmlformats.org/officeDocument/2006/relationships/hyperlink" Target="https://en.wikipedia.org/wiki/Boston_Garden" TargetMode="External"/><Relationship Id="rId373" Type="http://schemas.openxmlformats.org/officeDocument/2006/relationships/hyperlink" Target="https://en.wikipedia.org/wiki/Prairie_Surf_Studios" TargetMode="External"/><Relationship Id="rId2174" Type="http://schemas.openxmlformats.org/officeDocument/2006/relationships/hyperlink" Target="https://en.wikipedia.org/wiki/Bradley_Center" TargetMode="External"/><Relationship Id="rId372" Type="http://schemas.openxmlformats.org/officeDocument/2006/relationships/hyperlink" Target="https://en.wikipedia.org/wiki/Greenville_Swamp_Rabbits" TargetMode="External"/><Relationship Id="rId2175" Type="http://schemas.openxmlformats.org/officeDocument/2006/relationships/hyperlink" Target="https://en.wikipedia.org/wiki/Britt_Brown_Arena" TargetMode="External"/><Relationship Id="rId371" Type="http://schemas.openxmlformats.org/officeDocument/2006/relationships/hyperlink" Target="https://en.wikipedia.org/wiki/South_Carolina" TargetMode="External"/><Relationship Id="rId2176" Type="http://schemas.openxmlformats.org/officeDocument/2006/relationships/hyperlink" Target="https://en.wikipedia.org/wiki/Brown_County_Veterans_Memorial_Arena" TargetMode="External"/><Relationship Id="rId378" Type="http://schemas.openxmlformats.org/officeDocument/2006/relationships/hyperlink" Target="https://en.wikipedia.org/wiki/Biloxi,_Mississippi" TargetMode="External"/><Relationship Id="rId2177" Type="http://schemas.openxmlformats.org/officeDocument/2006/relationships/hyperlink" Target="https://en.wikipedia.org/wiki/Buffalo_Memorial_Auditorium" TargetMode="External"/><Relationship Id="rId377" Type="http://schemas.openxmlformats.org/officeDocument/2006/relationships/hyperlink" Target="https://en.wikipedia.org/wiki/Mississippi_Coast_Coliseum" TargetMode="External"/><Relationship Id="rId2178" Type="http://schemas.openxmlformats.org/officeDocument/2006/relationships/hyperlink" Target="https://en.wikipedia.org/wiki/Capital_Centre_(Landover,_Maryland)" TargetMode="External"/><Relationship Id="rId376" Type="http://schemas.openxmlformats.org/officeDocument/2006/relationships/hyperlink" Target="https://en.wikipedia.org/wiki/File:Mississippicoastcoliseu.jpg" TargetMode="External"/><Relationship Id="rId2179" Type="http://schemas.openxmlformats.org/officeDocument/2006/relationships/hyperlink" Target="https://en.wikipedia.org/wiki/Charlotte_Coliseum" TargetMode="External"/><Relationship Id="rId375" Type="http://schemas.openxmlformats.org/officeDocument/2006/relationships/hyperlink" Target="https://en.wikipedia.org/wiki/Oklahoma" TargetMode="External"/><Relationship Id="rId2190" Type="http://schemas.openxmlformats.org/officeDocument/2006/relationships/hyperlink" Target="https://en.wikipedia.org/wiki/Hara_Arena" TargetMode="External"/><Relationship Id="rId2191" Type="http://schemas.openxmlformats.org/officeDocument/2006/relationships/hyperlink" Target="https://en.wikipedia.org/wiki/HemisFair_Arena" TargetMode="External"/><Relationship Id="rId2192" Type="http://schemas.openxmlformats.org/officeDocument/2006/relationships/hyperlink" Target="https://en.wikipedia.org/wiki/Hollywood_Sportatorium" TargetMode="External"/><Relationship Id="rId2193" Type="http://schemas.openxmlformats.org/officeDocument/2006/relationships/hyperlink" Target="https://en.wikipedia.org/wiki/International_Amphitheatre" TargetMode="External"/><Relationship Id="rId2194" Type="http://schemas.openxmlformats.org/officeDocument/2006/relationships/hyperlink" Target="https://en.wikipedia.org/wiki/Island_Garden" TargetMode="External"/><Relationship Id="rId396" Type="http://schemas.openxmlformats.org/officeDocument/2006/relationships/hyperlink" Target="https://en.wikipedia.org/wiki/Phoenix_metropolitan_area" TargetMode="External"/><Relationship Id="rId2195" Type="http://schemas.openxmlformats.org/officeDocument/2006/relationships/hyperlink" Target="https://en.wikipedia.org/wiki/Jacksonville_Memorial_Coliseum" TargetMode="External"/><Relationship Id="rId395" Type="http://schemas.openxmlformats.org/officeDocument/2006/relationships/hyperlink" Target="https://en.wikipedia.org/wiki/Arizona" TargetMode="External"/><Relationship Id="rId2196" Type="http://schemas.openxmlformats.org/officeDocument/2006/relationships/hyperlink" Target="https://en.wikipedia.org/wiki/Joe_Louis_Arena" TargetMode="External"/><Relationship Id="rId394" Type="http://schemas.openxmlformats.org/officeDocument/2006/relationships/hyperlink" Target="https://en.wikipedia.org/wiki/Phoenix,_Arizona" TargetMode="External"/><Relationship Id="rId2197" Type="http://schemas.openxmlformats.org/officeDocument/2006/relationships/hyperlink" Target="https://en.wikipedia.org/wiki/Kiel_Auditorium" TargetMode="External"/><Relationship Id="rId393" Type="http://schemas.openxmlformats.org/officeDocument/2006/relationships/hyperlink" Target="https://en.wikipedia.org/wiki/Arizona_Veterans_Memorial_Coliseum" TargetMode="External"/><Relationship Id="rId2198" Type="http://schemas.openxmlformats.org/officeDocument/2006/relationships/hyperlink" Target="https://en.wikipedia.org/wiki/Kingdome" TargetMode="External"/><Relationship Id="rId2199" Type="http://schemas.openxmlformats.org/officeDocument/2006/relationships/hyperlink" Target="https://en.wikipedia.org/wiki/Long_Island_Arena" TargetMode="External"/><Relationship Id="rId399" Type="http://schemas.openxmlformats.org/officeDocument/2006/relationships/hyperlink" Target="https://en.wikipedia.org/wiki/Texas" TargetMode="External"/><Relationship Id="rId398" Type="http://schemas.openxmlformats.org/officeDocument/2006/relationships/hyperlink" Target="https://en.wikipedia.org/wiki/Fort_Worth,_Texas" TargetMode="External"/><Relationship Id="rId397" Type="http://schemas.openxmlformats.org/officeDocument/2006/relationships/hyperlink" Target="https://en.wikipedia.org/wiki/Dickies_Arena" TargetMode="External"/><Relationship Id="rId1730" Type="http://schemas.openxmlformats.org/officeDocument/2006/relationships/hyperlink" Target="https://en.wikipedia.org/wiki/Erie_County_Fair" TargetMode="External"/><Relationship Id="rId1731" Type="http://schemas.openxmlformats.org/officeDocument/2006/relationships/hyperlink" Target="https://en.wikipedia.org/wiki/Hamburg,_New_York" TargetMode="External"/><Relationship Id="rId1732" Type="http://schemas.openxmlformats.org/officeDocument/2006/relationships/hyperlink" Target="https://en.wikipedia.org/wiki/New_York_(state)" TargetMode="External"/><Relationship Id="rId1733" Type="http://schemas.openxmlformats.org/officeDocument/2006/relationships/hyperlink" Target="https://en.wikipedia.org/w/index.php?title=Lauderdale_County_Agri-Center&amp;action=edit&amp;redlink=1" TargetMode="External"/><Relationship Id="rId1734" Type="http://schemas.openxmlformats.org/officeDocument/2006/relationships/hyperlink" Target="https://en.wikipedia.org/wiki/Meridian,_Mississippi" TargetMode="External"/><Relationship Id="rId1735" Type="http://schemas.openxmlformats.org/officeDocument/2006/relationships/hyperlink" Target="https://en.wikipedia.org/wiki/Mississippi" TargetMode="External"/><Relationship Id="rId1736" Type="http://schemas.openxmlformats.org/officeDocument/2006/relationships/hyperlink" Target="https://en.wikipedia.org/w/index.php?title=Linn_County_Fair&amp;action=edit&amp;redlink=1" TargetMode="External"/><Relationship Id="rId1737" Type="http://schemas.openxmlformats.org/officeDocument/2006/relationships/hyperlink" Target="https://en.wikipedia.org/wiki/Albany,_Oregon" TargetMode="External"/><Relationship Id="rId1738" Type="http://schemas.openxmlformats.org/officeDocument/2006/relationships/hyperlink" Target="https://en.wikipedia.org/wiki/Oregon" TargetMode="External"/><Relationship Id="rId1739" Type="http://schemas.openxmlformats.org/officeDocument/2006/relationships/hyperlink" Target="https://en.wikipedia.org/wiki/File:Compuware_arena.jpg" TargetMode="External"/><Relationship Id="rId1720" Type="http://schemas.openxmlformats.org/officeDocument/2006/relationships/hyperlink" Target="https://en.wikipedia.org/wiki/Paducah" TargetMode="External"/><Relationship Id="rId1721" Type="http://schemas.openxmlformats.org/officeDocument/2006/relationships/hyperlink" Target="https://en.wikipedia.org/wiki/Kentucky" TargetMode="External"/><Relationship Id="rId1722" Type="http://schemas.openxmlformats.org/officeDocument/2006/relationships/hyperlink" Target="https://en.wikipedia.org/wiki/David_S._Palmer_Arena" TargetMode="External"/><Relationship Id="rId1723" Type="http://schemas.openxmlformats.org/officeDocument/2006/relationships/hyperlink" Target="https://en.wikipedia.org/wiki/Danville,_Illinois" TargetMode="External"/><Relationship Id="rId1724" Type="http://schemas.openxmlformats.org/officeDocument/2006/relationships/hyperlink" Target="https://en.wikipedia.org/wiki/Illinois" TargetMode="External"/><Relationship Id="rId1725" Type="http://schemas.openxmlformats.org/officeDocument/2006/relationships/hyperlink" Target="https://en.wikipedia.org/wiki/Vermilion_County_Bobcats" TargetMode="External"/><Relationship Id="rId1726" Type="http://schemas.openxmlformats.org/officeDocument/2006/relationships/hyperlink" Target="https://en.wikipedia.org/wiki/File:Century_II.jpg" TargetMode="External"/><Relationship Id="rId1727" Type="http://schemas.openxmlformats.org/officeDocument/2006/relationships/hyperlink" Target="https://en.wikipedia.org/wiki/Century_II_Performing_Arts_%26_Convention_Center" TargetMode="External"/><Relationship Id="rId1728" Type="http://schemas.openxmlformats.org/officeDocument/2006/relationships/hyperlink" Target="https://en.wikipedia.org/wiki/Wichita,_Kansas" TargetMode="External"/><Relationship Id="rId1729" Type="http://schemas.openxmlformats.org/officeDocument/2006/relationships/hyperlink" Target="https://en.wikipedia.org/wiki/Kansas" TargetMode="External"/><Relationship Id="rId1752" Type="http://schemas.openxmlformats.org/officeDocument/2006/relationships/hyperlink" Target="https://en.wikipedia.org/wiki/Texas" TargetMode="External"/><Relationship Id="rId1753" Type="http://schemas.openxmlformats.org/officeDocument/2006/relationships/hyperlink" Target="https://en.wikipedia.org/w/index.php?title=Ruby_Community_Center&amp;action=edit&amp;redlink=1" TargetMode="External"/><Relationship Id="rId1754" Type="http://schemas.openxmlformats.org/officeDocument/2006/relationships/hyperlink" Target="https://en.wikipedia.org/wiki/Morgantown,_West_Virginia" TargetMode="External"/><Relationship Id="rId1755" Type="http://schemas.openxmlformats.org/officeDocument/2006/relationships/hyperlink" Target="https://en.wikipedia.org/wiki/West_Virginia" TargetMode="External"/><Relationship Id="rId1756" Type="http://schemas.openxmlformats.org/officeDocument/2006/relationships/hyperlink" Target="https://en.wikipedia.org/w/index.php?title=Henrico_Sports_and_Events_Center&amp;action=edit&amp;redlink=1" TargetMode="External"/><Relationship Id="rId1757" Type="http://schemas.openxmlformats.org/officeDocument/2006/relationships/hyperlink" Target="https://en.wikipedia.org/wiki/Glen_Allen,_Virginia" TargetMode="External"/><Relationship Id="rId1758" Type="http://schemas.openxmlformats.org/officeDocument/2006/relationships/hyperlink" Target="https://en.wikipedia.org/wiki/Virginia" TargetMode="External"/><Relationship Id="rId1759" Type="http://schemas.openxmlformats.org/officeDocument/2006/relationships/hyperlink" Target="https://en.wikipedia.org/wiki/Stock_Arena" TargetMode="External"/><Relationship Id="rId808" Type="http://schemas.openxmlformats.org/officeDocument/2006/relationships/hyperlink" Target="https://en.wikipedia.org/wiki/Alabama" TargetMode="External"/><Relationship Id="rId807" Type="http://schemas.openxmlformats.org/officeDocument/2006/relationships/hyperlink" Target="https://en.wikipedia.org/wiki/Decatur,_Alabama" TargetMode="External"/><Relationship Id="rId806" Type="http://schemas.openxmlformats.org/officeDocument/2006/relationships/hyperlink" Target="https://en.wikipedia.org/wiki/Celebration_Arena" TargetMode="External"/><Relationship Id="rId805" Type="http://schemas.openxmlformats.org/officeDocument/2006/relationships/hyperlink" Target="https://en.wikipedia.org/wiki/Indiana" TargetMode="External"/><Relationship Id="rId809" Type="http://schemas.openxmlformats.org/officeDocument/2006/relationships/hyperlink" Target="https://en.wikipedia.org/wiki/File:Miami_Beach_FL_Convention_Center01.jpg" TargetMode="External"/><Relationship Id="rId800" Type="http://schemas.openxmlformats.org/officeDocument/2006/relationships/hyperlink" Target="https://en.wikipedia.org/wiki/Dallas" TargetMode="External"/><Relationship Id="rId804" Type="http://schemas.openxmlformats.org/officeDocument/2006/relationships/hyperlink" Target="https://en.wikipedia.org/wiki/Anderson,_Indiana" TargetMode="External"/><Relationship Id="rId803" Type="http://schemas.openxmlformats.org/officeDocument/2006/relationships/hyperlink" Target="https://en.wikipedia.org/wiki/Anderson_High_School_Wigwam" TargetMode="External"/><Relationship Id="rId802" Type="http://schemas.openxmlformats.org/officeDocument/2006/relationships/hyperlink" Target="https://en.wikipedia.org/wiki/Dallas%E2%80%93Fort_Worth_metroplex" TargetMode="External"/><Relationship Id="rId801" Type="http://schemas.openxmlformats.org/officeDocument/2006/relationships/hyperlink" Target="https://en.wikipedia.org/wiki/Texas" TargetMode="External"/><Relationship Id="rId1750" Type="http://schemas.openxmlformats.org/officeDocument/2006/relationships/hyperlink" Target="https://en.wikipedia.org/w/index.php?title=Midland_County_Horseshoe&amp;action=edit&amp;redlink=1" TargetMode="External"/><Relationship Id="rId1751" Type="http://schemas.openxmlformats.org/officeDocument/2006/relationships/hyperlink" Target="https://en.wikipedia.org/wiki/Midland,_Texas" TargetMode="External"/><Relationship Id="rId1741" Type="http://schemas.openxmlformats.org/officeDocument/2006/relationships/hyperlink" Target="https://en.wikipedia.org/wiki/Plymouth,_Michigan" TargetMode="External"/><Relationship Id="rId1742" Type="http://schemas.openxmlformats.org/officeDocument/2006/relationships/hyperlink" Target="https://en.wikipedia.org/wiki/Michigan" TargetMode="External"/><Relationship Id="rId1743" Type="http://schemas.openxmlformats.org/officeDocument/2006/relationships/hyperlink" Target="https://en.wikipedia.org/wiki/USA_Hockey_National_Team_Development_Program" TargetMode="External"/><Relationship Id="rId1744" Type="http://schemas.openxmlformats.org/officeDocument/2006/relationships/hyperlink" Target="https://en.wikipedia.org/w/index.php?title=Springfield_Expo_Center&amp;action=edit&amp;redlink=1" TargetMode="External"/><Relationship Id="rId1745" Type="http://schemas.openxmlformats.org/officeDocument/2006/relationships/hyperlink" Target="https://en.wikipedia.org/wiki/Springfield,_Missouri" TargetMode="External"/><Relationship Id="rId1746" Type="http://schemas.openxmlformats.org/officeDocument/2006/relationships/hyperlink" Target="https://en.wikipedia.org/wiki/Missouri" TargetMode="External"/><Relationship Id="rId1747" Type="http://schemas.openxmlformats.org/officeDocument/2006/relationships/hyperlink" Target="https://en.wikipedia.org/wiki/Iowa_State_Fair" TargetMode="External"/><Relationship Id="rId1748" Type="http://schemas.openxmlformats.org/officeDocument/2006/relationships/hyperlink" Target="https://en.wikipedia.org/wiki/Des_Moines" TargetMode="External"/><Relationship Id="rId1749" Type="http://schemas.openxmlformats.org/officeDocument/2006/relationships/hyperlink" Target="https://en.wikipedia.org/wiki/Iowa" TargetMode="External"/><Relationship Id="rId1740" Type="http://schemas.openxmlformats.org/officeDocument/2006/relationships/hyperlink" Target="https://en.wikipedia.org/wiki/USA_Hockey_Arena" TargetMode="External"/><Relationship Id="rId1710" Type="http://schemas.openxmlformats.org/officeDocument/2006/relationships/hyperlink" Target="https://en.wikipedia.org/w/index.php?title=Lamar_County_Multipurpose_Center&amp;action=edit&amp;redlink=1" TargetMode="External"/><Relationship Id="rId1711" Type="http://schemas.openxmlformats.org/officeDocument/2006/relationships/hyperlink" Target="https://en.wikipedia.org/wiki/Purvis,_Mississippi" TargetMode="External"/><Relationship Id="rId1712" Type="http://schemas.openxmlformats.org/officeDocument/2006/relationships/hyperlink" Target="https://en.wikipedia.org/wiki/Mississippi" TargetMode="External"/><Relationship Id="rId1713" Type="http://schemas.openxmlformats.org/officeDocument/2006/relationships/hyperlink" Target="https://en.wikipedia.org/w/index.php?title=Hocklander_Hall&amp;action=edit&amp;redlink=1" TargetMode="External"/><Relationship Id="rId1714" Type="http://schemas.openxmlformats.org/officeDocument/2006/relationships/hyperlink" Target="https://en.wikipedia.org/wiki/Mobile,_Alabama" TargetMode="External"/><Relationship Id="rId1715" Type="http://schemas.openxmlformats.org/officeDocument/2006/relationships/hyperlink" Target="https://en.wikipedia.org/wiki/Alabama" TargetMode="External"/><Relationship Id="rId1716" Type="http://schemas.openxmlformats.org/officeDocument/2006/relationships/hyperlink" Target="https://en.wikipedia.org/w/index.php?title=Ft._Smith_Convention_Center&amp;action=edit&amp;redlink=1" TargetMode="External"/><Relationship Id="rId1717" Type="http://schemas.openxmlformats.org/officeDocument/2006/relationships/hyperlink" Target="https://en.wikipedia.org/wiki/Fort_Smith,_Arkansas" TargetMode="External"/><Relationship Id="rId1718" Type="http://schemas.openxmlformats.org/officeDocument/2006/relationships/hyperlink" Target="https://en.wikipedia.org/wiki/Arkansas" TargetMode="External"/><Relationship Id="rId1719" Type="http://schemas.openxmlformats.org/officeDocument/2006/relationships/hyperlink" Target="https://en.wikipedia.org/w/index.php?title=Schroeder_Expo_Center&amp;action=edit&amp;redlink=1" TargetMode="External"/><Relationship Id="rId1700" Type="http://schemas.openxmlformats.org/officeDocument/2006/relationships/hyperlink" Target="https://en.wikipedia.org/wiki/Chicago" TargetMode="External"/><Relationship Id="rId1701" Type="http://schemas.openxmlformats.org/officeDocument/2006/relationships/hyperlink" Target="https://en.wikipedia.org/wiki/Illinois" TargetMode="External"/><Relationship Id="rId1702" Type="http://schemas.openxmlformats.org/officeDocument/2006/relationships/hyperlink" Target="https://en.wikipedia.org/wiki/Loyola_Ramblers" TargetMode="External"/><Relationship Id="rId1703" Type="http://schemas.openxmlformats.org/officeDocument/2006/relationships/hyperlink" Target="https://en.wikipedia.org/wiki/Chicagoland" TargetMode="External"/><Relationship Id="rId1704" Type="http://schemas.openxmlformats.org/officeDocument/2006/relationships/hyperlink" Target="https://en.wikipedia.org/w/index.php?title=East_Grand_Forks_Civic_Center&amp;action=edit&amp;redlink=1" TargetMode="External"/><Relationship Id="rId1705" Type="http://schemas.openxmlformats.org/officeDocument/2006/relationships/hyperlink" Target="https://en.wikipedia.org/wiki/East_Grand_Forks,_Minnesota" TargetMode="External"/><Relationship Id="rId1706" Type="http://schemas.openxmlformats.org/officeDocument/2006/relationships/hyperlink" Target="https://en.wikipedia.org/wiki/Minnesota" TargetMode="External"/><Relationship Id="rId1707" Type="http://schemas.openxmlformats.org/officeDocument/2006/relationships/hyperlink" Target="https://en.wikipedia.org/w/index.php?title=Deseret_Peak_Complex&amp;action=edit&amp;redlink=1" TargetMode="External"/><Relationship Id="rId1708" Type="http://schemas.openxmlformats.org/officeDocument/2006/relationships/hyperlink" Target="https://en.wikipedia.org/wiki/Tooele" TargetMode="External"/><Relationship Id="rId1709" Type="http://schemas.openxmlformats.org/officeDocument/2006/relationships/hyperlink" Target="https://en.wikipedia.org/wiki/Utah" TargetMode="External"/><Relationship Id="rId40" Type="http://schemas.openxmlformats.org/officeDocument/2006/relationships/hyperlink" Target="https://en.wikipedia.org/wiki/Tampa,_Florida" TargetMode="External"/><Relationship Id="rId1334" Type="http://schemas.openxmlformats.org/officeDocument/2006/relationships/hyperlink" Target="https://en.wikipedia.org/wiki/Hartman_Arena" TargetMode="External"/><Relationship Id="rId1335" Type="http://schemas.openxmlformats.org/officeDocument/2006/relationships/hyperlink" Target="https://en.wikipedia.org/wiki/Park_City,_Kansas" TargetMode="External"/><Relationship Id="rId42" Type="http://schemas.openxmlformats.org/officeDocument/2006/relationships/hyperlink" Target="https://en.wikipedia.org/wiki/Tampa_Bay_Lightning" TargetMode="External"/><Relationship Id="rId1336" Type="http://schemas.openxmlformats.org/officeDocument/2006/relationships/hyperlink" Target="https://en.wikipedia.org/wiki/Kansas" TargetMode="External"/><Relationship Id="rId41" Type="http://schemas.openxmlformats.org/officeDocument/2006/relationships/hyperlink" Target="https://en.wikipedia.org/wiki/Florida" TargetMode="External"/><Relationship Id="rId1337" Type="http://schemas.openxmlformats.org/officeDocument/2006/relationships/hyperlink" Target="https://en.wikipedia.org/wiki/Wichita_B-52s" TargetMode="External"/><Relationship Id="rId44" Type="http://schemas.openxmlformats.org/officeDocument/2006/relationships/hyperlink" Target="https://en.wikipedia.org/wiki/File:Wells_Fargo_Center.jpg" TargetMode="External"/><Relationship Id="rId1338" Type="http://schemas.openxmlformats.org/officeDocument/2006/relationships/hyperlink" Target="https://en.wikipedia.org/wiki/Kellogg_Arena" TargetMode="External"/><Relationship Id="rId43" Type="http://schemas.openxmlformats.org/officeDocument/2006/relationships/hyperlink" Target="https://en.wikipedia.org/wiki/Tampa_Bay_area" TargetMode="External"/><Relationship Id="rId1339" Type="http://schemas.openxmlformats.org/officeDocument/2006/relationships/hyperlink" Target="https://en.wikipedia.org/wiki/Battle_Creek,_Michigan" TargetMode="External"/><Relationship Id="rId46" Type="http://schemas.openxmlformats.org/officeDocument/2006/relationships/hyperlink" Target="https://en.wikipedia.org/wiki/Philadelphia" TargetMode="External"/><Relationship Id="rId45" Type="http://schemas.openxmlformats.org/officeDocument/2006/relationships/hyperlink" Target="https://en.wikipedia.org/wiki/Wells_Fargo_Center_(Philadelphia)" TargetMode="External"/><Relationship Id="rId745" Type="http://schemas.openxmlformats.org/officeDocument/2006/relationships/hyperlink" Target="https://en.wikipedia.org/wiki/California" TargetMode="External"/><Relationship Id="rId744" Type="http://schemas.openxmlformats.org/officeDocument/2006/relationships/hyperlink" Target="https://en.wikipedia.org/wiki/Bakersfield,_California" TargetMode="External"/><Relationship Id="rId743" Type="http://schemas.openxmlformats.org/officeDocument/2006/relationships/hyperlink" Target="https://en.wikipedia.org/wiki/Mechanics_Bank_Arena" TargetMode="External"/><Relationship Id="rId742" Type="http://schemas.openxmlformats.org/officeDocument/2006/relationships/hyperlink" Target="https://en.wikipedia.org/wiki/File:2009-0726-CA-Bakersfield-RabobankArena.jpg" TargetMode="External"/><Relationship Id="rId749" Type="http://schemas.openxmlformats.org/officeDocument/2006/relationships/hyperlink" Target="https://en.wikipedia.org/wiki/Cedar_Rapids,_Iowa" TargetMode="External"/><Relationship Id="rId748" Type="http://schemas.openxmlformats.org/officeDocument/2006/relationships/hyperlink" Target="https://en.wikipedia.org/wiki/Alliant_Energy_PowerHouse" TargetMode="External"/><Relationship Id="rId747" Type="http://schemas.openxmlformats.org/officeDocument/2006/relationships/hyperlink" Target="https://en.wikipedia.org/wiki/File:U.S._Cellular_Center_-_Cedar_Rapids,_Iowa_01.jpg" TargetMode="External"/><Relationship Id="rId746" Type="http://schemas.openxmlformats.org/officeDocument/2006/relationships/hyperlink" Target="https://en.wikipedia.org/wiki/Bakersfield_Condors" TargetMode="External"/><Relationship Id="rId48" Type="http://schemas.openxmlformats.org/officeDocument/2006/relationships/hyperlink" Target="https://en.wikipedia.org/wiki/Philadelphia_76ers" TargetMode="External"/><Relationship Id="rId47" Type="http://schemas.openxmlformats.org/officeDocument/2006/relationships/hyperlink" Target="https://en.wikipedia.org/wiki/Pennsylvania" TargetMode="External"/><Relationship Id="rId49" Type="http://schemas.openxmlformats.org/officeDocument/2006/relationships/hyperlink" Target="https://en.wikipedia.org/wiki/Delaware_Valley" TargetMode="External"/><Relationship Id="rId741" Type="http://schemas.openxmlformats.org/officeDocument/2006/relationships/hyperlink" Target="https://en.wikipedia.org/wiki/Wilkes-Barre/Scranton_Penguins" TargetMode="External"/><Relationship Id="rId1330" Type="http://schemas.openxmlformats.org/officeDocument/2006/relationships/hyperlink" Target="https://en.wikipedia.org/wiki/California" TargetMode="External"/><Relationship Id="rId740" Type="http://schemas.openxmlformats.org/officeDocument/2006/relationships/hyperlink" Target="https://en.wikipedia.org/wiki/Pennsylvania" TargetMode="External"/><Relationship Id="rId1331" Type="http://schemas.openxmlformats.org/officeDocument/2006/relationships/hyperlink" Target="https://en.wikipedia.org/wiki/Four_States_Arena" TargetMode="External"/><Relationship Id="rId1332" Type="http://schemas.openxmlformats.org/officeDocument/2006/relationships/hyperlink" Target="https://en.wikipedia.org/wiki/Texarkana,_Texas" TargetMode="External"/><Relationship Id="rId1333" Type="http://schemas.openxmlformats.org/officeDocument/2006/relationships/hyperlink" Target="https://en.wikipedia.org/wiki/Texas" TargetMode="External"/><Relationship Id="rId1323" Type="http://schemas.openxmlformats.org/officeDocument/2006/relationships/hyperlink" Target="https://en.wikipedia.org/wiki/Florida" TargetMode="External"/><Relationship Id="rId1324" Type="http://schemas.openxmlformats.org/officeDocument/2006/relationships/hyperlink" Target="https://en.wikipedia.org/w/index.php?title=Jim_R._Miller_Event_Center&amp;action=edit&amp;redlink=1" TargetMode="External"/><Relationship Id="rId31" Type="http://schemas.openxmlformats.org/officeDocument/2006/relationships/hyperlink" Target="https://en.wikipedia.org/wiki/Miami_metropolitan_area" TargetMode="External"/><Relationship Id="rId1325" Type="http://schemas.openxmlformats.org/officeDocument/2006/relationships/hyperlink" Target="https://en.wikipedia.org/wiki/Marietta,_Georgia" TargetMode="External"/><Relationship Id="rId30" Type="http://schemas.openxmlformats.org/officeDocument/2006/relationships/hyperlink" Target="https://en.wikipedia.org/wiki/Florida_Panthers" TargetMode="External"/><Relationship Id="rId1326" Type="http://schemas.openxmlformats.org/officeDocument/2006/relationships/hyperlink" Target="https://en.wikipedia.org/wiki/Georgia_(U.S._state)" TargetMode="External"/><Relationship Id="rId33" Type="http://schemas.openxmlformats.org/officeDocument/2006/relationships/hyperlink" Target="https://en.wikipedia.org/wiki/Enterprise_Center" TargetMode="External"/><Relationship Id="rId1327" Type="http://schemas.openxmlformats.org/officeDocument/2006/relationships/hyperlink" Target="https://en.wikipedia.org/wiki/Metro_Atlanta" TargetMode="External"/><Relationship Id="rId32" Type="http://schemas.openxmlformats.org/officeDocument/2006/relationships/hyperlink" Target="https://en.wikipedia.org/wiki/File:Scottrade_Center_3Apr2005.jpg" TargetMode="External"/><Relationship Id="rId1328" Type="http://schemas.openxmlformats.org/officeDocument/2006/relationships/hyperlink" Target="https://en.wikipedia.org/w/index.php?title=Corteva_Agriscience_Center&amp;action=edit&amp;redlink=1" TargetMode="External"/><Relationship Id="rId35" Type="http://schemas.openxmlformats.org/officeDocument/2006/relationships/hyperlink" Target="https://en.wikipedia.org/wiki/Missouri" TargetMode="External"/><Relationship Id="rId1329" Type="http://schemas.openxmlformats.org/officeDocument/2006/relationships/hyperlink" Target="https://en.wikipedia.org/wiki/Tulare,_California" TargetMode="External"/><Relationship Id="rId34" Type="http://schemas.openxmlformats.org/officeDocument/2006/relationships/hyperlink" Target="https://en.wikipedia.org/wiki/St._Louis" TargetMode="External"/><Relationship Id="rId739" Type="http://schemas.openxmlformats.org/officeDocument/2006/relationships/hyperlink" Target="https://en.wikipedia.org/wiki/Wilkes-Barre,_Pennsylvania" TargetMode="External"/><Relationship Id="rId734" Type="http://schemas.openxmlformats.org/officeDocument/2006/relationships/hyperlink" Target="https://en.wikipedia.org/wiki/Uncasville,_Connecticut" TargetMode="External"/><Relationship Id="rId733" Type="http://schemas.openxmlformats.org/officeDocument/2006/relationships/hyperlink" Target="https://en.wikipedia.org/wiki/Mohegan_Sun_Arena" TargetMode="External"/><Relationship Id="rId732" Type="http://schemas.openxmlformats.org/officeDocument/2006/relationships/hyperlink" Target="https://en.wikipedia.org/wiki/Mississippi" TargetMode="External"/><Relationship Id="rId731" Type="http://schemas.openxmlformats.org/officeDocument/2006/relationships/hyperlink" Target="https://en.wikipedia.org/wiki/Jackson,_Mississippi" TargetMode="External"/><Relationship Id="rId738" Type="http://schemas.openxmlformats.org/officeDocument/2006/relationships/hyperlink" Target="https://en.wikipedia.org/wiki/Mohegan_Sun_Arena_at_Casey_Plaza" TargetMode="External"/><Relationship Id="rId737" Type="http://schemas.openxmlformats.org/officeDocument/2006/relationships/hyperlink" Target="https://en.wikipedia.org/wiki/File:Mohegan_Sun_Arena_at_Casey_Plaza_2_2012-05-05.JPG" TargetMode="External"/><Relationship Id="rId736" Type="http://schemas.openxmlformats.org/officeDocument/2006/relationships/hyperlink" Target="https://en.wikipedia.org/wiki/Connecticut_Sun" TargetMode="External"/><Relationship Id="rId735" Type="http://schemas.openxmlformats.org/officeDocument/2006/relationships/hyperlink" Target="https://en.wikipedia.org/wiki/Connecticut" TargetMode="External"/><Relationship Id="rId37" Type="http://schemas.openxmlformats.org/officeDocument/2006/relationships/hyperlink" Target="https://en.wikipedia.org/wiki/Greater_St._Louis" TargetMode="External"/><Relationship Id="rId36" Type="http://schemas.openxmlformats.org/officeDocument/2006/relationships/hyperlink" Target="https://en.wikipedia.org/wiki/St._Louis_Blues" TargetMode="External"/><Relationship Id="rId39" Type="http://schemas.openxmlformats.org/officeDocument/2006/relationships/hyperlink" Target="https://en.wikipedia.org/wiki/Amalie_Arena" TargetMode="External"/><Relationship Id="rId38" Type="http://schemas.openxmlformats.org/officeDocument/2006/relationships/hyperlink" Target="https://en.wikipedia.org/wiki/File:St_Pete_Times_Forum_At_Sunset.jpg" TargetMode="External"/><Relationship Id="rId730" Type="http://schemas.openxmlformats.org/officeDocument/2006/relationships/hyperlink" Target="https://en.wikipedia.org/wiki/Mississippi_Coliseum" TargetMode="External"/><Relationship Id="rId1320" Type="http://schemas.openxmlformats.org/officeDocument/2006/relationships/hyperlink" Target="https://en.wikipedia.org/wiki/Texas" TargetMode="External"/><Relationship Id="rId1321" Type="http://schemas.openxmlformats.org/officeDocument/2006/relationships/hyperlink" Target="https://en.wikipedia.org/wiki/Jacksonville_Equestrian_Center" TargetMode="External"/><Relationship Id="rId1322" Type="http://schemas.openxmlformats.org/officeDocument/2006/relationships/hyperlink" Target="https://en.wikipedia.org/wiki/Jacksonville,_Florida" TargetMode="External"/><Relationship Id="rId1356" Type="http://schemas.openxmlformats.org/officeDocument/2006/relationships/hyperlink" Target="https://en.wikipedia.org/w/index.php?title=Corbin_Arena&amp;action=edit&amp;redlink=1" TargetMode="External"/><Relationship Id="rId2203" Type="http://schemas.openxmlformats.org/officeDocument/2006/relationships/hyperlink" Target="https://en.wikipedia.org/wiki/Market_Square_Arena" TargetMode="External"/><Relationship Id="rId1357" Type="http://schemas.openxmlformats.org/officeDocument/2006/relationships/hyperlink" Target="https://en.wikipedia.org/wiki/Corbin,_Kentucky" TargetMode="External"/><Relationship Id="rId2204" Type="http://schemas.openxmlformats.org/officeDocument/2006/relationships/hyperlink" Target="https://en.wikipedia.org/wiki/McNichols_Sports_Arena" TargetMode="External"/><Relationship Id="rId20" Type="http://schemas.openxmlformats.org/officeDocument/2006/relationships/hyperlink" Target="https://en.wikipedia.org/wiki/Louisville_Cardinals" TargetMode="External"/><Relationship Id="rId1358" Type="http://schemas.openxmlformats.org/officeDocument/2006/relationships/hyperlink" Target="https://en.wikipedia.org/wiki/Kentucky" TargetMode="External"/><Relationship Id="rId2205" Type="http://schemas.openxmlformats.org/officeDocument/2006/relationships/hyperlink" Target="https://en.wikipedia.org/wiki/Metropolitan_Sports_Center" TargetMode="External"/><Relationship Id="rId1359" Type="http://schemas.openxmlformats.org/officeDocument/2006/relationships/hyperlink" Target="https://en.wikipedia.org/wiki/Duluth_Entertainment_Convention_Center" TargetMode="External"/><Relationship Id="rId2206" Type="http://schemas.openxmlformats.org/officeDocument/2006/relationships/hyperlink" Target="https://en.wikipedia.org/wiki/Mid-South_Coliseum" TargetMode="External"/><Relationship Id="rId22" Type="http://schemas.openxmlformats.org/officeDocument/2006/relationships/hyperlink" Target="https://en.wikipedia.org/wiki/Tacoma_Dome" TargetMode="External"/><Relationship Id="rId2207" Type="http://schemas.openxmlformats.org/officeDocument/2006/relationships/hyperlink" Target="https://en.wikipedia.org/wiki/Minneapolis_Auditorium" TargetMode="External"/><Relationship Id="rId21" Type="http://schemas.openxmlformats.org/officeDocument/2006/relationships/hyperlink" Target="https://en.wikipedia.org/wiki/File:Tacoma_Dome_(Tacoma,_Washington).jpg" TargetMode="External"/><Relationship Id="rId2208" Type="http://schemas.openxmlformats.org/officeDocument/2006/relationships/hyperlink" Target="https://en.wikipedia.org/wiki/Motor_Square_Garden" TargetMode="External"/><Relationship Id="rId24" Type="http://schemas.openxmlformats.org/officeDocument/2006/relationships/hyperlink" Target="https://en.wikipedia.org/wiki/Washington_(state)" TargetMode="External"/><Relationship Id="rId2209" Type="http://schemas.openxmlformats.org/officeDocument/2006/relationships/hyperlink" Target="https://en.wikipedia.org/wiki/Municipal_Auditorium_(New_Orleans)" TargetMode="External"/><Relationship Id="rId23" Type="http://schemas.openxmlformats.org/officeDocument/2006/relationships/hyperlink" Target="https://en.wikipedia.org/wiki/Tacoma,_Washington" TargetMode="External"/><Relationship Id="rId767" Type="http://schemas.openxmlformats.org/officeDocument/2006/relationships/hyperlink" Target="https://en.wikipedia.org/wiki/Alliant_Energy_Center" TargetMode="External"/><Relationship Id="rId766" Type="http://schemas.openxmlformats.org/officeDocument/2006/relationships/hyperlink" Target="https://en.wikipedia.org/wiki/File:AlliantOUTSIDE.jpg" TargetMode="External"/><Relationship Id="rId765" Type="http://schemas.openxmlformats.org/officeDocument/2006/relationships/hyperlink" Target="https://en.wikipedia.org/wiki/Indy_Fuel" TargetMode="External"/><Relationship Id="rId764" Type="http://schemas.openxmlformats.org/officeDocument/2006/relationships/hyperlink" Target="https://en.wikipedia.org/wiki/Indiana" TargetMode="External"/><Relationship Id="rId769" Type="http://schemas.openxmlformats.org/officeDocument/2006/relationships/hyperlink" Target="https://en.wikipedia.org/wiki/Wisconsin" TargetMode="External"/><Relationship Id="rId768" Type="http://schemas.openxmlformats.org/officeDocument/2006/relationships/hyperlink" Target="https://en.wikipedia.org/wiki/Madison,_Wisconsin" TargetMode="External"/><Relationship Id="rId26" Type="http://schemas.openxmlformats.org/officeDocument/2006/relationships/hyperlink" Target="https://en.wikipedia.org/wiki/File:BankAtlanticCenterCrop.JPG" TargetMode="External"/><Relationship Id="rId25" Type="http://schemas.openxmlformats.org/officeDocument/2006/relationships/hyperlink" Target="https://en.wikipedia.org/wiki/Seattle_metropolitan_area" TargetMode="External"/><Relationship Id="rId28" Type="http://schemas.openxmlformats.org/officeDocument/2006/relationships/hyperlink" Target="https://en.wikipedia.org/wiki/Sunrise,_Florida" TargetMode="External"/><Relationship Id="rId1350" Type="http://schemas.openxmlformats.org/officeDocument/2006/relationships/hyperlink" Target="https://en.wikipedia.org/wiki/Nevada" TargetMode="External"/><Relationship Id="rId27" Type="http://schemas.openxmlformats.org/officeDocument/2006/relationships/hyperlink" Target="https://en.wikipedia.org/wiki/Amerant_Bank_Arena" TargetMode="External"/><Relationship Id="rId1351" Type="http://schemas.openxmlformats.org/officeDocument/2006/relationships/hyperlink" Target="https://en.wikipedia.org/wiki/File:Dort_Federal_Credit_Union_Event_Center_-_Exterior.JPG" TargetMode="External"/><Relationship Id="rId763" Type="http://schemas.openxmlformats.org/officeDocument/2006/relationships/hyperlink" Target="https://en.wikipedia.org/wiki/Indianapolis" TargetMode="External"/><Relationship Id="rId1352" Type="http://schemas.openxmlformats.org/officeDocument/2006/relationships/hyperlink" Target="https://en.wikipedia.org/wiki/Dort_Federal_Credit_Union_Event_Center" TargetMode="External"/><Relationship Id="rId29" Type="http://schemas.openxmlformats.org/officeDocument/2006/relationships/hyperlink" Target="https://en.wikipedia.org/wiki/Florida" TargetMode="External"/><Relationship Id="rId762" Type="http://schemas.openxmlformats.org/officeDocument/2006/relationships/hyperlink" Target="https://en.wikipedia.org/wiki/Indiana_Farmers_Coliseum" TargetMode="External"/><Relationship Id="rId1353" Type="http://schemas.openxmlformats.org/officeDocument/2006/relationships/hyperlink" Target="https://en.wikipedia.org/wiki/Flint,_Michigan" TargetMode="External"/><Relationship Id="rId2200" Type="http://schemas.openxmlformats.org/officeDocument/2006/relationships/hyperlink" Target="https://en.wikipedia.org/wiki/Los_Angeles_Memorial_Sports_Arena" TargetMode="External"/><Relationship Id="rId761" Type="http://schemas.openxmlformats.org/officeDocument/2006/relationships/hyperlink" Target="https://en.wikipedia.org/wiki/File:COLISEUMedited.jpg" TargetMode="External"/><Relationship Id="rId1354" Type="http://schemas.openxmlformats.org/officeDocument/2006/relationships/hyperlink" Target="https://en.wikipedia.org/wiki/Michigan" TargetMode="External"/><Relationship Id="rId2201" Type="http://schemas.openxmlformats.org/officeDocument/2006/relationships/hyperlink" Target="https://en.wikipedia.org/wiki/Madison_Square_Garden_(1890)" TargetMode="External"/><Relationship Id="rId760" Type="http://schemas.openxmlformats.org/officeDocument/2006/relationships/hyperlink" Target="https://en.wikipedia.org/wiki/New_York_metropolitan_area" TargetMode="External"/><Relationship Id="rId1355" Type="http://schemas.openxmlformats.org/officeDocument/2006/relationships/hyperlink" Target="https://en.wikipedia.org/wiki/Flint_Firebirds" TargetMode="External"/><Relationship Id="rId2202" Type="http://schemas.openxmlformats.org/officeDocument/2006/relationships/hyperlink" Target="https://en.wikipedia.org/wiki/Madison_Square_Garden_(1925)" TargetMode="External"/><Relationship Id="rId1345" Type="http://schemas.openxmlformats.org/officeDocument/2006/relationships/hyperlink" Target="https://en.wikipedia.org/wiki/Viking_Hall_(Bristol)" TargetMode="External"/><Relationship Id="rId1346" Type="http://schemas.openxmlformats.org/officeDocument/2006/relationships/hyperlink" Target="https://en.wikipedia.org/wiki/Bristol,_Tennessee" TargetMode="External"/><Relationship Id="rId1347" Type="http://schemas.openxmlformats.org/officeDocument/2006/relationships/hyperlink" Target="https://en.wikipedia.org/wiki/Tennessee" TargetMode="External"/><Relationship Id="rId1348" Type="http://schemas.openxmlformats.org/officeDocument/2006/relationships/hyperlink" Target="https://en.wikipedia.org/wiki/Star_of_the_Desert_Arena" TargetMode="External"/><Relationship Id="rId11" Type="http://schemas.openxmlformats.org/officeDocument/2006/relationships/hyperlink" Target="https://en.wikipedia.org/wiki/United_Center" TargetMode="External"/><Relationship Id="rId1349" Type="http://schemas.openxmlformats.org/officeDocument/2006/relationships/hyperlink" Target="https://en.wikipedia.org/wiki/Primm,_Nevada" TargetMode="External"/><Relationship Id="rId10" Type="http://schemas.openxmlformats.org/officeDocument/2006/relationships/hyperlink" Target="https://en.wikipedia.org/wiki/File:United_Center_1.jpg" TargetMode="External"/><Relationship Id="rId13" Type="http://schemas.openxmlformats.org/officeDocument/2006/relationships/hyperlink" Target="https://en.wikipedia.org/wiki/Illinois" TargetMode="External"/><Relationship Id="rId12" Type="http://schemas.openxmlformats.org/officeDocument/2006/relationships/hyperlink" Target="https://en.wikipedia.org/wiki/Chicago" TargetMode="External"/><Relationship Id="rId756" Type="http://schemas.openxmlformats.org/officeDocument/2006/relationships/hyperlink" Target="https://en.wikipedia.org/wiki/Total_Mortgage_Arena" TargetMode="External"/><Relationship Id="rId755" Type="http://schemas.openxmlformats.org/officeDocument/2006/relationships/hyperlink" Target="https://en.wikipedia.org/wiki/File:Bridgeport,_Connecticut_(8428766274).jpg" TargetMode="External"/><Relationship Id="rId754" Type="http://schemas.openxmlformats.org/officeDocument/2006/relationships/hyperlink" Target="https://en.wikipedia.org/wiki/Texas" TargetMode="External"/><Relationship Id="rId753" Type="http://schemas.openxmlformats.org/officeDocument/2006/relationships/hyperlink" Target="https://en.wikipedia.org/wiki/Lufkin,_Texas" TargetMode="External"/><Relationship Id="rId759" Type="http://schemas.openxmlformats.org/officeDocument/2006/relationships/hyperlink" Target="https://en.wikipedia.org/wiki/Bridgeport_Islanders" TargetMode="External"/><Relationship Id="rId758" Type="http://schemas.openxmlformats.org/officeDocument/2006/relationships/hyperlink" Target="https://en.wikipedia.org/wiki/Connecticut" TargetMode="External"/><Relationship Id="rId757" Type="http://schemas.openxmlformats.org/officeDocument/2006/relationships/hyperlink" Target="https://en.wikipedia.org/wiki/Bridgeport,_Connecticut" TargetMode="External"/><Relationship Id="rId15" Type="http://schemas.openxmlformats.org/officeDocument/2006/relationships/hyperlink" Target="https://en.wikipedia.org/wiki/Chicagoland" TargetMode="External"/><Relationship Id="rId14" Type="http://schemas.openxmlformats.org/officeDocument/2006/relationships/hyperlink" Target="https://en.wikipedia.org/wiki/Chicago_Blackhawks" TargetMode="External"/><Relationship Id="rId17" Type="http://schemas.openxmlformats.org/officeDocument/2006/relationships/hyperlink" Target="https://en.wikipedia.org/wiki/KFC_Yum!_Center" TargetMode="External"/><Relationship Id="rId16" Type="http://schemas.openxmlformats.org/officeDocument/2006/relationships/hyperlink" Target="https://en.wikipedia.org/wiki/File:KFC_Yum_Center.jpg" TargetMode="External"/><Relationship Id="rId1340" Type="http://schemas.openxmlformats.org/officeDocument/2006/relationships/hyperlink" Target="https://en.wikipedia.org/wiki/Michigan" TargetMode="External"/><Relationship Id="rId19" Type="http://schemas.openxmlformats.org/officeDocument/2006/relationships/hyperlink" Target="https://en.wikipedia.org/wiki/Kentucky" TargetMode="External"/><Relationship Id="rId752" Type="http://schemas.openxmlformats.org/officeDocument/2006/relationships/hyperlink" Target="https://en.wikipedia.org/w/index.php?title=Henderson_Exposition_Center&amp;action=edit&amp;redlink=1" TargetMode="External"/><Relationship Id="rId1341" Type="http://schemas.openxmlformats.org/officeDocument/2006/relationships/hyperlink" Target="https://en.wikipedia.org/wiki/File:Sacramento_Convention_Center_March_2009.jpg" TargetMode="External"/><Relationship Id="rId18" Type="http://schemas.openxmlformats.org/officeDocument/2006/relationships/hyperlink" Target="https://en.wikipedia.org/wiki/Louisville,_Kentucky" TargetMode="External"/><Relationship Id="rId751" Type="http://schemas.openxmlformats.org/officeDocument/2006/relationships/hyperlink" Target="https://en.wikipedia.org/wiki/Cedar_Rapids_River_Kings" TargetMode="External"/><Relationship Id="rId1342" Type="http://schemas.openxmlformats.org/officeDocument/2006/relationships/hyperlink" Target="https://en.wikipedia.org/wiki/Sacramento_Convention_Center_Complex" TargetMode="External"/><Relationship Id="rId750" Type="http://schemas.openxmlformats.org/officeDocument/2006/relationships/hyperlink" Target="https://en.wikipedia.org/wiki/Iowa" TargetMode="External"/><Relationship Id="rId1343" Type="http://schemas.openxmlformats.org/officeDocument/2006/relationships/hyperlink" Target="https://en.wikipedia.org/wiki/Sacramento,_California" TargetMode="External"/><Relationship Id="rId1344" Type="http://schemas.openxmlformats.org/officeDocument/2006/relationships/hyperlink" Target="https://en.wikipedia.org/wiki/California" TargetMode="External"/><Relationship Id="rId84" Type="http://schemas.openxmlformats.org/officeDocument/2006/relationships/hyperlink" Target="https://en.wikipedia.org/wiki/Georgia_(U.S._state)" TargetMode="External"/><Relationship Id="rId1774" Type="http://schemas.openxmlformats.org/officeDocument/2006/relationships/hyperlink" Target="https://en.wikipedia.org/wiki/Oshkosh,_Wisconsin" TargetMode="External"/><Relationship Id="rId83" Type="http://schemas.openxmlformats.org/officeDocument/2006/relationships/hyperlink" Target="https://en.wikipedia.org/wiki/Atlanta" TargetMode="External"/><Relationship Id="rId1775" Type="http://schemas.openxmlformats.org/officeDocument/2006/relationships/hyperlink" Target="https://en.wikipedia.org/wiki/Wisconsin" TargetMode="External"/><Relationship Id="rId86" Type="http://schemas.openxmlformats.org/officeDocument/2006/relationships/hyperlink" Target="https://en.wikipedia.org/wiki/Metro_Atlanta" TargetMode="External"/><Relationship Id="rId1776" Type="http://schemas.openxmlformats.org/officeDocument/2006/relationships/hyperlink" Target="https://en.wikipedia.org/wiki/Wisconsin_Herd" TargetMode="External"/><Relationship Id="rId85" Type="http://schemas.openxmlformats.org/officeDocument/2006/relationships/hyperlink" Target="https://en.wikipedia.org/wiki/Atlanta_Hawks" TargetMode="External"/><Relationship Id="rId1777" Type="http://schemas.openxmlformats.org/officeDocument/2006/relationships/hyperlink" Target="https://en.wikipedia.org/wiki/File:Entertainment_and_Sports_Arena_Exterior.jpg" TargetMode="External"/><Relationship Id="rId88" Type="http://schemas.openxmlformats.org/officeDocument/2006/relationships/hyperlink" Target="https://en.wikipedia.org/wiki/Capital_One_Arena" TargetMode="External"/><Relationship Id="rId1778" Type="http://schemas.openxmlformats.org/officeDocument/2006/relationships/hyperlink" Target="https://en.wikipedia.org/wiki/St._Elizabeths_East_Entertainment_and_Sports_Arena" TargetMode="External"/><Relationship Id="rId87" Type="http://schemas.openxmlformats.org/officeDocument/2006/relationships/hyperlink" Target="https://en.wikipedia.org/wiki/File:Verizon_Center_wide.jpg" TargetMode="External"/><Relationship Id="rId1779" Type="http://schemas.openxmlformats.org/officeDocument/2006/relationships/hyperlink" Target="https://en.wikipedia.org/wiki/Washington,_D.C." TargetMode="External"/><Relationship Id="rId89" Type="http://schemas.openxmlformats.org/officeDocument/2006/relationships/hyperlink" Target="https://en.wikipedia.org/wiki/Washington,_D.C." TargetMode="External"/><Relationship Id="rId709" Type="http://schemas.openxmlformats.org/officeDocument/2006/relationships/hyperlink" Target="https://en.wikipedia.org/wiki/Huntington_Center_(Toledo,_Ohio)" TargetMode="External"/><Relationship Id="rId708" Type="http://schemas.openxmlformats.org/officeDocument/2006/relationships/hyperlink" Target="https://en.wikipedia.org/wiki/File:Huntington_Center_(Toledo,_Ohio),_April_2022.jpg" TargetMode="External"/><Relationship Id="rId707" Type="http://schemas.openxmlformats.org/officeDocument/2006/relationships/hyperlink" Target="https://en.wikipedia.org/wiki/South_Carolina" TargetMode="External"/><Relationship Id="rId706" Type="http://schemas.openxmlformats.org/officeDocument/2006/relationships/hyperlink" Target="https://en.wikipedia.org/wiki/Florence,_South_Carolina" TargetMode="External"/><Relationship Id="rId80" Type="http://schemas.openxmlformats.org/officeDocument/2006/relationships/hyperlink" Target="https://en.wikipedia.org/wiki/Denver_metropolitan_area" TargetMode="External"/><Relationship Id="rId82" Type="http://schemas.openxmlformats.org/officeDocument/2006/relationships/hyperlink" Target="https://en.wikipedia.org/wiki/State_Farm_Arena" TargetMode="External"/><Relationship Id="rId81" Type="http://schemas.openxmlformats.org/officeDocument/2006/relationships/hyperlink" Target="https://en.wikipedia.org/wiki/File:Philips_Arena.jpg" TargetMode="External"/><Relationship Id="rId701" Type="http://schemas.openxmlformats.org/officeDocument/2006/relationships/hyperlink" Target="https://en.wikipedia.org/wiki/Washington,_D.C." TargetMode="External"/><Relationship Id="rId700" Type="http://schemas.openxmlformats.org/officeDocument/2006/relationships/hyperlink" Target="https://en.wikipedia.org/wiki/D.C._Armory" TargetMode="External"/><Relationship Id="rId705" Type="http://schemas.openxmlformats.org/officeDocument/2006/relationships/hyperlink" Target="https://en.wikipedia.org/wiki/Florence_Center" TargetMode="External"/><Relationship Id="rId704" Type="http://schemas.openxmlformats.org/officeDocument/2006/relationships/hyperlink" Target="https://en.wikipedia.org/wiki/File:Florence_Civic_Center_front_view.jpg" TargetMode="External"/><Relationship Id="rId703" Type="http://schemas.openxmlformats.org/officeDocument/2006/relationships/hyperlink" Target="https://en.wikipedia.org/wiki/Washington%E2%80%93Baltimore_metropolitan_area" TargetMode="External"/><Relationship Id="rId702" Type="http://schemas.openxmlformats.org/officeDocument/2006/relationships/hyperlink" Target="https://en.wikipedia.org/wiki/Washington,_D.C." TargetMode="External"/><Relationship Id="rId1770" Type="http://schemas.openxmlformats.org/officeDocument/2006/relationships/hyperlink" Target="https://en.wikipedia.org/wiki/East_Grand_Forks" TargetMode="External"/><Relationship Id="rId1771" Type="http://schemas.openxmlformats.org/officeDocument/2006/relationships/hyperlink" Target="https://en.wikipedia.org/wiki/Minnesota" TargetMode="External"/><Relationship Id="rId1772" Type="http://schemas.openxmlformats.org/officeDocument/2006/relationships/hyperlink" Target="https://en.wikipedia.org/wiki/File:MenomineeNationArena31Dec2017.jpg" TargetMode="External"/><Relationship Id="rId1773" Type="http://schemas.openxmlformats.org/officeDocument/2006/relationships/hyperlink" Target="https://en.wikipedia.org/wiki/Oshkosh_Arena" TargetMode="External"/><Relationship Id="rId73" Type="http://schemas.openxmlformats.org/officeDocument/2006/relationships/hyperlink" Target="https://en.wikipedia.org/wiki/Oregon" TargetMode="External"/><Relationship Id="rId1763" Type="http://schemas.openxmlformats.org/officeDocument/2006/relationships/hyperlink" Target="https://en.wikipedia.org/wiki/Bozeman,_Montana" TargetMode="External"/><Relationship Id="rId72" Type="http://schemas.openxmlformats.org/officeDocument/2006/relationships/hyperlink" Target="https://en.wikipedia.org/wiki/Portland,_Oregon" TargetMode="External"/><Relationship Id="rId1764" Type="http://schemas.openxmlformats.org/officeDocument/2006/relationships/hyperlink" Target="https://en.wikipedia.org/wiki/Montana" TargetMode="External"/><Relationship Id="rId75" Type="http://schemas.openxmlformats.org/officeDocument/2006/relationships/hyperlink" Target="https://en.wikipedia.org/wiki/File:Ball_Arena_exterior_2022.jpg" TargetMode="External"/><Relationship Id="rId1765" Type="http://schemas.openxmlformats.org/officeDocument/2006/relationships/hyperlink" Target="https://en.wikipedia.org/wiki/The_Legacy_Center" TargetMode="External"/><Relationship Id="rId74" Type="http://schemas.openxmlformats.org/officeDocument/2006/relationships/hyperlink" Target="https://en.wikipedia.org/wiki/Portland_Trail_Blazers" TargetMode="External"/><Relationship Id="rId1766" Type="http://schemas.openxmlformats.org/officeDocument/2006/relationships/hyperlink" Target="https://en.wikipedia.org/wiki/Lake_Charles,_Louisiana" TargetMode="External"/><Relationship Id="rId77" Type="http://schemas.openxmlformats.org/officeDocument/2006/relationships/hyperlink" Target="https://en.wikipedia.org/wiki/Denver" TargetMode="External"/><Relationship Id="rId1767" Type="http://schemas.openxmlformats.org/officeDocument/2006/relationships/hyperlink" Target="https://en.wikipedia.org/wiki/Louisiana" TargetMode="External"/><Relationship Id="rId76" Type="http://schemas.openxmlformats.org/officeDocument/2006/relationships/hyperlink" Target="https://en.wikipedia.org/wiki/Ball_Arena" TargetMode="External"/><Relationship Id="rId1768" Type="http://schemas.openxmlformats.org/officeDocument/2006/relationships/hyperlink" Target="https://en.wikipedia.org/wiki/McNeese_Cowboys_and_Cowgirls" TargetMode="External"/><Relationship Id="rId79" Type="http://schemas.openxmlformats.org/officeDocument/2006/relationships/hyperlink" Target="https://en.wikipedia.org/wiki/Colorado_Avalanche" TargetMode="External"/><Relationship Id="rId1769" Type="http://schemas.openxmlformats.org/officeDocument/2006/relationships/hyperlink" Target="https://en.wikipedia.org/w/index.php?title=East_Grand_Forks_Civic_Arena&amp;action=edit&amp;redlink=1" TargetMode="External"/><Relationship Id="rId78" Type="http://schemas.openxmlformats.org/officeDocument/2006/relationships/hyperlink" Target="https://en.wikipedia.org/wiki/Colorado" TargetMode="External"/><Relationship Id="rId71" Type="http://schemas.openxmlformats.org/officeDocument/2006/relationships/hyperlink" Target="https://en.wikipedia.org/wiki/Moda_Center" TargetMode="External"/><Relationship Id="rId70" Type="http://schemas.openxmlformats.org/officeDocument/2006/relationships/hyperlink" Target="https://en.wikipedia.org/wiki/File:Moda_Center.JPG" TargetMode="External"/><Relationship Id="rId1760" Type="http://schemas.openxmlformats.org/officeDocument/2006/relationships/hyperlink" Target="https://en.wikipedia.org/wiki/Monroe,_Michigan" TargetMode="External"/><Relationship Id="rId1761" Type="http://schemas.openxmlformats.org/officeDocument/2006/relationships/hyperlink" Target="https://en.wikipedia.org/wiki/Michigan" TargetMode="External"/><Relationship Id="rId1762" Type="http://schemas.openxmlformats.org/officeDocument/2006/relationships/hyperlink" Target="https://en.wikipedia.org/w/index.php?title=Gallatin_County_Fair&amp;action=edit&amp;redlink=1" TargetMode="External"/><Relationship Id="rId62" Type="http://schemas.openxmlformats.org/officeDocument/2006/relationships/hyperlink" Target="https://en.wikipedia.org/wiki/Salt_Lake_City" TargetMode="External"/><Relationship Id="rId1312" Type="http://schemas.openxmlformats.org/officeDocument/2006/relationships/hyperlink" Target="https://en.wikipedia.org/wiki/Alaska" TargetMode="External"/><Relationship Id="rId1796" Type="http://schemas.openxmlformats.org/officeDocument/2006/relationships/hyperlink" Target="https://en.wikipedia.org/wiki/Greater_Los_Angeles" TargetMode="External"/><Relationship Id="rId61" Type="http://schemas.openxmlformats.org/officeDocument/2006/relationships/hyperlink" Target="https://en.wikipedia.org/wiki/Delta_Center" TargetMode="External"/><Relationship Id="rId1313" Type="http://schemas.openxmlformats.org/officeDocument/2006/relationships/hyperlink" Target="https://en.wikipedia.org/wiki/File:Rapides_Coliseum.jpg" TargetMode="External"/><Relationship Id="rId1797" Type="http://schemas.openxmlformats.org/officeDocument/2006/relationships/hyperlink" Target="https://en.wikipedia.org/wiki/Aleppo_Shriners_Auditorium" TargetMode="External"/><Relationship Id="rId64" Type="http://schemas.openxmlformats.org/officeDocument/2006/relationships/hyperlink" Target="https://en.wikipedia.org/wiki/Utah_Jazz" TargetMode="External"/><Relationship Id="rId1314" Type="http://schemas.openxmlformats.org/officeDocument/2006/relationships/hyperlink" Target="https://en.wikipedia.org/wiki/Rapides_Parish_Coliseum" TargetMode="External"/><Relationship Id="rId1798" Type="http://schemas.openxmlformats.org/officeDocument/2006/relationships/hyperlink" Target="https://en.wikipedia.org/wiki/Wilmington,_Massachusetts" TargetMode="External"/><Relationship Id="rId63" Type="http://schemas.openxmlformats.org/officeDocument/2006/relationships/hyperlink" Target="https://en.wikipedia.org/wiki/Utah" TargetMode="External"/><Relationship Id="rId1315" Type="http://schemas.openxmlformats.org/officeDocument/2006/relationships/hyperlink" Target="https://en.wikipedia.org/wiki/Alexandria,_Louisiana" TargetMode="External"/><Relationship Id="rId1799" Type="http://schemas.openxmlformats.org/officeDocument/2006/relationships/hyperlink" Target="https://en.wikipedia.org/wiki/Massachusetts" TargetMode="External"/><Relationship Id="rId66" Type="http://schemas.openxmlformats.org/officeDocument/2006/relationships/hyperlink" Target="https://en.wikipedia.org/wiki/Little_Caesars_Arena" TargetMode="External"/><Relationship Id="rId1316" Type="http://schemas.openxmlformats.org/officeDocument/2006/relationships/hyperlink" Target="https://en.wikipedia.org/wiki/Louisiana" TargetMode="External"/><Relationship Id="rId65" Type="http://schemas.openxmlformats.org/officeDocument/2006/relationships/hyperlink" Target="https://en.wikipedia.org/wiki/File:Interior_of_little_Caesars_arena_panorama.jpg" TargetMode="External"/><Relationship Id="rId1317" Type="http://schemas.openxmlformats.org/officeDocument/2006/relationships/hyperlink" Target="https://en.wikipedia.org/wiki/File:Beaumont_February_16_025.JPG" TargetMode="External"/><Relationship Id="rId68" Type="http://schemas.openxmlformats.org/officeDocument/2006/relationships/hyperlink" Target="https://en.wikipedia.org/wiki/Michigan" TargetMode="External"/><Relationship Id="rId1318" Type="http://schemas.openxmlformats.org/officeDocument/2006/relationships/hyperlink" Target="https://en.wikipedia.org/wiki/Beaumont_Civic_Center" TargetMode="External"/><Relationship Id="rId67" Type="http://schemas.openxmlformats.org/officeDocument/2006/relationships/hyperlink" Target="https://en.wikipedia.org/wiki/Detroit" TargetMode="External"/><Relationship Id="rId1319" Type="http://schemas.openxmlformats.org/officeDocument/2006/relationships/hyperlink" Target="https://en.wikipedia.org/wiki/Beaumont,_Texas" TargetMode="External"/><Relationship Id="rId729" Type="http://schemas.openxmlformats.org/officeDocument/2006/relationships/hyperlink" Target="https://en.wikipedia.org/wiki/File:Mississippi_Coliseum..png" TargetMode="External"/><Relationship Id="rId728" Type="http://schemas.openxmlformats.org/officeDocument/2006/relationships/hyperlink" Target="https://en.wikipedia.org/wiki/Kansas" TargetMode="External"/><Relationship Id="rId60" Type="http://schemas.openxmlformats.org/officeDocument/2006/relationships/hyperlink" Target="https://en.wikipedia.org/wiki/File:Vivint_Smart_Home_Arena_August_13,_2016.jpg" TargetMode="External"/><Relationship Id="rId723" Type="http://schemas.openxmlformats.org/officeDocument/2006/relationships/hyperlink" Target="https://en.wikipedia.org/wiki/Florida" TargetMode="External"/><Relationship Id="rId722" Type="http://schemas.openxmlformats.org/officeDocument/2006/relationships/hyperlink" Target="https://en.wikipedia.org/wiki/Lakeland,_Florida" TargetMode="External"/><Relationship Id="rId721" Type="http://schemas.openxmlformats.org/officeDocument/2006/relationships/hyperlink" Target="https://en.wikipedia.org/wiki/RP_Funding_Center" TargetMode="External"/><Relationship Id="rId720" Type="http://schemas.openxmlformats.org/officeDocument/2006/relationships/hyperlink" Target="https://en.wikipedia.org/wiki/Wichita_Falls_Nighthawks" TargetMode="External"/><Relationship Id="rId727" Type="http://schemas.openxmlformats.org/officeDocument/2006/relationships/hyperlink" Target="https://en.wikipedia.org/wiki/Topeka,_Kansas" TargetMode="External"/><Relationship Id="rId726" Type="http://schemas.openxmlformats.org/officeDocument/2006/relationships/hyperlink" Target="https://en.wikipedia.org/wiki/Landon_Arena" TargetMode="External"/><Relationship Id="rId725" Type="http://schemas.openxmlformats.org/officeDocument/2006/relationships/hyperlink" Target="https://en.wikipedia.org/wiki/File:Landon_Arena.jpg" TargetMode="External"/><Relationship Id="rId724" Type="http://schemas.openxmlformats.org/officeDocument/2006/relationships/hyperlink" Target="https://en.wikipedia.org/wiki/Lakeland_Magic" TargetMode="External"/><Relationship Id="rId69" Type="http://schemas.openxmlformats.org/officeDocument/2006/relationships/hyperlink" Target="https://en.wikipedia.org/wiki/Detroit_Red_Wings" TargetMode="External"/><Relationship Id="rId1790" Type="http://schemas.openxmlformats.org/officeDocument/2006/relationships/hyperlink" Target="https://en.wikipedia.org/wiki/Bay_Area" TargetMode="External"/><Relationship Id="rId1791" Type="http://schemas.openxmlformats.org/officeDocument/2006/relationships/hyperlink" Target="https://en.wikipedia.org/wiki/File:Walter_Pyramid.jpg" TargetMode="External"/><Relationship Id="rId1792" Type="http://schemas.openxmlformats.org/officeDocument/2006/relationships/hyperlink" Target="https://en.wikipedia.org/wiki/Walter_Pyramid" TargetMode="External"/><Relationship Id="rId1793" Type="http://schemas.openxmlformats.org/officeDocument/2006/relationships/hyperlink" Target="https://en.wikipedia.org/wiki/Long_Beach,_California" TargetMode="External"/><Relationship Id="rId1310" Type="http://schemas.openxmlformats.org/officeDocument/2006/relationships/hyperlink" Target="https://en.wikipedia.org/wiki/Carlson_Center" TargetMode="External"/><Relationship Id="rId1794" Type="http://schemas.openxmlformats.org/officeDocument/2006/relationships/hyperlink" Target="https://en.wikipedia.org/wiki/California" TargetMode="External"/><Relationship Id="rId1311" Type="http://schemas.openxmlformats.org/officeDocument/2006/relationships/hyperlink" Target="https://en.wikipedia.org/wiki/Fairbanks,_Alaska" TargetMode="External"/><Relationship Id="rId1795" Type="http://schemas.openxmlformats.org/officeDocument/2006/relationships/hyperlink" Target="https://en.wikipedia.org/wiki/Long_Beach_State_athletics" TargetMode="External"/><Relationship Id="rId51" Type="http://schemas.openxmlformats.org/officeDocument/2006/relationships/hyperlink" Target="https://en.wikipedia.org/wiki/Lenovo_Center" TargetMode="External"/><Relationship Id="rId1301" Type="http://schemas.openxmlformats.org/officeDocument/2006/relationships/hyperlink" Target="https://en.wikipedia.org/wiki/North_Dakota" TargetMode="External"/><Relationship Id="rId1785" Type="http://schemas.openxmlformats.org/officeDocument/2006/relationships/hyperlink" Target="https://en.wikipedia.org/wiki/Missouri" TargetMode="External"/><Relationship Id="rId50" Type="http://schemas.openxmlformats.org/officeDocument/2006/relationships/hyperlink" Target="https://en.wikipedia.org/wiki/File:PNC_Arena_Raleigh.JPG" TargetMode="External"/><Relationship Id="rId1302" Type="http://schemas.openxmlformats.org/officeDocument/2006/relationships/hyperlink" Target="https://en.wikipedia.org/wiki/Ike_Hamilton_Expo_Center" TargetMode="External"/><Relationship Id="rId1786" Type="http://schemas.openxmlformats.org/officeDocument/2006/relationships/hyperlink" Target="https://en.wikipedia.org/wiki/Tech_CU_Arena" TargetMode="External"/><Relationship Id="rId53" Type="http://schemas.openxmlformats.org/officeDocument/2006/relationships/hyperlink" Target="https://en.wikipedia.org/wiki/North_Carolina" TargetMode="External"/><Relationship Id="rId1303" Type="http://schemas.openxmlformats.org/officeDocument/2006/relationships/hyperlink" Target="https://en.wikipedia.org/wiki/West_Monroe" TargetMode="External"/><Relationship Id="rId1787" Type="http://schemas.openxmlformats.org/officeDocument/2006/relationships/hyperlink" Target="https://en.wikipedia.org/wiki/San_Jose,_California" TargetMode="External"/><Relationship Id="rId52" Type="http://schemas.openxmlformats.org/officeDocument/2006/relationships/hyperlink" Target="https://en.wikipedia.org/wiki/Raleigh,_North_Carolina" TargetMode="External"/><Relationship Id="rId1304" Type="http://schemas.openxmlformats.org/officeDocument/2006/relationships/hyperlink" Target="https://en.wikipedia.org/wiki/Louisiana" TargetMode="External"/><Relationship Id="rId1788" Type="http://schemas.openxmlformats.org/officeDocument/2006/relationships/hyperlink" Target="https://en.wikipedia.org/wiki/California" TargetMode="External"/><Relationship Id="rId55" Type="http://schemas.openxmlformats.org/officeDocument/2006/relationships/hyperlink" Target="https://en.wikipedia.org/wiki/File:RuppArena.JPG" TargetMode="External"/><Relationship Id="rId1305" Type="http://schemas.openxmlformats.org/officeDocument/2006/relationships/hyperlink" Target="https://en.wikipedia.org/wiki/File:Foster_Communications_Coliseum_San_Angelo_Texas_2019.jpg" TargetMode="External"/><Relationship Id="rId1789" Type="http://schemas.openxmlformats.org/officeDocument/2006/relationships/hyperlink" Target="https://en.wikipedia.org/wiki/San_Jose_Barracuda" TargetMode="External"/><Relationship Id="rId54" Type="http://schemas.openxmlformats.org/officeDocument/2006/relationships/hyperlink" Target="https://en.wikipedia.org/wiki/Carolina_Hurricanes" TargetMode="External"/><Relationship Id="rId1306" Type="http://schemas.openxmlformats.org/officeDocument/2006/relationships/hyperlink" Target="https://en.wikipedia.org/wiki/Foster_Communications_Coliseum" TargetMode="External"/><Relationship Id="rId57" Type="http://schemas.openxmlformats.org/officeDocument/2006/relationships/hyperlink" Target="https://en.wikipedia.org/wiki/Lexington,_Kentucky" TargetMode="External"/><Relationship Id="rId1307" Type="http://schemas.openxmlformats.org/officeDocument/2006/relationships/hyperlink" Target="https://en.wikipedia.org/wiki/San_Angelo,_Texas" TargetMode="External"/><Relationship Id="rId56" Type="http://schemas.openxmlformats.org/officeDocument/2006/relationships/hyperlink" Target="https://en.wikipedia.org/wiki/Rupp_Arena" TargetMode="External"/><Relationship Id="rId1308" Type="http://schemas.openxmlformats.org/officeDocument/2006/relationships/hyperlink" Target="https://en.wikipedia.org/wiki/Texas" TargetMode="External"/><Relationship Id="rId1309" Type="http://schemas.openxmlformats.org/officeDocument/2006/relationships/hyperlink" Target="https://en.wikipedia.org/wiki/File:Exterior_view_of_main_entrance,_Carlson_Center,_Fairbanks,_Alaska.jpg" TargetMode="External"/><Relationship Id="rId719" Type="http://schemas.openxmlformats.org/officeDocument/2006/relationships/hyperlink" Target="https://en.wikipedia.org/wiki/Texas" TargetMode="External"/><Relationship Id="rId718" Type="http://schemas.openxmlformats.org/officeDocument/2006/relationships/hyperlink" Target="https://en.wikipedia.org/wiki/Wichita_Falls,_Texas" TargetMode="External"/><Relationship Id="rId717" Type="http://schemas.openxmlformats.org/officeDocument/2006/relationships/hyperlink" Target="https://en.wikipedia.org/wiki/Kay_Yeager_Coliseum" TargetMode="External"/><Relationship Id="rId712" Type="http://schemas.openxmlformats.org/officeDocument/2006/relationships/hyperlink" Target="https://en.wikipedia.org/wiki/Toledo_Walleye" TargetMode="External"/><Relationship Id="rId711" Type="http://schemas.openxmlformats.org/officeDocument/2006/relationships/hyperlink" Target="https://en.wikipedia.org/wiki/Ohio" TargetMode="External"/><Relationship Id="rId710" Type="http://schemas.openxmlformats.org/officeDocument/2006/relationships/hyperlink" Target="https://en.wikipedia.org/wiki/Toledo,_Ohio" TargetMode="External"/><Relationship Id="rId716" Type="http://schemas.openxmlformats.org/officeDocument/2006/relationships/hyperlink" Target="https://en.wikipedia.org/wiki/File:Wichita_Falls_October_2015_09_(Kay_Yeager_Coliseum).jpg" TargetMode="External"/><Relationship Id="rId715" Type="http://schemas.openxmlformats.org/officeDocument/2006/relationships/hyperlink" Target="https://en.wikipedia.org/wiki/Florida" TargetMode="External"/><Relationship Id="rId714" Type="http://schemas.openxmlformats.org/officeDocument/2006/relationships/hyperlink" Target="https://en.wikipedia.org/wiki/Lake_Buena_Vista,_Florida" TargetMode="External"/><Relationship Id="rId713" Type="http://schemas.openxmlformats.org/officeDocument/2006/relationships/hyperlink" Target="https://en.wikipedia.org/wiki/Jostens_Center" TargetMode="External"/><Relationship Id="rId59" Type="http://schemas.openxmlformats.org/officeDocument/2006/relationships/hyperlink" Target="https://en.wikipedia.org/wiki/Kentucky_Wildcats_men%27s_basketball" TargetMode="External"/><Relationship Id="rId58" Type="http://schemas.openxmlformats.org/officeDocument/2006/relationships/hyperlink" Target="https://en.wikipedia.org/wiki/Kentucky" TargetMode="External"/><Relationship Id="rId1780" Type="http://schemas.openxmlformats.org/officeDocument/2006/relationships/hyperlink" Target="https://en.wikipedia.org/wiki/Washington,_D.C." TargetMode="External"/><Relationship Id="rId1781" Type="http://schemas.openxmlformats.org/officeDocument/2006/relationships/hyperlink" Target="https://en.wikipedia.org/wiki/Washington_Mystics" TargetMode="External"/><Relationship Id="rId1782" Type="http://schemas.openxmlformats.org/officeDocument/2006/relationships/hyperlink" Target="https://en.wikipedia.org/wiki/Washington%E2%80%93Baltimore_metropolitan_area" TargetMode="External"/><Relationship Id="rId1783" Type="http://schemas.openxmlformats.org/officeDocument/2006/relationships/hyperlink" Target="https://en.wikipedia.org/wiki/St._Joseph_Civic_Arena" TargetMode="External"/><Relationship Id="rId1300" Type="http://schemas.openxmlformats.org/officeDocument/2006/relationships/hyperlink" Target="https://en.wikipedia.org/wiki/Jamestown,_North_Dakota" TargetMode="External"/><Relationship Id="rId1784" Type="http://schemas.openxmlformats.org/officeDocument/2006/relationships/hyperlink" Target="https://en.wikipedia.org/wiki/St._Joseph,_Missouri" TargetMode="External"/><Relationship Id="rId349" Type="http://schemas.openxmlformats.org/officeDocument/2006/relationships/hyperlink" Target="https://en.wikipedia.org/wiki/Cow_Palace" TargetMode="External"/><Relationship Id="rId348" Type="http://schemas.openxmlformats.org/officeDocument/2006/relationships/hyperlink" Target="https://en.wikipedia.org/wiki/File:Cow_Palace_front_1.JPG" TargetMode="External"/><Relationship Id="rId347" Type="http://schemas.openxmlformats.org/officeDocument/2006/relationships/hyperlink" Target="https://en.wikipedia.org/wiki/Hartford_Wolf_Pack" TargetMode="External"/><Relationship Id="rId346" Type="http://schemas.openxmlformats.org/officeDocument/2006/relationships/hyperlink" Target="https://en.wikipedia.org/wiki/Connecticut" TargetMode="External"/><Relationship Id="rId341" Type="http://schemas.openxmlformats.org/officeDocument/2006/relationships/hyperlink" Target="https://en.wikipedia.org/wiki/Iowa" TargetMode="External"/><Relationship Id="rId340" Type="http://schemas.openxmlformats.org/officeDocument/2006/relationships/hyperlink" Target="https://en.wikipedia.org/wiki/Des_Moines,_Iowa" TargetMode="External"/><Relationship Id="rId345" Type="http://schemas.openxmlformats.org/officeDocument/2006/relationships/hyperlink" Target="https://en.wikipedia.org/wiki/Hartford,_Connecticut" TargetMode="External"/><Relationship Id="rId344" Type="http://schemas.openxmlformats.org/officeDocument/2006/relationships/hyperlink" Target="https://en.wikipedia.org/wiki/XL_Center" TargetMode="External"/><Relationship Id="rId343" Type="http://schemas.openxmlformats.org/officeDocument/2006/relationships/hyperlink" Target="https://en.wikipedia.org/wiki/File:Hartford_Civic_Center_(2988429730).jpg" TargetMode="External"/><Relationship Id="rId342" Type="http://schemas.openxmlformats.org/officeDocument/2006/relationships/hyperlink" Target="https://en.wikipedia.org/wiki/Iowa_Wild" TargetMode="External"/><Relationship Id="rId338" Type="http://schemas.openxmlformats.org/officeDocument/2006/relationships/hyperlink" Target="https://en.wikipedia.org/wiki/File:Wellsfargoarena.jpg" TargetMode="External"/><Relationship Id="rId337" Type="http://schemas.openxmlformats.org/officeDocument/2006/relationships/hyperlink" Target="https://en.wikipedia.org/wiki/Wichita_Thunder" TargetMode="External"/><Relationship Id="rId336" Type="http://schemas.openxmlformats.org/officeDocument/2006/relationships/hyperlink" Target="https://en.wikipedia.org/wiki/Kansas" TargetMode="External"/><Relationship Id="rId335" Type="http://schemas.openxmlformats.org/officeDocument/2006/relationships/hyperlink" Target="https://en.wikipedia.org/wiki/Wichita,_Kansas" TargetMode="External"/><Relationship Id="rId339" Type="http://schemas.openxmlformats.org/officeDocument/2006/relationships/hyperlink" Target="https://en.wikipedia.org/wiki/Wells_Fargo_Arena_(Des_Moines,_Iowa)" TargetMode="External"/><Relationship Id="rId330" Type="http://schemas.openxmlformats.org/officeDocument/2006/relationships/hyperlink" Target="https://en.wikipedia.org/wiki/MGM_Grand_Garden_Arena" TargetMode="External"/><Relationship Id="rId334" Type="http://schemas.openxmlformats.org/officeDocument/2006/relationships/hyperlink" Target="https://en.wikipedia.org/wiki/Intrust_Bank_Arena" TargetMode="External"/><Relationship Id="rId333" Type="http://schemas.openxmlformats.org/officeDocument/2006/relationships/hyperlink" Target="https://en.wikipedia.org/wiki/File:InTrust_Bank_Arena.jpg" TargetMode="External"/><Relationship Id="rId332" Type="http://schemas.openxmlformats.org/officeDocument/2006/relationships/hyperlink" Target="https://en.wikipedia.org/wiki/Nevada" TargetMode="External"/><Relationship Id="rId331" Type="http://schemas.openxmlformats.org/officeDocument/2006/relationships/hyperlink" Target="https://en.wikipedia.org/wiki/Paradise,_Nevada" TargetMode="External"/><Relationship Id="rId370" Type="http://schemas.openxmlformats.org/officeDocument/2006/relationships/hyperlink" Target="https://en.wikipedia.org/wiki/Greenville,_South_Carolina" TargetMode="External"/><Relationship Id="rId369" Type="http://schemas.openxmlformats.org/officeDocument/2006/relationships/hyperlink" Target="https://en.wikipedia.org/wiki/Bon_Secours_Wellness_Arena" TargetMode="External"/><Relationship Id="rId368" Type="http://schemas.openxmlformats.org/officeDocument/2006/relationships/hyperlink" Target="https://en.wikipedia.org/wiki/File:BonSecoursArenaGRN.jpg" TargetMode="External"/><Relationship Id="rId363" Type="http://schemas.openxmlformats.org/officeDocument/2006/relationships/hyperlink" Target="https://en.wikipedia.org/wiki/File:San_Diego_Sports_Arena.jpg" TargetMode="External"/><Relationship Id="rId362" Type="http://schemas.openxmlformats.org/officeDocument/2006/relationships/hyperlink" Target="https://en.wikipedia.org/wiki/Nebraska_Cornhuskers" TargetMode="External"/><Relationship Id="rId361" Type="http://schemas.openxmlformats.org/officeDocument/2006/relationships/hyperlink" Target="https://en.wikipedia.org/wiki/Nebraska" TargetMode="External"/><Relationship Id="rId360" Type="http://schemas.openxmlformats.org/officeDocument/2006/relationships/hyperlink" Target="https://en.wikipedia.org/wiki/Lincoln,_Nebraska" TargetMode="External"/><Relationship Id="rId367" Type="http://schemas.openxmlformats.org/officeDocument/2006/relationships/hyperlink" Target="https://en.wikipedia.org/wiki/San_Diego_Gulls" TargetMode="External"/><Relationship Id="rId366" Type="http://schemas.openxmlformats.org/officeDocument/2006/relationships/hyperlink" Target="https://en.wikipedia.org/wiki/California" TargetMode="External"/><Relationship Id="rId365" Type="http://schemas.openxmlformats.org/officeDocument/2006/relationships/hyperlink" Target="https://en.wikipedia.org/wiki/San_Diego" TargetMode="External"/><Relationship Id="rId364" Type="http://schemas.openxmlformats.org/officeDocument/2006/relationships/hyperlink" Target="https://en.wikipedia.org/wiki/Pechanga_Arena" TargetMode="External"/><Relationship Id="rId95" Type="http://schemas.openxmlformats.org/officeDocument/2006/relationships/hyperlink" Target="https://en.wikipedia.org/wiki/New_York_City" TargetMode="External"/><Relationship Id="rId94" Type="http://schemas.openxmlformats.org/officeDocument/2006/relationships/hyperlink" Target="https://en.wikipedia.org/wiki/Madison_Square_Garden" TargetMode="External"/><Relationship Id="rId97" Type="http://schemas.openxmlformats.org/officeDocument/2006/relationships/hyperlink" Target="https://en.wikipedia.org/wiki/New_York_Knicks" TargetMode="External"/><Relationship Id="rId96" Type="http://schemas.openxmlformats.org/officeDocument/2006/relationships/hyperlink" Target="https://en.wikipedia.org/wiki/New_York_(state)" TargetMode="External"/><Relationship Id="rId99" Type="http://schemas.openxmlformats.org/officeDocument/2006/relationships/hyperlink" Target="https://en.wikipedia.org/wiki/File:Target_Center.jpg" TargetMode="External"/><Relationship Id="rId98" Type="http://schemas.openxmlformats.org/officeDocument/2006/relationships/hyperlink" Target="https://en.wikipedia.org/wiki/New_York_metropolitan_area" TargetMode="External"/><Relationship Id="rId91" Type="http://schemas.openxmlformats.org/officeDocument/2006/relationships/hyperlink" Target="https://en.wikipedia.org/wiki/Washington_Capitals" TargetMode="External"/><Relationship Id="rId90" Type="http://schemas.openxmlformats.org/officeDocument/2006/relationships/hyperlink" Target="https://en.wikipedia.org/wiki/Washington,_D.C." TargetMode="External"/><Relationship Id="rId93" Type="http://schemas.openxmlformats.org/officeDocument/2006/relationships/hyperlink" Target="https://en.wikipedia.org/wiki/File:Madison_Square_Garden,_February_2013.jpg" TargetMode="External"/><Relationship Id="rId92" Type="http://schemas.openxmlformats.org/officeDocument/2006/relationships/hyperlink" Target="https://en.wikipedia.org/wiki/Washington%E2%80%93Baltimore_metropolitan_area" TargetMode="External"/><Relationship Id="rId359" Type="http://schemas.openxmlformats.org/officeDocument/2006/relationships/hyperlink" Target="https://en.wikipedia.org/wiki/Pinnacle_Bank_Arena" TargetMode="External"/><Relationship Id="rId358" Type="http://schemas.openxmlformats.org/officeDocument/2006/relationships/hyperlink" Target="https://en.wikipedia.org/wiki/File:Pinnacle_Bank_Arena,_2_Sep_2013,_21_of_27.jpg" TargetMode="External"/><Relationship Id="rId357" Type="http://schemas.openxmlformats.org/officeDocument/2006/relationships/hyperlink" Target="https://en.wikipedia.org/wiki/Jacksonville_Icemen" TargetMode="External"/><Relationship Id="rId352" Type="http://schemas.openxmlformats.org/officeDocument/2006/relationships/hyperlink" Target="https://en.wikipedia.org/wiki/Bay_Area" TargetMode="External"/><Relationship Id="rId351" Type="http://schemas.openxmlformats.org/officeDocument/2006/relationships/hyperlink" Target="https://en.wikipedia.org/wiki/California" TargetMode="External"/><Relationship Id="rId350" Type="http://schemas.openxmlformats.org/officeDocument/2006/relationships/hyperlink" Target="https://en.wikipedia.org/wiki/Daly_City,_California" TargetMode="External"/><Relationship Id="rId356" Type="http://schemas.openxmlformats.org/officeDocument/2006/relationships/hyperlink" Target="https://en.wikipedia.org/wiki/Florida" TargetMode="External"/><Relationship Id="rId355" Type="http://schemas.openxmlformats.org/officeDocument/2006/relationships/hyperlink" Target="https://en.wikipedia.org/wiki/Jacksonville,_Florida" TargetMode="External"/><Relationship Id="rId354" Type="http://schemas.openxmlformats.org/officeDocument/2006/relationships/hyperlink" Target="https://en.wikipedia.org/wiki/VyStar_Veterans_Memorial_Arena" TargetMode="External"/><Relationship Id="rId353" Type="http://schemas.openxmlformats.org/officeDocument/2006/relationships/hyperlink" Target="https://en.wikipedia.org/wiki/File:Jacksonville_Veterans_Memorial_Arena.JPG" TargetMode="External"/><Relationship Id="rId1378" Type="http://schemas.openxmlformats.org/officeDocument/2006/relationships/hyperlink" Target="https://en.wikipedia.org/wiki/Oklahoma" TargetMode="External"/><Relationship Id="rId2225" Type="http://schemas.openxmlformats.org/officeDocument/2006/relationships/hyperlink" Target="https://en.wikipedia.org/wiki/Teaneck_Armory" TargetMode="External"/><Relationship Id="rId1379" Type="http://schemas.openxmlformats.org/officeDocument/2006/relationships/hyperlink" Target="https://en.wikipedia.org/wiki/Tulsa_Revolution" TargetMode="External"/><Relationship Id="rId2226" Type="http://schemas.openxmlformats.org/officeDocument/2006/relationships/hyperlink" Target="https://en.wikipedia.org/wiki/War_Memorial_Gymnasium" TargetMode="External"/><Relationship Id="rId2227" Type="http://schemas.openxmlformats.org/officeDocument/2006/relationships/hyperlink" Target="https://en.wikipedia.org/wiki/Washington_Coliseum" TargetMode="External"/><Relationship Id="rId2228" Type="http://schemas.openxmlformats.org/officeDocument/2006/relationships/hyperlink" Target="https://en.wikipedia.org/w/index.php?title=List_of_indoor_arenas_in_the_United_States&amp;action=edit&amp;section=4" TargetMode="External"/><Relationship Id="rId2229" Type="http://schemas.openxmlformats.org/officeDocument/2006/relationships/hyperlink" Target="https://en.wikipedia.org/wiki/List_of_NCAA_Division_I_basketball_arenas" TargetMode="External"/><Relationship Id="rId305" Type="http://schemas.openxmlformats.org/officeDocument/2006/relationships/hyperlink" Target="https://en.wikipedia.org/wiki/File:Forum_Inglewood.JPG" TargetMode="External"/><Relationship Id="rId789" Type="http://schemas.openxmlformats.org/officeDocument/2006/relationships/hyperlink" Target="https://en.wikipedia.org/wiki/Nashville,_Tennessee" TargetMode="External"/><Relationship Id="rId304" Type="http://schemas.openxmlformats.org/officeDocument/2006/relationships/hyperlink" Target="https://en.wikipedia.org/wiki/Greater_New_Orleans" TargetMode="External"/><Relationship Id="rId788" Type="http://schemas.openxmlformats.org/officeDocument/2006/relationships/hyperlink" Target="https://en.wikipedia.org/wiki/Nashville_Municipal_Auditorium" TargetMode="External"/><Relationship Id="rId303" Type="http://schemas.openxmlformats.org/officeDocument/2006/relationships/hyperlink" Target="https://en.wikipedia.org/wiki/New_Orleans_Pelicans" TargetMode="External"/><Relationship Id="rId787" Type="http://schemas.openxmlformats.org/officeDocument/2006/relationships/hyperlink" Target="https://en.wikipedia.org/wiki/File:NashvilleMunicipalAuditorium.jpg" TargetMode="External"/><Relationship Id="rId302" Type="http://schemas.openxmlformats.org/officeDocument/2006/relationships/hyperlink" Target="https://en.wikipedia.org/wiki/Louisiana" TargetMode="External"/><Relationship Id="rId786" Type="http://schemas.openxmlformats.org/officeDocument/2006/relationships/hyperlink" Target="https://en.wikipedia.org/wiki/Sioux_City_Musketeers" TargetMode="External"/><Relationship Id="rId309" Type="http://schemas.openxmlformats.org/officeDocument/2006/relationships/hyperlink" Target="https://en.wikipedia.org/wiki/Greater_Los_Angeles" TargetMode="External"/><Relationship Id="rId308" Type="http://schemas.openxmlformats.org/officeDocument/2006/relationships/hyperlink" Target="https://en.wikipedia.org/wiki/California" TargetMode="External"/><Relationship Id="rId307" Type="http://schemas.openxmlformats.org/officeDocument/2006/relationships/hyperlink" Target="https://en.wikipedia.org/wiki/Inglewood,_California" TargetMode="External"/><Relationship Id="rId306" Type="http://schemas.openxmlformats.org/officeDocument/2006/relationships/hyperlink" Target="https://en.wikipedia.org/wiki/The_Forum_(Inglewood,_California)" TargetMode="External"/><Relationship Id="rId781" Type="http://schemas.openxmlformats.org/officeDocument/2006/relationships/hyperlink" Target="https://en.wikipedia.org/wiki/Texas" TargetMode="External"/><Relationship Id="rId1370" Type="http://schemas.openxmlformats.org/officeDocument/2006/relationships/hyperlink" Target="https://en.wikipedia.org/wiki/Muskegon,_Michigan" TargetMode="External"/><Relationship Id="rId780" Type="http://schemas.openxmlformats.org/officeDocument/2006/relationships/hyperlink" Target="https://en.wikipedia.org/wiki/San_Antonio" TargetMode="External"/><Relationship Id="rId1371" Type="http://schemas.openxmlformats.org/officeDocument/2006/relationships/hyperlink" Target="https://en.wikipedia.org/wiki/Michigan" TargetMode="External"/><Relationship Id="rId1372" Type="http://schemas.openxmlformats.org/officeDocument/2006/relationships/hyperlink" Target="https://en.wikipedia.org/wiki/Muskegon_Lumberjacks" TargetMode="External"/><Relationship Id="rId1373" Type="http://schemas.openxmlformats.org/officeDocument/2006/relationships/hyperlink" Target="https://en.wikipedia.org/w/index.php?title=Legacy_Event_Center&amp;action=edit&amp;redlink=1" TargetMode="External"/><Relationship Id="rId2220" Type="http://schemas.openxmlformats.org/officeDocument/2006/relationships/hyperlink" Target="https://en.wikipedia.org/wiki/St._Paul_Civic_Center" TargetMode="External"/><Relationship Id="rId301" Type="http://schemas.openxmlformats.org/officeDocument/2006/relationships/hyperlink" Target="https://en.wikipedia.org/wiki/New_Orleans" TargetMode="External"/><Relationship Id="rId785" Type="http://schemas.openxmlformats.org/officeDocument/2006/relationships/hyperlink" Target="https://en.wikipedia.org/wiki/Iowa" TargetMode="External"/><Relationship Id="rId1374" Type="http://schemas.openxmlformats.org/officeDocument/2006/relationships/hyperlink" Target="https://en.wikipedia.org/wiki/Farmington,_Utah" TargetMode="External"/><Relationship Id="rId2221" Type="http://schemas.openxmlformats.org/officeDocument/2006/relationships/hyperlink" Target="https://en.wikipedia.org/wiki/Salt_Palace" TargetMode="External"/><Relationship Id="rId300" Type="http://schemas.openxmlformats.org/officeDocument/2006/relationships/hyperlink" Target="https://en.wikipedia.org/wiki/Smoothie_King_Center" TargetMode="External"/><Relationship Id="rId784" Type="http://schemas.openxmlformats.org/officeDocument/2006/relationships/hyperlink" Target="https://en.wikipedia.org/wiki/Sioux_City,_Iowa" TargetMode="External"/><Relationship Id="rId1375" Type="http://schemas.openxmlformats.org/officeDocument/2006/relationships/hyperlink" Target="https://en.wikipedia.org/wiki/Utah" TargetMode="External"/><Relationship Id="rId2222" Type="http://schemas.openxmlformats.org/officeDocument/2006/relationships/hyperlink" Target="https://en.wikipedia.org/wiki/Sam_Houston_Coliseum" TargetMode="External"/><Relationship Id="rId783" Type="http://schemas.openxmlformats.org/officeDocument/2006/relationships/hyperlink" Target="https://en.wikipedia.org/wiki/Tyson_Events_Center" TargetMode="External"/><Relationship Id="rId1376" Type="http://schemas.openxmlformats.org/officeDocument/2006/relationships/hyperlink" Target="https://en.wikipedia.org/wiki/Expo_Square_Pavilion" TargetMode="External"/><Relationship Id="rId2223" Type="http://schemas.openxmlformats.org/officeDocument/2006/relationships/hyperlink" Target="https://en.wikipedia.org/wiki/Sleep_Train_Arena" TargetMode="External"/><Relationship Id="rId782" Type="http://schemas.openxmlformats.org/officeDocument/2006/relationships/hyperlink" Target="https://en.wikipedia.org/wiki/File:Sioux_City_Events_Center_from_SW_3.jpg" TargetMode="External"/><Relationship Id="rId1377" Type="http://schemas.openxmlformats.org/officeDocument/2006/relationships/hyperlink" Target="https://en.wikipedia.org/wiki/Tulsa,_Oklahoma" TargetMode="External"/><Relationship Id="rId2224" Type="http://schemas.openxmlformats.org/officeDocument/2006/relationships/hyperlink" Target="https://en.wikipedia.org/wiki/Spectrum_(arena)" TargetMode="External"/><Relationship Id="rId1367" Type="http://schemas.openxmlformats.org/officeDocument/2006/relationships/hyperlink" Target="https://en.wikipedia.org/wiki/Essex_Junction,_Vermont" TargetMode="External"/><Relationship Id="rId2214" Type="http://schemas.openxmlformats.org/officeDocument/2006/relationships/hyperlink" Target="https://en.wikipedia.org/wiki/Philadelphia_Arena" TargetMode="External"/><Relationship Id="rId1368" Type="http://schemas.openxmlformats.org/officeDocument/2006/relationships/hyperlink" Target="https://en.wikipedia.org/wiki/Vermont" TargetMode="External"/><Relationship Id="rId2215" Type="http://schemas.openxmlformats.org/officeDocument/2006/relationships/hyperlink" Target="https://en.wikipedia.org/wiki/Philadelphia_Civic_Center" TargetMode="External"/><Relationship Id="rId1369" Type="http://schemas.openxmlformats.org/officeDocument/2006/relationships/hyperlink" Target="https://en.wikipedia.org/wiki/Mercy_Health_Arena" TargetMode="External"/><Relationship Id="rId2216" Type="http://schemas.openxmlformats.org/officeDocument/2006/relationships/hyperlink" Target="https://en.wikipedia.org/wiki/Philadelphia_Convention_Hall" TargetMode="External"/><Relationship Id="rId2217" Type="http://schemas.openxmlformats.org/officeDocument/2006/relationships/hyperlink" Target="https://en.wikipedia.org/wiki/Pyramid_Arena" TargetMode="External"/><Relationship Id="rId2218" Type="http://schemas.openxmlformats.org/officeDocument/2006/relationships/hyperlink" Target="https://en.wikipedia.org/wiki/San_Francisco_Civic_Auditorium" TargetMode="External"/><Relationship Id="rId2219" Type="http://schemas.openxmlformats.org/officeDocument/2006/relationships/hyperlink" Target="https://en.wikipedia.org/wiki/St._Louis_Arena" TargetMode="External"/><Relationship Id="rId778" Type="http://schemas.openxmlformats.org/officeDocument/2006/relationships/hyperlink" Target="https://en.wikipedia.org/wiki/File:Freeman_coliseum.jpg" TargetMode="External"/><Relationship Id="rId777" Type="http://schemas.openxmlformats.org/officeDocument/2006/relationships/hyperlink" Target="https://en.wikipedia.org/wiki/Wyoming" TargetMode="External"/><Relationship Id="rId776" Type="http://schemas.openxmlformats.org/officeDocument/2006/relationships/hyperlink" Target="https://en.wikipedia.org/wiki/Casper,_Wyoming" TargetMode="External"/><Relationship Id="rId775" Type="http://schemas.openxmlformats.org/officeDocument/2006/relationships/hyperlink" Target="https://en.wikipedia.org/wiki/Ford_Wyoming_Center" TargetMode="External"/><Relationship Id="rId779" Type="http://schemas.openxmlformats.org/officeDocument/2006/relationships/hyperlink" Target="https://en.wikipedia.org/wiki/Freeman_Coliseum" TargetMode="External"/><Relationship Id="rId770" Type="http://schemas.openxmlformats.org/officeDocument/2006/relationships/hyperlink" Target="https://en.wikipedia.org/wiki/Madison_Capitols" TargetMode="External"/><Relationship Id="rId1360" Type="http://schemas.openxmlformats.org/officeDocument/2006/relationships/hyperlink" Target="https://en.wikipedia.org/wiki/Duluth" TargetMode="External"/><Relationship Id="rId1361" Type="http://schemas.openxmlformats.org/officeDocument/2006/relationships/hyperlink" Target="https://en.wikipedia.org/wiki/Minnesota" TargetMode="External"/><Relationship Id="rId1362" Type="http://schemas.openxmlformats.org/officeDocument/2006/relationships/hyperlink" Target="https://en.wikipedia.org/wiki/Halenbeck_Hall" TargetMode="External"/><Relationship Id="rId774" Type="http://schemas.openxmlformats.org/officeDocument/2006/relationships/hyperlink" Target="https://en.wikipedia.org/wiki/Texas" TargetMode="External"/><Relationship Id="rId1363" Type="http://schemas.openxmlformats.org/officeDocument/2006/relationships/hyperlink" Target="https://en.wikipedia.org/wiki/St._Cloud,_Minnesota" TargetMode="External"/><Relationship Id="rId2210" Type="http://schemas.openxmlformats.org/officeDocument/2006/relationships/hyperlink" Target="https://en.wikipedia.org/wiki/New_Haven_Veterans_Memorial_Coliseum" TargetMode="External"/><Relationship Id="rId773" Type="http://schemas.openxmlformats.org/officeDocument/2006/relationships/hyperlink" Target="https://en.wikipedia.org/wiki/Beaumont,_Texas" TargetMode="External"/><Relationship Id="rId1364" Type="http://schemas.openxmlformats.org/officeDocument/2006/relationships/hyperlink" Target="https://en.wikipedia.org/wiki/Minnesota" TargetMode="External"/><Relationship Id="rId2211" Type="http://schemas.openxmlformats.org/officeDocument/2006/relationships/hyperlink" Target="https://en.wikipedia.org/wiki/Detroit_Olympia" TargetMode="External"/><Relationship Id="rId772" Type="http://schemas.openxmlformats.org/officeDocument/2006/relationships/hyperlink" Target="https://en.wikipedia.org/wiki/Ford_Arena" TargetMode="External"/><Relationship Id="rId1365" Type="http://schemas.openxmlformats.org/officeDocument/2006/relationships/hyperlink" Target="https://en.wikipedia.org/wiki/St._Cloud_State_Huskies" TargetMode="External"/><Relationship Id="rId2212" Type="http://schemas.openxmlformats.org/officeDocument/2006/relationships/hyperlink" Target="https://en.wikipedia.org/wiki/Omni_Coliseum" TargetMode="External"/><Relationship Id="rId771" Type="http://schemas.openxmlformats.org/officeDocument/2006/relationships/hyperlink" Target="https://en.wikipedia.org/wiki/File:Ford_Arena_Beaumont_Texas_June_2014.jpg" TargetMode="External"/><Relationship Id="rId1366" Type="http://schemas.openxmlformats.org/officeDocument/2006/relationships/hyperlink" Target="https://en.wikipedia.org/w/index.php?title=Champlain_Valley_Expo&amp;action=edit&amp;redlink=1" TargetMode="External"/><Relationship Id="rId2213" Type="http://schemas.openxmlformats.org/officeDocument/2006/relationships/hyperlink" Target="https://en.wikipedia.org/wiki/The_Palace_of_Auburn_Hills" TargetMode="External"/><Relationship Id="rId327" Type="http://schemas.openxmlformats.org/officeDocument/2006/relationships/hyperlink" Target="https://en.wikipedia.org/wiki/Albany,_New_York" TargetMode="External"/><Relationship Id="rId326" Type="http://schemas.openxmlformats.org/officeDocument/2006/relationships/hyperlink" Target="https://en.wikipedia.org/wiki/MVP_Arena" TargetMode="External"/><Relationship Id="rId325" Type="http://schemas.openxmlformats.org/officeDocument/2006/relationships/hyperlink" Target="https://en.wikipedia.org/wiki/File:Times_Union_Center_2011.jpg" TargetMode="External"/><Relationship Id="rId324" Type="http://schemas.openxmlformats.org/officeDocument/2006/relationships/hyperlink" Target="https://en.wikipedia.org/wiki/Cincinnati_Cyclones" TargetMode="External"/><Relationship Id="rId329" Type="http://schemas.openxmlformats.org/officeDocument/2006/relationships/hyperlink" Target="https://en.wikipedia.org/wiki/Siena_Saints" TargetMode="External"/><Relationship Id="rId1390" Type="http://schemas.openxmlformats.org/officeDocument/2006/relationships/hyperlink" Target="https://en.wikipedia.org/wiki/Springfield,_Missouri" TargetMode="External"/><Relationship Id="rId328" Type="http://schemas.openxmlformats.org/officeDocument/2006/relationships/hyperlink" Target="https://en.wikipedia.org/wiki/New_York_(state)" TargetMode="External"/><Relationship Id="rId1391" Type="http://schemas.openxmlformats.org/officeDocument/2006/relationships/hyperlink" Target="https://en.wikipedia.org/wiki/Missouri" TargetMode="External"/><Relationship Id="rId1392" Type="http://schemas.openxmlformats.org/officeDocument/2006/relationships/hyperlink" Target="https://en.wikipedia.org/wiki/Ozarks_Lunkers" TargetMode="External"/><Relationship Id="rId1393" Type="http://schemas.openxmlformats.org/officeDocument/2006/relationships/hyperlink" Target="https://en.wikipedia.org/w/index.php?title=Reno-Sparks_Livestock_Events_Center&amp;action=edit&amp;redlink=1" TargetMode="External"/><Relationship Id="rId1394" Type="http://schemas.openxmlformats.org/officeDocument/2006/relationships/hyperlink" Target="https://en.wikipedia.org/wiki/Reno,_Nevada" TargetMode="External"/><Relationship Id="rId1395" Type="http://schemas.openxmlformats.org/officeDocument/2006/relationships/hyperlink" Target="https://en.wikipedia.org/wiki/Nevada" TargetMode="External"/><Relationship Id="rId323" Type="http://schemas.openxmlformats.org/officeDocument/2006/relationships/hyperlink" Target="https://en.wikipedia.org/wiki/Ohio" TargetMode="External"/><Relationship Id="rId1396" Type="http://schemas.openxmlformats.org/officeDocument/2006/relationships/hyperlink" Target="https://en.wikipedia.org/wiki/File:Bank_of_the_Ozarks_Arena.jpg" TargetMode="External"/><Relationship Id="rId322" Type="http://schemas.openxmlformats.org/officeDocument/2006/relationships/hyperlink" Target="https://en.wikipedia.org/wiki/Cincinnati" TargetMode="External"/><Relationship Id="rId1397" Type="http://schemas.openxmlformats.org/officeDocument/2006/relationships/hyperlink" Target="https://en.wikipedia.org/wiki/Bank_OZK_Arena" TargetMode="External"/><Relationship Id="rId321" Type="http://schemas.openxmlformats.org/officeDocument/2006/relationships/hyperlink" Target="https://en.wikipedia.org/wiki/Heritage_Bank_Center" TargetMode="External"/><Relationship Id="rId1398" Type="http://schemas.openxmlformats.org/officeDocument/2006/relationships/hyperlink" Target="https://en.wikipedia.org/wiki/Hot_Springs,_Arkansas" TargetMode="External"/><Relationship Id="rId320" Type="http://schemas.openxmlformats.org/officeDocument/2006/relationships/hyperlink" Target="https://en.wikipedia.org/wiki/File:Cincinnati-us-bank-arena.jpg" TargetMode="External"/><Relationship Id="rId1399" Type="http://schemas.openxmlformats.org/officeDocument/2006/relationships/hyperlink" Target="https://en.wikipedia.org/wiki/Arkansas" TargetMode="External"/><Relationship Id="rId1389" Type="http://schemas.openxmlformats.org/officeDocument/2006/relationships/hyperlink" Target="https://en.wikipedia.org/wiki/Wilson_Logistics_Arena" TargetMode="External"/><Relationship Id="rId316" Type="http://schemas.openxmlformats.org/officeDocument/2006/relationships/hyperlink" Target="https://en.wikipedia.org/wiki/Inglewood,_California" TargetMode="External"/><Relationship Id="rId315" Type="http://schemas.openxmlformats.org/officeDocument/2006/relationships/hyperlink" Target="https://en.wikipedia.org/wiki/Intuit_Dome" TargetMode="External"/><Relationship Id="rId799" Type="http://schemas.openxmlformats.org/officeDocument/2006/relationships/hyperlink" Target="https://en.wikipedia.org/wiki/Fair_Park_Coliseum_(Dallas)" TargetMode="External"/><Relationship Id="rId314" Type="http://schemas.openxmlformats.org/officeDocument/2006/relationships/hyperlink" Target="https://en.wikipedia.org/wiki/Milwaukee_Bucks" TargetMode="External"/><Relationship Id="rId798" Type="http://schemas.openxmlformats.org/officeDocument/2006/relationships/hyperlink" Target="https://en.wikipedia.org/wiki/File:FairParkColiseumEXTERIOR.JPG" TargetMode="External"/><Relationship Id="rId313" Type="http://schemas.openxmlformats.org/officeDocument/2006/relationships/hyperlink" Target="https://en.wikipedia.org/wiki/Wisconsin" TargetMode="External"/><Relationship Id="rId797" Type="http://schemas.openxmlformats.org/officeDocument/2006/relationships/hyperlink" Target="https://en.wikipedia.org/wiki/Georgia_(U.S._state)" TargetMode="External"/><Relationship Id="rId319" Type="http://schemas.openxmlformats.org/officeDocument/2006/relationships/hyperlink" Target="https://en.wikipedia.org/wiki/Greater_Los_Angeles" TargetMode="External"/><Relationship Id="rId318" Type="http://schemas.openxmlformats.org/officeDocument/2006/relationships/hyperlink" Target="https://en.wikipedia.org/wiki/Los_Angeles_Clippers" TargetMode="External"/><Relationship Id="rId317" Type="http://schemas.openxmlformats.org/officeDocument/2006/relationships/hyperlink" Target="https://en.wikipedia.org/wiki/California" TargetMode="External"/><Relationship Id="rId1380" Type="http://schemas.openxmlformats.org/officeDocument/2006/relationships/hyperlink" Target="https://en.wikipedia.org/wiki/File:ChevyCentre.jpg" TargetMode="External"/><Relationship Id="rId792" Type="http://schemas.openxmlformats.org/officeDocument/2006/relationships/hyperlink" Target="https://en.wikipedia.org/wiki/Sames_Auto_Arena" TargetMode="External"/><Relationship Id="rId1381" Type="http://schemas.openxmlformats.org/officeDocument/2006/relationships/hyperlink" Target="https://en.wikipedia.org/wiki/Covelli_Centre" TargetMode="External"/><Relationship Id="rId791" Type="http://schemas.openxmlformats.org/officeDocument/2006/relationships/hyperlink" Target="https://en.wikipedia.org/wiki/File:Laredo_Entertainment_Center,_Laredo,_TX_IMG_2019.JPG" TargetMode="External"/><Relationship Id="rId1382" Type="http://schemas.openxmlformats.org/officeDocument/2006/relationships/hyperlink" Target="https://en.wikipedia.org/wiki/Youngstown,_Ohio" TargetMode="External"/><Relationship Id="rId790" Type="http://schemas.openxmlformats.org/officeDocument/2006/relationships/hyperlink" Target="https://en.wikipedia.org/wiki/Tennessee" TargetMode="External"/><Relationship Id="rId1383" Type="http://schemas.openxmlformats.org/officeDocument/2006/relationships/hyperlink" Target="https://en.wikipedia.org/wiki/Ohio" TargetMode="External"/><Relationship Id="rId2230" Type="http://schemas.openxmlformats.org/officeDocument/2006/relationships/hyperlink" Target="https://en.wikipedia.org/wiki/List_of_NCAA_Division_I_ice_hockey_arenas" TargetMode="External"/><Relationship Id="rId1384" Type="http://schemas.openxmlformats.org/officeDocument/2006/relationships/hyperlink" Target="https://en.wikipedia.org/wiki/Youngstown_Phantoms" TargetMode="External"/><Relationship Id="rId2231" Type="http://schemas.openxmlformats.org/officeDocument/2006/relationships/drawing" Target="../drawings/drawing3.xml"/><Relationship Id="rId312" Type="http://schemas.openxmlformats.org/officeDocument/2006/relationships/hyperlink" Target="https://en.wikipedia.org/wiki/Milwaukee" TargetMode="External"/><Relationship Id="rId796" Type="http://schemas.openxmlformats.org/officeDocument/2006/relationships/hyperlink" Target="https://en.wikipedia.org/wiki/Savannah,_Georgia" TargetMode="External"/><Relationship Id="rId1385" Type="http://schemas.openxmlformats.org/officeDocument/2006/relationships/hyperlink" Target="https://en.wikipedia.org/wiki/Wings_Event_Center" TargetMode="External"/><Relationship Id="rId311" Type="http://schemas.openxmlformats.org/officeDocument/2006/relationships/hyperlink" Target="https://en.wikipedia.org/wiki/Fiserv_Forum" TargetMode="External"/><Relationship Id="rId795" Type="http://schemas.openxmlformats.org/officeDocument/2006/relationships/hyperlink" Target="https://en.wikipedia.org/wiki/Savannah_Civic_Center" TargetMode="External"/><Relationship Id="rId1386" Type="http://schemas.openxmlformats.org/officeDocument/2006/relationships/hyperlink" Target="https://en.wikipedia.org/wiki/Kalamazoo,_Michigan" TargetMode="External"/><Relationship Id="rId310" Type="http://schemas.openxmlformats.org/officeDocument/2006/relationships/hyperlink" Target="https://en.wikipedia.org/wiki/File:Wisconsin_Entertainment_and_Sports_Center_-_Northeast_view.jpg" TargetMode="External"/><Relationship Id="rId794" Type="http://schemas.openxmlformats.org/officeDocument/2006/relationships/hyperlink" Target="https://en.wikipedia.org/wiki/Texas" TargetMode="External"/><Relationship Id="rId1387" Type="http://schemas.openxmlformats.org/officeDocument/2006/relationships/hyperlink" Target="https://en.wikipedia.org/wiki/Michigan" TargetMode="External"/><Relationship Id="rId793" Type="http://schemas.openxmlformats.org/officeDocument/2006/relationships/hyperlink" Target="https://en.wikipedia.org/wiki/Laredo,_Texas" TargetMode="External"/><Relationship Id="rId1388" Type="http://schemas.openxmlformats.org/officeDocument/2006/relationships/hyperlink" Target="https://en.wikipedia.org/wiki/Kalamazoo_Wings" TargetMode="External"/><Relationship Id="rId297" Type="http://schemas.openxmlformats.org/officeDocument/2006/relationships/hyperlink" Target="https://en.wikipedia.org/wiki/Chicago_Wolves" TargetMode="External"/><Relationship Id="rId296" Type="http://schemas.openxmlformats.org/officeDocument/2006/relationships/hyperlink" Target="https://en.wikipedia.org/wiki/Illinois" TargetMode="External"/><Relationship Id="rId295" Type="http://schemas.openxmlformats.org/officeDocument/2006/relationships/hyperlink" Target="https://en.wikipedia.org/wiki/Rosemont,_Illinois" TargetMode="External"/><Relationship Id="rId294" Type="http://schemas.openxmlformats.org/officeDocument/2006/relationships/hyperlink" Target="https://en.wikipedia.org/wiki/Allstate_Arena" TargetMode="External"/><Relationship Id="rId299" Type="http://schemas.openxmlformats.org/officeDocument/2006/relationships/hyperlink" Target="https://en.wikipedia.org/wiki/File:New_Orleans_Arena,_exterior_view,_10_January_2022_(cropped).jpg" TargetMode="External"/><Relationship Id="rId298" Type="http://schemas.openxmlformats.org/officeDocument/2006/relationships/hyperlink" Target="https://en.wikipedia.org/wiki/Chicagoland" TargetMode="External"/><Relationship Id="rId271" Type="http://schemas.openxmlformats.org/officeDocument/2006/relationships/hyperlink" Target="https://en.wikipedia.org/wiki/Sacramento_Kings" TargetMode="External"/><Relationship Id="rId270" Type="http://schemas.openxmlformats.org/officeDocument/2006/relationships/hyperlink" Target="https://en.wikipedia.org/wiki/California" TargetMode="External"/><Relationship Id="rId269" Type="http://schemas.openxmlformats.org/officeDocument/2006/relationships/hyperlink" Target="https://en.wikipedia.org/wiki/Sacramento,_California" TargetMode="External"/><Relationship Id="rId264" Type="http://schemas.openxmlformats.org/officeDocument/2006/relationships/hyperlink" Target="https://en.wikipedia.org/wiki/Simmons_Bank_Arena" TargetMode="External"/><Relationship Id="rId263" Type="http://schemas.openxmlformats.org/officeDocument/2006/relationships/hyperlink" Target="https://en.wikipedia.org/wiki/File:AlltelArenaFromLittleRock.jpg" TargetMode="External"/><Relationship Id="rId262" Type="http://schemas.openxmlformats.org/officeDocument/2006/relationships/hyperlink" Target="https://en.wikipedia.org/wiki/Greater_Houston" TargetMode="External"/><Relationship Id="rId261" Type="http://schemas.openxmlformats.org/officeDocument/2006/relationships/hyperlink" Target="https://en.wikipedia.org/wiki/Houston_Rockets" TargetMode="External"/><Relationship Id="rId268" Type="http://schemas.openxmlformats.org/officeDocument/2006/relationships/hyperlink" Target="https://en.wikipedia.org/wiki/Golden_1_Center" TargetMode="External"/><Relationship Id="rId267" Type="http://schemas.openxmlformats.org/officeDocument/2006/relationships/hyperlink" Target="https://en.wikipedia.org/wiki/File:Golden_1_Center_2017.jpg" TargetMode="External"/><Relationship Id="rId266" Type="http://schemas.openxmlformats.org/officeDocument/2006/relationships/hyperlink" Target="https://en.wikipedia.org/wiki/Arkansas" TargetMode="External"/><Relationship Id="rId265" Type="http://schemas.openxmlformats.org/officeDocument/2006/relationships/hyperlink" Target="https://en.wikipedia.org/wiki/North_Little_Rock,_Arkansas" TargetMode="External"/><Relationship Id="rId260" Type="http://schemas.openxmlformats.org/officeDocument/2006/relationships/hyperlink" Target="https://en.wikipedia.org/wiki/Texas" TargetMode="External"/><Relationship Id="rId259" Type="http://schemas.openxmlformats.org/officeDocument/2006/relationships/hyperlink" Target="https://en.wikipedia.org/wiki/Houston" TargetMode="External"/><Relationship Id="rId258" Type="http://schemas.openxmlformats.org/officeDocument/2006/relationships/hyperlink" Target="https://en.wikipedia.org/wiki/Toyota_Center" TargetMode="External"/><Relationship Id="rId253" Type="http://schemas.openxmlformats.org/officeDocument/2006/relationships/hyperlink" Target="https://en.wikipedia.org/wiki/Desert_Diamond_Arena" TargetMode="External"/><Relationship Id="rId252" Type="http://schemas.openxmlformats.org/officeDocument/2006/relationships/hyperlink" Target="https://en.wikipedia.org/wiki/File:Glendale-arena.jpg" TargetMode="External"/><Relationship Id="rId251" Type="http://schemas.openxmlformats.org/officeDocument/2006/relationships/hyperlink" Target="https://en.wikipedia.org/wiki/New_York_metropolitan_area" TargetMode="External"/><Relationship Id="rId250" Type="http://schemas.openxmlformats.org/officeDocument/2006/relationships/hyperlink" Target="https://en.wikipedia.org/wiki/Brooklyn_Nets" TargetMode="External"/><Relationship Id="rId257" Type="http://schemas.openxmlformats.org/officeDocument/2006/relationships/hyperlink" Target="https://en.wikipedia.org/wiki/File:Toyota_Center_entr.jpg" TargetMode="External"/><Relationship Id="rId256" Type="http://schemas.openxmlformats.org/officeDocument/2006/relationships/hyperlink" Target="https://en.wikipedia.org/wiki/Phoenix_metropolitan_area" TargetMode="External"/><Relationship Id="rId255" Type="http://schemas.openxmlformats.org/officeDocument/2006/relationships/hyperlink" Target="https://en.wikipedia.org/wiki/Arizona" TargetMode="External"/><Relationship Id="rId254" Type="http://schemas.openxmlformats.org/officeDocument/2006/relationships/hyperlink" Target="https://en.wikipedia.org/wiki/Glendale,_Arizona" TargetMode="External"/><Relationship Id="rId293" Type="http://schemas.openxmlformats.org/officeDocument/2006/relationships/hyperlink" Target="https://en.wikipedia.org/wiki/File:Allstate_Arena_(cropped_2).jpg" TargetMode="External"/><Relationship Id="rId292" Type="http://schemas.openxmlformats.org/officeDocument/2006/relationships/hyperlink" Target="https://en.wikipedia.org/wiki/Greater_Los_Angeles" TargetMode="External"/><Relationship Id="rId291" Type="http://schemas.openxmlformats.org/officeDocument/2006/relationships/hyperlink" Target="https://en.wikipedia.org/wiki/Anaheim_Ducks" TargetMode="External"/><Relationship Id="rId290" Type="http://schemas.openxmlformats.org/officeDocument/2006/relationships/hyperlink" Target="https://en.wikipedia.org/wiki/California" TargetMode="External"/><Relationship Id="rId286" Type="http://schemas.openxmlformats.org/officeDocument/2006/relationships/hyperlink" Target="https://en.wikipedia.org/wiki/Creighton_Bluejays_men%27s_basketball" TargetMode="External"/><Relationship Id="rId285" Type="http://schemas.openxmlformats.org/officeDocument/2006/relationships/hyperlink" Target="https://en.wikipedia.org/wiki/Nebraska" TargetMode="External"/><Relationship Id="rId284" Type="http://schemas.openxmlformats.org/officeDocument/2006/relationships/hyperlink" Target="https://en.wikipedia.org/wiki/Omaha,_Nebraska" TargetMode="External"/><Relationship Id="rId283" Type="http://schemas.openxmlformats.org/officeDocument/2006/relationships/hyperlink" Target="https://en.wikipedia.org/wiki/CHI_Health_Center_Omaha" TargetMode="External"/><Relationship Id="rId289" Type="http://schemas.openxmlformats.org/officeDocument/2006/relationships/hyperlink" Target="https://en.wikipedia.org/wiki/Anaheim,_California" TargetMode="External"/><Relationship Id="rId288" Type="http://schemas.openxmlformats.org/officeDocument/2006/relationships/hyperlink" Target="https://en.wikipedia.org/wiki/Honda_Center" TargetMode="External"/><Relationship Id="rId287" Type="http://schemas.openxmlformats.org/officeDocument/2006/relationships/hyperlink" Target="https://en.wikipedia.org/wiki/File:Honda-ext-arch.JPG" TargetMode="External"/><Relationship Id="rId282" Type="http://schemas.openxmlformats.org/officeDocument/2006/relationships/hyperlink" Target="https://en.wikipedia.org/wiki/File:CenturyLink_Center_Omaha.jpg" TargetMode="External"/><Relationship Id="rId281" Type="http://schemas.openxmlformats.org/officeDocument/2006/relationships/hyperlink" Target="https://en.wikipedia.org/wiki/Birmingham_Squadron" TargetMode="External"/><Relationship Id="rId280" Type="http://schemas.openxmlformats.org/officeDocument/2006/relationships/hyperlink" Target="https://en.wikipedia.org/wiki/Alabama" TargetMode="External"/><Relationship Id="rId275" Type="http://schemas.openxmlformats.org/officeDocument/2006/relationships/hyperlink" Target="https://en.wikipedia.org/wiki/New_York_(state)" TargetMode="External"/><Relationship Id="rId274" Type="http://schemas.openxmlformats.org/officeDocument/2006/relationships/hyperlink" Target="https://en.wikipedia.org/wiki/Elmont,_New_York" TargetMode="External"/><Relationship Id="rId273" Type="http://schemas.openxmlformats.org/officeDocument/2006/relationships/hyperlink" Target="https://en.wikipedia.org/wiki/UBS_Arena" TargetMode="External"/><Relationship Id="rId272" Type="http://schemas.openxmlformats.org/officeDocument/2006/relationships/hyperlink" Target="https://en.wikipedia.org/wiki/File:Belmont_Park_td_(2021-12-19)_017_-_UBS_Arena.jpg" TargetMode="External"/><Relationship Id="rId279" Type="http://schemas.openxmlformats.org/officeDocument/2006/relationships/hyperlink" Target="https://en.wikipedia.org/wiki/Birmingham,_Alabama" TargetMode="External"/><Relationship Id="rId278" Type="http://schemas.openxmlformats.org/officeDocument/2006/relationships/hyperlink" Target="https://en.wikipedia.org/wiki/Legacy_Arena" TargetMode="External"/><Relationship Id="rId277" Type="http://schemas.openxmlformats.org/officeDocument/2006/relationships/hyperlink" Target="https://en.wikipedia.org/wiki/New_York_metropolitan_area" TargetMode="External"/><Relationship Id="rId276" Type="http://schemas.openxmlformats.org/officeDocument/2006/relationships/hyperlink" Target="https://en.wikipedia.org/wiki/New_York_Islanders" TargetMode="External"/><Relationship Id="rId1851" Type="http://schemas.openxmlformats.org/officeDocument/2006/relationships/hyperlink" Target="https://en.wikipedia.org/wiki/File:TitanGym1.jpg" TargetMode="External"/><Relationship Id="rId1852" Type="http://schemas.openxmlformats.org/officeDocument/2006/relationships/hyperlink" Target="https://en.wikipedia.org/wiki/Titan_Gym" TargetMode="External"/><Relationship Id="rId1853" Type="http://schemas.openxmlformats.org/officeDocument/2006/relationships/hyperlink" Target="https://en.wikipedia.org/wiki/Fullerton,_California" TargetMode="External"/><Relationship Id="rId1854" Type="http://schemas.openxmlformats.org/officeDocument/2006/relationships/hyperlink" Target="https://en.wikipedia.org/wiki/California" TargetMode="External"/><Relationship Id="rId1855" Type="http://schemas.openxmlformats.org/officeDocument/2006/relationships/hyperlink" Target="https://en.wikipedia.org/wiki/Cal_State_Fullerton_Titans" TargetMode="External"/><Relationship Id="rId1856" Type="http://schemas.openxmlformats.org/officeDocument/2006/relationships/hyperlink" Target="https://en.wikipedia.org/wiki/Greater_Los_Angeles" TargetMode="External"/><Relationship Id="rId1857" Type="http://schemas.openxmlformats.org/officeDocument/2006/relationships/hyperlink" Target="https://en.wikipedia.org/w/index.php?title=The_Cube_(Findlay,_Ohio)&amp;action=edit&amp;redlink=1" TargetMode="External"/><Relationship Id="rId1858" Type="http://schemas.openxmlformats.org/officeDocument/2006/relationships/hyperlink" Target="https://en.wikipedia.org/wiki/Findlay,_Ohio" TargetMode="External"/><Relationship Id="rId1859" Type="http://schemas.openxmlformats.org/officeDocument/2006/relationships/hyperlink" Target="https://en.wikipedia.org/wiki/Ohio" TargetMode="External"/><Relationship Id="rId1850" Type="http://schemas.openxmlformats.org/officeDocument/2006/relationships/hyperlink" Target="https://en.wikipedia.org/wiki/West_Virginia_Institute_of_Technology" TargetMode="External"/><Relationship Id="rId1840" Type="http://schemas.openxmlformats.org/officeDocument/2006/relationships/hyperlink" Target="https://en.wikipedia.org/wiki/Bradenton_Area_Convention_Center" TargetMode="External"/><Relationship Id="rId1841" Type="http://schemas.openxmlformats.org/officeDocument/2006/relationships/hyperlink" Target="https://en.wikipedia.org/wiki/Bradenton,_Florida" TargetMode="External"/><Relationship Id="rId1842" Type="http://schemas.openxmlformats.org/officeDocument/2006/relationships/hyperlink" Target="https://en.wikipedia.org/wiki/Florida" TargetMode="External"/><Relationship Id="rId1843" Type="http://schemas.openxmlformats.org/officeDocument/2006/relationships/hyperlink" Target="https://en.wikipedia.org/wiki/Tampa_Bay_area" TargetMode="External"/><Relationship Id="rId1844" Type="http://schemas.openxmlformats.org/officeDocument/2006/relationships/hyperlink" Target="https://en.wikipedia.org/wiki/Bill_Gray%27s_Regional_Iceplex" TargetMode="External"/><Relationship Id="rId1845" Type="http://schemas.openxmlformats.org/officeDocument/2006/relationships/hyperlink" Target="https://en.wikipedia.org/wiki/Rochester,_New_York" TargetMode="External"/><Relationship Id="rId1846" Type="http://schemas.openxmlformats.org/officeDocument/2006/relationships/hyperlink" Target="https://en.wikipedia.org/wiki/New_York_(state)" TargetMode="External"/><Relationship Id="rId1847" Type="http://schemas.openxmlformats.org/officeDocument/2006/relationships/hyperlink" Target="https://en.wikipedia.org/wiki/Beckley-Raleigh_County_Convention_Center" TargetMode="External"/><Relationship Id="rId1848" Type="http://schemas.openxmlformats.org/officeDocument/2006/relationships/hyperlink" Target="https://en.wikipedia.org/wiki/Beckley,_West_Virginia" TargetMode="External"/><Relationship Id="rId1849" Type="http://schemas.openxmlformats.org/officeDocument/2006/relationships/hyperlink" Target="https://en.wikipedia.org/wiki/West_Virginia" TargetMode="External"/><Relationship Id="rId1873" Type="http://schemas.openxmlformats.org/officeDocument/2006/relationships/hyperlink" Target="https://en.wikipedia.org/wiki/California" TargetMode="External"/><Relationship Id="rId1874" Type="http://schemas.openxmlformats.org/officeDocument/2006/relationships/hyperlink" Target="https://en.wikipedia.org/wiki/Loyola_Marymount_Lions" TargetMode="External"/><Relationship Id="rId1875" Type="http://schemas.openxmlformats.org/officeDocument/2006/relationships/hyperlink" Target="https://en.wikipedia.org/wiki/Greater_Los_Angeles" TargetMode="External"/><Relationship Id="rId1876" Type="http://schemas.openxmlformats.org/officeDocument/2006/relationships/hyperlink" Target="https://en.wikipedia.org/wiki/Great_Plains_Coliseum" TargetMode="External"/><Relationship Id="rId1877" Type="http://schemas.openxmlformats.org/officeDocument/2006/relationships/hyperlink" Target="https://en.wikipedia.org/wiki/Lawton,_Oklahoma" TargetMode="External"/><Relationship Id="rId1878" Type="http://schemas.openxmlformats.org/officeDocument/2006/relationships/hyperlink" Target="https://en.wikipedia.org/wiki/Oklahoma" TargetMode="External"/><Relationship Id="rId1879" Type="http://schemas.openxmlformats.org/officeDocument/2006/relationships/hyperlink" Target="https://en.wikipedia.org/wiki/Iron_Trail_Motors_Event_Center" TargetMode="External"/><Relationship Id="rId1870" Type="http://schemas.openxmlformats.org/officeDocument/2006/relationships/hyperlink" Target="https://en.wikipedia.org/wiki/Michigan" TargetMode="External"/><Relationship Id="rId1871" Type="http://schemas.openxmlformats.org/officeDocument/2006/relationships/hyperlink" Target="https://en.wikipedia.org/wiki/Gersten_Pavilion" TargetMode="External"/><Relationship Id="rId1872" Type="http://schemas.openxmlformats.org/officeDocument/2006/relationships/hyperlink" Target="https://en.wikipedia.org/wiki/Los_Angeles" TargetMode="External"/><Relationship Id="rId1862" Type="http://schemas.openxmlformats.org/officeDocument/2006/relationships/hyperlink" Target="https://en.wikipedia.org/wiki/Edwardsville,_Illinois" TargetMode="External"/><Relationship Id="rId1863" Type="http://schemas.openxmlformats.org/officeDocument/2006/relationships/hyperlink" Target="https://en.wikipedia.org/wiki/Illinois" TargetMode="External"/><Relationship Id="rId1864" Type="http://schemas.openxmlformats.org/officeDocument/2006/relationships/hyperlink" Target="https://en.wikipedia.org/wiki/SIU_Edwardsville_Cougars" TargetMode="External"/><Relationship Id="rId1865" Type="http://schemas.openxmlformats.org/officeDocument/2006/relationships/hyperlink" Target="https://en.wikipedia.org/wiki/Kansas_State_Fair" TargetMode="External"/><Relationship Id="rId1866" Type="http://schemas.openxmlformats.org/officeDocument/2006/relationships/hyperlink" Target="https://en.wikipedia.org/wiki/Hutchinson,_Kansas" TargetMode="External"/><Relationship Id="rId1867" Type="http://schemas.openxmlformats.org/officeDocument/2006/relationships/hyperlink" Target="https://en.wikipedia.org/wiki/Kansas" TargetMode="External"/><Relationship Id="rId1868" Type="http://schemas.openxmlformats.org/officeDocument/2006/relationships/hyperlink" Target="https://en.wikipedia.org/w/index.php?title=Midland_County_Fair&amp;action=edit&amp;redlink=1" TargetMode="External"/><Relationship Id="rId1869" Type="http://schemas.openxmlformats.org/officeDocument/2006/relationships/hyperlink" Target="https://en.wikipedia.org/wiki/Midland,_Michigan" TargetMode="External"/><Relationship Id="rId1860" Type="http://schemas.openxmlformats.org/officeDocument/2006/relationships/hyperlink" Target="https://en.wikipedia.org/wiki/File:Vadalebene_Center_E.jpg" TargetMode="External"/><Relationship Id="rId1861" Type="http://schemas.openxmlformats.org/officeDocument/2006/relationships/hyperlink" Target="https://en.wikipedia.org/wiki/Vadalabene_Center" TargetMode="External"/><Relationship Id="rId1810" Type="http://schemas.openxmlformats.org/officeDocument/2006/relationships/hyperlink" Target="https://en.wikipedia.org/wiki/Greater_Boston" TargetMode="External"/><Relationship Id="rId1811" Type="http://schemas.openxmlformats.org/officeDocument/2006/relationships/hyperlink" Target="https://en.wikipedia.org/w/index.php?title=Rochester_Recreation_Center&amp;action=edit&amp;redlink=1" TargetMode="External"/><Relationship Id="rId1812" Type="http://schemas.openxmlformats.org/officeDocument/2006/relationships/hyperlink" Target="https://en.wikipedia.org/wiki/Rochester,_Minnesota" TargetMode="External"/><Relationship Id="rId1813" Type="http://schemas.openxmlformats.org/officeDocument/2006/relationships/hyperlink" Target="https://en.wikipedia.org/wiki/Minnesota" TargetMode="External"/><Relationship Id="rId1814" Type="http://schemas.openxmlformats.org/officeDocument/2006/relationships/hyperlink" Target="https://en.wikipedia.org/wiki/File:Tulane_U_Mch2013_Freret_Gym_Entrance_Across.JPG" TargetMode="External"/><Relationship Id="rId1815" Type="http://schemas.openxmlformats.org/officeDocument/2006/relationships/hyperlink" Target="https://en.wikipedia.org/wiki/Devlin_Fieldhouse" TargetMode="External"/><Relationship Id="rId1816" Type="http://schemas.openxmlformats.org/officeDocument/2006/relationships/hyperlink" Target="https://en.wikipedia.org/wiki/New_Orleans" TargetMode="External"/><Relationship Id="rId1817" Type="http://schemas.openxmlformats.org/officeDocument/2006/relationships/hyperlink" Target="https://en.wikipedia.org/wiki/Louisiana" TargetMode="External"/><Relationship Id="rId1818" Type="http://schemas.openxmlformats.org/officeDocument/2006/relationships/hyperlink" Target="https://en.wikipedia.org/wiki/Tulane_Green_Wave" TargetMode="External"/><Relationship Id="rId1819" Type="http://schemas.openxmlformats.org/officeDocument/2006/relationships/hyperlink" Target="https://en.wikipedia.org/wiki/Greater_New_Orleans" TargetMode="External"/><Relationship Id="rId1800" Type="http://schemas.openxmlformats.org/officeDocument/2006/relationships/hyperlink" Target="https://en.wikipedia.org/wiki/Greater_Boston" TargetMode="External"/><Relationship Id="rId1801" Type="http://schemas.openxmlformats.org/officeDocument/2006/relationships/hyperlink" Target="https://en.wikipedia.org/w/index.php?title=Tehama_District_Fair&amp;action=edit&amp;redlink=1" TargetMode="External"/><Relationship Id="rId1802" Type="http://schemas.openxmlformats.org/officeDocument/2006/relationships/hyperlink" Target="https://en.wikipedia.org/wiki/Red_Bluff,_California" TargetMode="External"/><Relationship Id="rId1803" Type="http://schemas.openxmlformats.org/officeDocument/2006/relationships/hyperlink" Target="https://en.wikipedia.org/wiki/California" TargetMode="External"/><Relationship Id="rId1804" Type="http://schemas.openxmlformats.org/officeDocument/2006/relationships/hyperlink" Target="https://en.wikipedia.org/w/index.php?title=Rockin_A_Arena&amp;action=edit&amp;redlink=1" TargetMode="External"/><Relationship Id="rId1805" Type="http://schemas.openxmlformats.org/officeDocument/2006/relationships/hyperlink" Target="https://en.wikipedia.org/wiki/Palmyra,_Missouri" TargetMode="External"/><Relationship Id="rId1806" Type="http://schemas.openxmlformats.org/officeDocument/2006/relationships/hyperlink" Target="https://en.wikipedia.org/wiki/Missouri" TargetMode="External"/><Relationship Id="rId1807" Type="http://schemas.openxmlformats.org/officeDocument/2006/relationships/hyperlink" Target="https://en.wikipedia.org/wiki/Topsfield_Fair" TargetMode="External"/><Relationship Id="rId1808" Type="http://schemas.openxmlformats.org/officeDocument/2006/relationships/hyperlink" Target="https://en.wikipedia.org/wiki/Topsfield,_Massachusetts" TargetMode="External"/><Relationship Id="rId1809" Type="http://schemas.openxmlformats.org/officeDocument/2006/relationships/hyperlink" Target="https://en.wikipedia.org/wiki/Massachusetts" TargetMode="External"/><Relationship Id="rId1830" Type="http://schemas.openxmlformats.org/officeDocument/2006/relationships/hyperlink" Target="https://en.wikipedia.org/wiki/Watertown_(city),_New_York" TargetMode="External"/><Relationship Id="rId1831" Type="http://schemas.openxmlformats.org/officeDocument/2006/relationships/hyperlink" Target="https://en.wikipedia.org/wiki/New_York_(state)" TargetMode="External"/><Relationship Id="rId1832" Type="http://schemas.openxmlformats.org/officeDocument/2006/relationships/hyperlink" Target="https://en.wikipedia.org/wiki/Watertown_Wolves" TargetMode="External"/><Relationship Id="rId1833" Type="http://schemas.openxmlformats.org/officeDocument/2006/relationships/hyperlink" Target="https://en.wikipedia.org/wiki/Winston-Salem_Fairgrounds_Annex" TargetMode="External"/><Relationship Id="rId1834" Type="http://schemas.openxmlformats.org/officeDocument/2006/relationships/hyperlink" Target="https://en.wikipedia.org/wiki/Winston-Salem,_North_Carolina" TargetMode="External"/><Relationship Id="rId1835" Type="http://schemas.openxmlformats.org/officeDocument/2006/relationships/hyperlink" Target="https://en.wikipedia.org/wiki/North_Carolina" TargetMode="External"/><Relationship Id="rId1836" Type="http://schemas.openxmlformats.org/officeDocument/2006/relationships/hyperlink" Target="https://en.wikipedia.org/wiki/Carolina_Thunderbirds_(FPHL)" TargetMode="External"/><Relationship Id="rId1837" Type="http://schemas.openxmlformats.org/officeDocument/2006/relationships/hyperlink" Target="https://en.wikipedia.org/w/index.php?title=Alachua_County_Agriculture_and_Equestrian_Center&amp;action=edit&amp;redlink=1" TargetMode="External"/><Relationship Id="rId1838" Type="http://schemas.openxmlformats.org/officeDocument/2006/relationships/hyperlink" Target="https://en.wikipedia.org/wiki/Newberry,_Florida" TargetMode="External"/><Relationship Id="rId1839" Type="http://schemas.openxmlformats.org/officeDocument/2006/relationships/hyperlink" Target="https://en.wikipedia.org/wiki/Florida" TargetMode="External"/><Relationship Id="rId1820" Type="http://schemas.openxmlformats.org/officeDocument/2006/relationships/hyperlink" Target="https://en.wikipedia.org/wiki/File:Northwest_Georgia_Trade_and_Convention_Center,_Dalton,_Georgia.JPG" TargetMode="External"/><Relationship Id="rId1821" Type="http://schemas.openxmlformats.org/officeDocument/2006/relationships/hyperlink" Target="https://en.wikipedia.org/wiki/Dalton_Convention_Center" TargetMode="External"/><Relationship Id="rId1822" Type="http://schemas.openxmlformats.org/officeDocument/2006/relationships/hyperlink" Target="https://en.wikipedia.org/wiki/Dalton,_Georgia" TargetMode="External"/><Relationship Id="rId1823" Type="http://schemas.openxmlformats.org/officeDocument/2006/relationships/hyperlink" Target="https://en.wikipedia.org/wiki/Georgia_(U.S._state)" TargetMode="External"/><Relationship Id="rId1824" Type="http://schemas.openxmlformats.org/officeDocument/2006/relationships/hyperlink" Target="https://en.wikipedia.org/wiki/Dalton_State_College" TargetMode="External"/><Relationship Id="rId1825" Type="http://schemas.openxmlformats.org/officeDocument/2006/relationships/hyperlink" Target="https://en.wikipedia.org/wiki/File:Rocky_Mount_Event_Center_Main_Entrance.jpg" TargetMode="External"/><Relationship Id="rId1826" Type="http://schemas.openxmlformats.org/officeDocument/2006/relationships/hyperlink" Target="https://en.wikipedia.org/wiki/Rocky_Mount_Event_Center" TargetMode="External"/><Relationship Id="rId1827" Type="http://schemas.openxmlformats.org/officeDocument/2006/relationships/hyperlink" Target="https://en.wikipedia.org/wiki/Rocky_Mount,_North_Carolina" TargetMode="External"/><Relationship Id="rId1828" Type="http://schemas.openxmlformats.org/officeDocument/2006/relationships/hyperlink" Target="https://en.wikipedia.org/wiki/North_Carolina" TargetMode="External"/><Relationship Id="rId1829" Type="http://schemas.openxmlformats.org/officeDocument/2006/relationships/hyperlink" Target="https://en.wikipedia.org/wiki/Watertown_Municipal_Arena" TargetMode="External"/><Relationship Id="rId1455" Type="http://schemas.openxmlformats.org/officeDocument/2006/relationships/hyperlink" Target="https://en.wikipedia.org/wiki/Henderson,_Nevada" TargetMode="External"/><Relationship Id="rId1456" Type="http://schemas.openxmlformats.org/officeDocument/2006/relationships/hyperlink" Target="https://en.wikipedia.org/wiki/Nevada" TargetMode="External"/><Relationship Id="rId1457" Type="http://schemas.openxmlformats.org/officeDocument/2006/relationships/hyperlink" Target="https://en.wikipedia.org/wiki/Henderson_Silver_Knights" TargetMode="External"/><Relationship Id="rId1458" Type="http://schemas.openxmlformats.org/officeDocument/2006/relationships/hyperlink" Target="https://en.wikipedia.org/wiki/Kansas_Star_Casino" TargetMode="External"/><Relationship Id="rId1459" Type="http://schemas.openxmlformats.org/officeDocument/2006/relationships/hyperlink" Target="https://en.wikipedia.org/wiki/Mulvane,_Kansas" TargetMode="External"/><Relationship Id="rId629" Type="http://schemas.openxmlformats.org/officeDocument/2006/relationships/hyperlink" Target="https://en.wikipedia.org/wiki/Kissimmee,_Florida" TargetMode="External"/><Relationship Id="rId624" Type="http://schemas.openxmlformats.org/officeDocument/2006/relationships/hyperlink" Target="https://en.wikipedia.org/wiki/Allentown,_Pennsylvania" TargetMode="External"/><Relationship Id="rId623" Type="http://schemas.openxmlformats.org/officeDocument/2006/relationships/hyperlink" Target="https://en.wikipedia.org/wiki/PPL_Center" TargetMode="External"/><Relationship Id="rId622" Type="http://schemas.openxmlformats.org/officeDocument/2006/relationships/hyperlink" Target="https://en.wikipedia.org/wiki/Colorado" TargetMode="External"/><Relationship Id="rId621" Type="http://schemas.openxmlformats.org/officeDocument/2006/relationships/hyperlink" Target="https://en.wikipedia.org/wiki/Denver" TargetMode="External"/><Relationship Id="rId628" Type="http://schemas.openxmlformats.org/officeDocument/2006/relationships/hyperlink" Target="https://en.wikipedia.org/wiki/Silver_Spurs_Arena" TargetMode="External"/><Relationship Id="rId627" Type="http://schemas.openxmlformats.org/officeDocument/2006/relationships/hyperlink" Target="https://en.wikipedia.org/wiki/File:Silver_Spurs_Arena.JPG" TargetMode="External"/><Relationship Id="rId626" Type="http://schemas.openxmlformats.org/officeDocument/2006/relationships/hyperlink" Target="https://en.wikipedia.org/wiki/Lehigh_Valley_Phantoms" TargetMode="External"/><Relationship Id="rId625" Type="http://schemas.openxmlformats.org/officeDocument/2006/relationships/hyperlink" Target="https://en.wikipedia.org/wiki/Pennsylvania" TargetMode="External"/><Relationship Id="rId1450" Type="http://schemas.openxmlformats.org/officeDocument/2006/relationships/hyperlink" Target="https://en.wikipedia.org/wiki/Kentucky" TargetMode="External"/><Relationship Id="rId620" Type="http://schemas.openxmlformats.org/officeDocument/2006/relationships/hyperlink" Target="https://en.wikipedia.org/wiki/Denver_Coliseum" TargetMode="External"/><Relationship Id="rId1451" Type="http://schemas.openxmlformats.org/officeDocument/2006/relationships/hyperlink" Target="https://en.wikipedia.org/wiki/Tunica_Arena_and_Exposition_Center" TargetMode="External"/><Relationship Id="rId1452" Type="http://schemas.openxmlformats.org/officeDocument/2006/relationships/hyperlink" Target="https://en.wikipedia.org/wiki/Tunica,_Mississippi" TargetMode="External"/><Relationship Id="rId1453" Type="http://schemas.openxmlformats.org/officeDocument/2006/relationships/hyperlink" Target="https://en.wikipedia.org/wiki/Mississippi" TargetMode="External"/><Relationship Id="rId1454" Type="http://schemas.openxmlformats.org/officeDocument/2006/relationships/hyperlink" Target="https://en.wikipedia.org/wiki/Dollar_Loan_Center" TargetMode="External"/><Relationship Id="rId1444" Type="http://schemas.openxmlformats.org/officeDocument/2006/relationships/hyperlink" Target="https://en.wikipedia.org/wiki/Idaho_Falls" TargetMode="External"/><Relationship Id="rId1445" Type="http://schemas.openxmlformats.org/officeDocument/2006/relationships/hyperlink" Target="https://en.wikipedia.org/wiki/Idaho" TargetMode="External"/><Relationship Id="rId1446" Type="http://schemas.openxmlformats.org/officeDocument/2006/relationships/hyperlink" Target="https://en.wikipedia.org/w/index.php?title=Idaho_Falls_Spud_Kings&amp;action=edit&amp;redlink=1" TargetMode="External"/><Relationship Id="rId1447" Type="http://schemas.openxmlformats.org/officeDocument/2006/relationships/hyperlink" Target="https://en.wikipedia.org/wiki/File:Louisville_Gardens_roadwork.jpg" TargetMode="External"/><Relationship Id="rId1448" Type="http://schemas.openxmlformats.org/officeDocument/2006/relationships/hyperlink" Target="https://en.wikipedia.org/wiki/Louisville_Gardens" TargetMode="External"/><Relationship Id="rId1449" Type="http://schemas.openxmlformats.org/officeDocument/2006/relationships/hyperlink" Target="https://en.wikipedia.org/wiki/Louisville,_Kentucky" TargetMode="External"/><Relationship Id="rId619" Type="http://schemas.openxmlformats.org/officeDocument/2006/relationships/hyperlink" Target="https://en.wikipedia.org/wiki/File:DenverColiseum.JPG" TargetMode="External"/><Relationship Id="rId618" Type="http://schemas.openxmlformats.org/officeDocument/2006/relationships/hyperlink" Target="https://en.wikipedia.org/wiki/Roanoke_Rail_Yard_Dawgs" TargetMode="External"/><Relationship Id="rId613" Type="http://schemas.openxmlformats.org/officeDocument/2006/relationships/hyperlink" Target="https://en.wikipedia.org/wiki/Mobile,_Alabama" TargetMode="External"/><Relationship Id="rId612" Type="http://schemas.openxmlformats.org/officeDocument/2006/relationships/hyperlink" Target="https://en.wikipedia.org/wiki/Mobile_Civic_Center" TargetMode="External"/><Relationship Id="rId611" Type="http://schemas.openxmlformats.org/officeDocument/2006/relationships/hyperlink" Target="https://en.wikipedia.org/wiki/File:MobileDomeJuly07.jpg" TargetMode="External"/><Relationship Id="rId610" Type="http://schemas.openxmlformats.org/officeDocument/2006/relationships/hyperlink" Target="https://en.wikipedia.org/wiki/Kansas_City_Roos" TargetMode="External"/><Relationship Id="rId617" Type="http://schemas.openxmlformats.org/officeDocument/2006/relationships/hyperlink" Target="https://en.wikipedia.org/wiki/Virginia" TargetMode="External"/><Relationship Id="rId616" Type="http://schemas.openxmlformats.org/officeDocument/2006/relationships/hyperlink" Target="https://en.wikipedia.org/wiki/Roanoke,_Virginia" TargetMode="External"/><Relationship Id="rId615" Type="http://schemas.openxmlformats.org/officeDocument/2006/relationships/hyperlink" Target="https://en.wikipedia.org/wiki/Berglund_Center" TargetMode="External"/><Relationship Id="rId614" Type="http://schemas.openxmlformats.org/officeDocument/2006/relationships/hyperlink" Target="https://en.wikipedia.org/wiki/Alabama" TargetMode="External"/><Relationship Id="rId1440" Type="http://schemas.openxmlformats.org/officeDocument/2006/relationships/hyperlink" Target="https://en.wikipedia.org/wiki/Coralville,_Iowa" TargetMode="External"/><Relationship Id="rId1441" Type="http://schemas.openxmlformats.org/officeDocument/2006/relationships/hyperlink" Target="https://en.wikipedia.org/wiki/Iowa" TargetMode="External"/><Relationship Id="rId1442" Type="http://schemas.openxmlformats.org/officeDocument/2006/relationships/hyperlink" Target="https://en.wikipedia.org/wiki/Iowa_Heartlanders" TargetMode="External"/><Relationship Id="rId1443" Type="http://schemas.openxmlformats.org/officeDocument/2006/relationships/hyperlink" Target="https://en.wikipedia.org/wiki/Mountain_America_Center" TargetMode="External"/><Relationship Id="rId1477" Type="http://schemas.openxmlformats.org/officeDocument/2006/relationships/hyperlink" Target="https://en.wikipedia.org/wiki/Bangor,_Maine" TargetMode="External"/><Relationship Id="rId1478" Type="http://schemas.openxmlformats.org/officeDocument/2006/relationships/hyperlink" Target="https://en.wikipedia.org/wiki/Maine" TargetMode="External"/><Relationship Id="rId1479" Type="http://schemas.openxmlformats.org/officeDocument/2006/relationships/hyperlink" Target="https://en.wikipedia.org/wiki/Maine_Black_Bears" TargetMode="External"/><Relationship Id="rId646" Type="http://schemas.openxmlformats.org/officeDocument/2006/relationships/hyperlink" Target="https://en.wikipedia.org/wiki/File:AmericanBankCenterCorpus.jpg" TargetMode="External"/><Relationship Id="rId645" Type="http://schemas.openxmlformats.org/officeDocument/2006/relationships/hyperlink" Target="https://en.wikipedia.org/wiki/Chicagoland" TargetMode="External"/><Relationship Id="rId644" Type="http://schemas.openxmlformats.org/officeDocument/2006/relationships/hyperlink" Target="https://en.wikipedia.org/wiki/Chicago_Sky" TargetMode="External"/><Relationship Id="rId643" Type="http://schemas.openxmlformats.org/officeDocument/2006/relationships/hyperlink" Target="https://en.wikipedia.org/wiki/Illinois" TargetMode="External"/><Relationship Id="rId649" Type="http://schemas.openxmlformats.org/officeDocument/2006/relationships/hyperlink" Target="https://en.wikipedia.org/wiki/Texas" TargetMode="External"/><Relationship Id="rId648" Type="http://schemas.openxmlformats.org/officeDocument/2006/relationships/hyperlink" Target="https://en.wikipedia.org/wiki/Corpus_Christi,_Texas" TargetMode="External"/><Relationship Id="rId647" Type="http://schemas.openxmlformats.org/officeDocument/2006/relationships/hyperlink" Target="https://en.wikipedia.org/wiki/American_Bank_Center" TargetMode="External"/><Relationship Id="rId1470" Type="http://schemas.openxmlformats.org/officeDocument/2006/relationships/hyperlink" Target="https://en.wikipedia.org/wiki/Washington%E2%80%93Baltimore_metropolitan_area" TargetMode="External"/><Relationship Id="rId1471" Type="http://schemas.openxmlformats.org/officeDocument/2006/relationships/hyperlink" Target="https://en.wikipedia.org/wiki/Roy_Wilkins_Auditorium" TargetMode="External"/><Relationship Id="rId1472" Type="http://schemas.openxmlformats.org/officeDocument/2006/relationships/hyperlink" Target="https://en.wikipedia.org/wiki/Saint_Paul,_Minnesota" TargetMode="External"/><Relationship Id="rId642" Type="http://schemas.openxmlformats.org/officeDocument/2006/relationships/hyperlink" Target="https://en.wikipedia.org/wiki/Chicago" TargetMode="External"/><Relationship Id="rId1473" Type="http://schemas.openxmlformats.org/officeDocument/2006/relationships/hyperlink" Target="https://en.wikipedia.org/wiki/Minnesota" TargetMode="External"/><Relationship Id="rId641" Type="http://schemas.openxmlformats.org/officeDocument/2006/relationships/hyperlink" Target="https://en.wikipedia.org/wiki/Wintrust_Arena" TargetMode="External"/><Relationship Id="rId1474" Type="http://schemas.openxmlformats.org/officeDocument/2006/relationships/hyperlink" Target="https://en.wikipedia.org/wiki/Minneapolis%E2%80%93St._Paul" TargetMode="External"/><Relationship Id="rId640" Type="http://schemas.openxmlformats.org/officeDocument/2006/relationships/hyperlink" Target="https://en.wikipedia.org/wiki/File:Wintrust-arena-exterior.jpg" TargetMode="External"/><Relationship Id="rId1475" Type="http://schemas.openxmlformats.org/officeDocument/2006/relationships/hyperlink" Target="https://en.wikipedia.org/wiki/File:Cross_Insurance_Center.jpg" TargetMode="External"/><Relationship Id="rId1476" Type="http://schemas.openxmlformats.org/officeDocument/2006/relationships/hyperlink" Target="https://en.wikipedia.org/wiki/Cross_Insurance_Center" TargetMode="External"/><Relationship Id="rId1466" Type="http://schemas.openxmlformats.org/officeDocument/2006/relationships/hyperlink" Target="https://en.wikipedia.org/wiki/Massachusetts" TargetMode="External"/><Relationship Id="rId1467" Type="http://schemas.openxmlformats.org/officeDocument/2006/relationships/hyperlink" Target="https://en.wikipedia.org/wiki/The_Show_Place_Arena" TargetMode="External"/><Relationship Id="rId1468" Type="http://schemas.openxmlformats.org/officeDocument/2006/relationships/hyperlink" Target="https://en.wikipedia.org/wiki/Upper_Marlboro,_Maryland" TargetMode="External"/><Relationship Id="rId1469" Type="http://schemas.openxmlformats.org/officeDocument/2006/relationships/hyperlink" Target="https://en.wikipedia.org/wiki/Maryland" TargetMode="External"/><Relationship Id="rId635" Type="http://schemas.openxmlformats.org/officeDocument/2006/relationships/hyperlink" Target="https://en.wikipedia.org/wiki/File:Rushmore_Plaza_Civic_Center_in_Rapid_City,_South_Dakota.jpg" TargetMode="External"/><Relationship Id="rId634" Type="http://schemas.openxmlformats.org/officeDocument/2006/relationships/hyperlink" Target="https://en.wikipedia.org/wiki/New_Jersey" TargetMode="External"/><Relationship Id="rId633" Type="http://schemas.openxmlformats.org/officeDocument/2006/relationships/hyperlink" Target="https://en.wikipedia.org/wiki/Trenton,_New_Jersey" TargetMode="External"/><Relationship Id="rId632" Type="http://schemas.openxmlformats.org/officeDocument/2006/relationships/hyperlink" Target="https://en.wikipedia.org/wiki/CURE_Insurance_Arena" TargetMode="External"/><Relationship Id="rId639" Type="http://schemas.openxmlformats.org/officeDocument/2006/relationships/hyperlink" Target="https://en.wikipedia.org/wiki/Rapid_City_Rush" TargetMode="External"/><Relationship Id="rId638" Type="http://schemas.openxmlformats.org/officeDocument/2006/relationships/hyperlink" Target="https://en.wikipedia.org/wiki/South_Dakota" TargetMode="External"/><Relationship Id="rId637" Type="http://schemas.openxmlformats.org/officeDocument/2006/relationships/hyperlink" Target="https://en.wikipedia.org/wiki/Rapid_City,_South_Dakota" TargetMode="External"/><Relationship Id="rId636" Type="http://schemas.openxmlformats.org/officeDocument/2006/relationships/hyperlink" Target="https://en.wikipedia.org/wiki/Rushmore_Plaza_Civic_Center" TargetMode="External"/><Relationship Id="rId1460" Type="http://schemas.openxmlformats.org/officeDocument/2006/relationships/hyperlink" Target="https://en.wikipedia.org/wiki/Kansas" TargetMode="External"/><Relationship Id="rId1461" Type="http://schemas.openxmlformats.org/officeDocument/2006/relationships/hyperlink" Target="https://en.wikipedia.org/w/index.php?title=Murieta_Equestrian_Center&amp;action=edit&amp;redlink=1" TargetMode="External"/><Relationship Id="rId631" Type="http://schemas.openxmlformats.org/officeDocument/2006/relationships/hyperlink" Target="https://en.wikipedia.org/wiki/File:Sun_National_Bank_Center.jpg" TargetMode="External"/><Relationship Id="rId1462" Type="http://schemas.openxmlformats.org/officeDocument/2006/relationships/hyperlink" Target="https://en.wikipedia.org/wiki/Rancho_Cordova" TargetMode="External"/><Relationship Id="rId630" Type="http://schemas.openxmlformats.org/officeDocument/2006/relationships/hyperlink" Target="https://en.wikipedia.org/wiki/Florida" TargetMode="External"/><Relationship Id="rId1463" Type="http://schemas.openxmlformats.org/officeDocument/2006/relationships/hyperlink" Target="https://en.wikipedia.org/wiki/California" TargetMode="External"/><Relationship Id="rId1464" Type="http://schemas.openxmlformats.org/officeDocument/2006/relationships/hyperlink" Target="https://en.wikipedia.org/wiki/Big_E_Coliseum" TargetMode="External"/><Relationship Id="rId1465" Type="http://schemas.openxmlformats.org/officeDocument/2006/relationships/hyperlink" Target="https://en.wikipedia.org/wiki/West_Springfield,_Massachusetts" TargetMode="External"/><Relationship Id="rId1411" Type="http://schemas.openxmlformats.org/officeDocument/2006/relationships/hyperlink" Target="https://en.wikipedia.org/w/index.php?title=Legacy_Events_Center&amp;action=edit&amp;redlink=1" TargetMode="External"/><Relationship Id="rId1895" Type="http://schemas.openxmlformats.org/officeDocument/2006/relationships/hyperlink" Target="https://en.wikipedia.org/wiki/Garden_City,_Idaho" TargetMode="External"/><Relationship Id="rId1412" Type="http://schemas.openxmlformats.org/officeDocument/2006/relationships/hyperlink" Target="https://en.wikipedia.org/wiki/Farmington,_Utah" TargetMode="External"/><Relationship Id="rId1896" Type="http://schemas.openxmlformats.org/officeDocument/2006/relationships/hyperlink" Target="https://en.wikipedia.org/wiki/Idaho" TargetMode="External"/><Relationship Id="rId1413" Type="http://schemas.openxmlformats.org/officeDocument/2006/relationships/hyperlink" Target="https://en.wikipedia.org/wiki/Utah" TargetMode="External"/><Relationship Id="rId1897" Type="http://schemas.openxmlformats.org/officeDocument/2006/relationships/hyperlink" Target="https://en.wikipedia.org/w/index.php?title=Rochester_Recreation_Gymnasium&amp;action=edit&amp;redlink=1" TargetMode="External"/><Relationship Id="rId1414" Type="http://schemas.openxmlformats.org/officeDocument/2006/relationships/hyperlink" Target="https://en.wikipedia.org/wiki/File:1stBank_Center.JPG" TargetMode="External"/><Relationship Id="rId1898" Type="http://schemas.openxmlformats.org/officeDocument/2006/relationships/hyperlink" Target="https://en.wikipedia.org/wiki/Rochester,_New_Hampshire" TargetMode="External"/><Relationship Id="rId1415" Type="http://schemas.openxmlformats.org/officeDocument/2006/relationships/hyperlink" Target="https://en.wikipedia.org/wiki/1stBank_Center" TargetMode="External"/><Relationship Id="rId1899" Type="http://schemas.openxmlformats.org/officeDocument/2006/relationships/hyperlink" Target="https://en.wikipedia.org/wiki/New_Hampshire" TargetMode="External"/><Relationship Id="rId1416" Type="http://schemas.openxmlformats.org/officeDocument/2006/relationships/hyperlink" Target="https://en.wikipedia.org/wiki/Broomfield,_Colorado" TargetMode="External"/><Relationship Id="rId1417" Type="http://schemas.openxmlformats.org/officeDocument/2006/relationships/hyperlink" Target="https://en.wikipedia.org/wiki/Colorado" TargetMode="External"/><Relationship Id="rId1418" Type="http://schemas.openxmlformats.org/officeDocument/2006/relationships/hyperlink" Target="https://en.wikipedia.org/wiki/Arthur_Ashe_Athletic_Center" TargetMode="External"/><Relationship Id="rId1419" Type="http://schemas.openxmlformats.org/officeDocument/2006/relationships/hyperlink" Target="https://en.wikipedia.org/wiki/Richmond,_Virginia" TargetMode="External"/><Relationship Id="rId1890" Type="http://schemas.openxmlformats.org/officeDocument/2006/relationships/hyperlink" Target="https://en.wikipedia.org/wiki/ImOn_Ice_Arena" TargetMode="External"/><Relationship Id="rId1891" Type="http://schemas.openxmlformats.org/officeDocument/2006/relationships/hyperlink" Target="https://en.wikipedia.org/wiki/Cedar_Rapids,_Iowa" TargetMode="External"/><Relationship Id="rId1892" Type="http://schemas.openxmlformats.org/officeDocument/2006/relationships/hyperlink" Target="https://en.wikipedia.org/wiki/Iowa" TargetMode="External"/><Relationship Id="rId1893" Type="http://schemas.openxmlformats.org/officeDocument/2006/relationships/hyperlink" Target="https://en.wikipedia.org/wiki/Cedar_Rapids_RoughRiders" TargetMode="External"/><Relationship Id="rId1410" Type="http://schemas.openxmlformats.org/officeDocument/2006/relationships/hyperlink" Target="https://en.wikipedia.org/wiki/Montana" TargetMode="External"/><Relationship Id="rId1894" Type="http://schemas.openxmlformats.org/officeDocument/2006/relationships/hyperlink" Target="https://en.wikipedia.org/w/index.php?title=Expo_Idaho&amp;action=edit&amp;redlink=1" TargetMode="External"/><Relationship Id="rId1400" Type="http://schemas.openxmlformats.org/officeDocument/2006/relationships/hyperlink" Target="https://en.wikipedia.org/wiki/Stormont_Vail_Events_Center" TargetMode="External"/><Relationship Id="rId1884" Type="http://schemas.openxmlformats.org/officeDocument/2006/relationships/hyperlink" Target="https://en.wikipedia.org/wiki/Natchitoches,_Louisiana" TargetMode="External"/><Relationship Id="rId1401" Type="http://schemas.openxmlformats.org/officeDocument/2006/relationships/hyperlink" Target="https://en.wikipedia.org/wiki/Topeka" TargetMode="External"/><Relationship Id="rId1885" Type="http://schemas.openxmlformats.org/officeDocument/2006/relationships/hyperlink" Target="https://en.wikipedia.org/wiki/Louisiana" TargetMode="External"/><Relationship Id="rId1402" Type="http://schemas.openxmlformats.org/officeDocument/2006/relationships/hyperlink" Target="https://en.wikipedia.org/wiki/Kansas" TargetMode="External"/><Relationship Id="rId1886" Type="http://schemas.openxmlformats.org/officeDocument/2006/relationships/hyperlink" Target="https://en.wikipedia.org/wiki/Northwestern_State_Demons_and_Lady_Demons" TargetMode="External"/><Relationship Id="rId1403" Type="http://schemas.openxmlformats.org/officeDocument/2006/relationships/hyperlink" Target="https://en.wikipedia.org/wiki/File:Prescott_Valley_Event_Center.jpg" TargetMode="External"/><Relationship Id="rId1887" Type="http://schemas.openxmlformats.org/officeDocument/2006/relationships/hyperlink" Target="https://en.wikipedia.org/w/index.php?title=Stride_Bank_Arena&amp;action=edit&amp;redlink=1" TargetMode="External"/><Relationship Id="rId1404" Type="http://schemas.openxmlformats.org/officeDocument/2006/relationships/hyperlink" Target="https://en.wikipedia.org/wiki/Findlay_Toyota_Center" TargetMode="External"/><Relationship Id="rId1888" Type="http://schemas.openxmlformats.org/officeDocument/2006/relationships/hyperlink" Target="https://en.wikipedia.org/wiki/Enid,_Oklahoma" TargetMode="External"/><Relationship Id="rId1405" Type="http://schemas.openxmlformats.org/officeDocument/2006/relationships/hyperlink" Target="https://en.wikipedia.org/wiki/Prescott_Valley,_Arizona" TargetMode="External"/><Relationship Id="rId1889" Type="http://schemas.openxmlformats.org/officeDocument/2006/relationships/hyperlink" Target="https://en.wikipedia.org/wiki/Oklahoma" TargetMode="External"/><Relationship Id="rId1406" Type="http://schemas.openxmlformats.org/officeDocument/2006/relationships/hyperlink" Target="https://en.wikipedia.org/wiki/Arizona" TargetMode="External"/><Relationship Id="rId1407" Type="http://schemas.openxmlformats.org/officeDocument/2006/relationships/hyperlink" Target="https://en.wikipedia.org/wiki/File:Montana_Expo_Park_15.JPG" TargetMode="External"/><Relationship Id="rId1408" Type="http://schemas.openxmlformats.org/officeDocument/2006/relationships/hyperlink" Target="https://en.wikipedia.org/wiki/Four_Seasons_Arena" TargetMode="External"/><Relationship Id="rId1409" Type="http://schemas.openxmlformats.org/officeDocument/2006/relationships/hyperlink" Target="https://en.wikipedia.org/wiki/Great_Falls,_Montana" TargetMode="External"/><Relationship Id="rId1880" Type="http://schemas.openxmlformats.org/officeDocument/2006/relationships/hyperlink" Target="https://en.wikipedia.org/wiki/Virginia,_Minnesota" TargetMode="External"/><Relationship Id="rId1881" Type="http://schemas.openxmlformats.org/officeDocument/2006/relationships/hyperlink" Target="https://en.wikipedia.org/wiki/Minnesota" TargetMode="External"/><Relationship Id="rId1882" Type="http://schemas.openxmlformats.org/officeDocument/2006/relationships/hyperlink" Target="https://en.wikipedia.org/wiki/File:Prather_Coliseum_(Natchitoches,_LA).jpg" TargetMode="External"/><Relationship Id="rId1883" Type="http://schemas.openxmlformats.org/officeDocument/2006/relationships/hyperlink" Target="https://en.wikipedia.org/wiki/Prather_Coliseum" TargetMode="External"/><Relationship Id="rId1433" Type="http://schemas.openxmlformats.org/officeDocument/2006/relationships/hyperlink" Target="https://en.wikipedia.org/wiki/Johnstown,_Pennsylvania" TargetMode="External"/><Relationship Id="rId1434" Type="http://schemas.openxmlformats.org/officeDocument/2006/relationships/hyperlink" Target="https://en.wikipedia.org/wiki/Pennsylvania" TargetMode="External"/><Relationship Id="rId1435" Type="http://schemas.openxmlformats.org/officeDocument/2006/relationships/hyperlink" Target="https://en.wikipedia.org/wiki/File:El_Paso_County_Coliseum_2.jpg" TargetMode="External"/><Relationship Id="rId1436" Type="http://schemas.openxmlformats.org/officeDocument/2006/relationships/hyperlink" Target="https://en.wikipedia.org/wiki/El_Paso_County_Coliseum" TargetMode="External"/><Relationship Id="rId1437" Type="http://schemas.openxmlformats.org/officeDocument/2006/relationships/hyperlink" Target="https://en.wikipedia.org/wiki/El_Paso,_Texas" TargetMode="External"/><Relationship Id="rId1438" Type="http://schemas.openxmlformats.org/officeDocument/2006/relationships/hyperlink" Target="https://en.wikipedia.org/wiki/Texas" TargetMode="External"/><Relationship Id="rId1439" Type="http://schemas.openxmlformats.org/officeDocument/2006/relationships/hyperlink" Target="https://en.wikipedia.org/wiki/Xtream_Arena" TargetMode="External"/><Relationship Id="rId609" Type="http://schemas.openxmlformats.org/officeDocument/2006/relationships/hyperlink" Target="https://en.wikipedia.org/wiki/Missouri" TargetMode="External"/><Relationship Id="rId608" Type="http://schemas.openxmlformats.org/officeDocument/2006/relationships/hyperlink" Target="https://en.wikipedia.org/wiki/Kansas_City,_Missouri" TargetMode="External"/><Relationship Id="rId607" Type="http://schemas.openxmlformats.org/officeDocument/2006/relationships/hyperlink" Target="https://en.wikipedia.org/wiki/Municipal_Auditorium_(Kansas_City,_Missouri)" TargetMode="External"/><Relationship Id="rId602" Type="http://schemas.openxmlformats.org/officeDocument/2006/relationships/hyperlink" Target="https://en.wikipedia.org/wiki/File:Albany_Civ_Center.JPG" TargetMode="External"/><Relationship Id="rId601" Type="http://schemas.openxmlformats.org/officeDocument/2006/relationships/hyperlink" Target="https://en.wikipedia.org/wiki/Oklahoma" TargetMode="External"/><Relationship Id="rId600" Type="http://schemas.openxmlformats.org/officeDocument/2006/relationships/hyperlink" Target="https://en.wikipedia.org/wiki/Oklahoma_City" TargetMode="External"/><Relationship Id="rId606" Type="http://schemas.openxmlformats.org/officeDocument/2006/relationships/hyperlink" Target="https://en.wikipedia.org/wiki/File:Municipal_Auditorium_Kansas_City_Missouri.jpg" TargetMode="External"/><Relationship Id="rId605" Type="http://schemas.openxmlformats.org/officeDocument/2006/relationships/hyperlink" Target="https://en.wikipedia.org/wiki/Georgia_(U.S._state)" TargetMode="External"/><Relationship Id="rId604" Type="http://schemas.openxmlformats.org/officeDocument/2006/relationships/hyperlink" Target="https://en.wikipedia.org/wiki/Albany,_Georgia" TargetMode="External"/><Relationship Id="rId603" Type="http://schemas.openxmlformats.org/officeDocument/2006/relationships/hyperlink" Target="https://en.wikipedia.org/wiki/Albany_Civic_Center" TargetMode="External"/><Relationship Id="rId1430" Type="http://schemas.openxmlformats.org/officeDocument/2006/relationships/hyperlink" Target="https://en.wikipedia.org/wiki/Birmingham,_Alabama" TargetMode="External"/><Relationship Id="rId1431" Type="http://schemas.openxmlformats.org/officeDocument/2006/relationships/hyperlink" Target="https://en.wikipedia.org/wiki/Alabama" TargetMode="External"/><Relationship Id="rId1432" Type="http://schemas.openxmlformats.org/officeDocument/2006/relationships/hyperlink" Target="https://en.wikipedia.org/wiki/Cambria_County_War_Memorial_Arena" TargetMode="External"/><Relationship Id="rId1422" Type="http://schemas.openxmlformats.org/officeDocument/2006/relationships/hyperlink" Target="https://en.wikipedia.org/wiki/Clarksville,_Tennessee" TargetMode="External"/><Relationship Id="rId1423" Type="http://schemas.openxmlformats.org/officeDocument/2006/relationships/hyperlink" Target="https://en.wikipedia.org/wiki/Tennessee" TargetMode="External"/><Relationship Id="rId1424" Type="http://schemas.openxmlformats.org/officeDocument/2006/relationships/hyperlink" Target="https://en.wikipedia.org/wiki/Austin_Peay_State_Governors" TargetMode="External"/><Relationship Id="rId1425" Type="http://schemas.openxmlformats.org/officeDocument/2006/relationships/hyperlink" Target="https://en.wikipedia.org/wiki/Bill_Harris_Arena" TargetMode="External"/><Relationship Id="rId1426" Type="http://schemas.openxmlformats.org/officeDocument/2006/relationships/hyperlink" Target="https://en.wikipedia.org/wiki/Birmingham,_Alabama" TargetMode="External"/><Relationship Id="rId1427" Type="http://schemas.openxmlformats.org/officeDocument/2006/relationships/hyperlink" Target="https://en.wikipedia.org/wiki/Alabama" TargetMode="External"/><Relationship Id="rId1428" Type="http://schemas.openxmlformats.org/officeDocument/2006/relationships/hyperlink" Target="https://en.wikipedia.org/wiki/File:Birmingham_Auditorium,_8th_Avenue_North,_Birmingham,_Ala._(7187231117).jpg" TargetMode="External"/><Relationship Id="rId1429" Type="http://schemas.openxmlformats.org/officeDocument/2006/relationships/hyperlink" Target="https://en.wikipedia.org/wiki/Boutwell_Memorial_Auditorium" TargetMode="External"/><Relationship Id="rId1420" Type="http://schemas.openxmlformats.org/officeDocument/2006/relationships/hyperlink" Target="https://en.wikipedia.org/wiki/Virginia" TargetMode="External"/><Relationship Id="rId1421" Type="http://schemas.openxmlformats.org/officeDocument/2006/relationships/hyperlink" Target="https://en.wikipedia.org/wiki/F%26M_Bank_Arena" TargetMode="External"/><Relationship Id="rId1059" Type="http://schemas.openxmlformats.org/officeDocument/2006/relationships/hyperlink" Target="https://en.wikipedia.org/wiki/WesBanco_Arena" TargetMode="External"/><Relationship Id="rId228" Type="http://schemas.openxmlformats.org/officeDocument/2006/relationships/hyperlink" Target="https://en.wikipedia.org/wiki/Oklahoma" TargetMode="External"/><Relationship Id="rId227" Type="http://schemas.openxmlformats.org/officeDocument/2006/relationships/hyperlink" Target="https://en.wikipedia.org/wiki/Tulsa,_Oklahoma" TargetMode="External"/><Relationship Id="rId226" Type="http://schemas.openxmlformats.org/officeDocument/2006/relationships/hyperlink" Target="https://en.wikipedia.org/wiki/BOK_Center" TargetMode="External"/><Relationship Id="rId225" Type="http://schemas.openxmlformats.org/officeDocument/2006/relationships/hyperlink" Target="https://en.wikipedia.org/wiki/File:BOK_Center_faccade.JPG" TargetMode="External"/><Relationship Id="rId229" Type="http://schemas.openxmlformats.org/officeDocument/2006/relationships/hyperlink" Target="https://en.wikipedia.org/wiki/Tulsa_Oilers" TargetMode="External"/><Relationship Id="rId1050" Type="http://schemas.openxmlformats.org/officeDocument/2006/relationships/hyperlink" Target="https://en.wikipedia.org/wiki/Indiana" TargetMode="External"/><Relationship Id="rId220" Type="http://schemas.openxmlformats.org/officeDocument/2006/relationships/hyperlink" Target="https://en.wikipedia.org/wiki/Minneapolis%E2%80%93St._Paul" TargetMode="External"/><Relationship Id="rId1051" Type="http://schemas.openxmlformats.org/officeDocument/2006/relationships/hyperlink" Target="https://en.wikipedia.org/wiki/File:Lee_County_Civic_Center,_Florida.jpg" TargetMode="External"/><Relationship Id="rId1052" Type="http://schemas.openxmlformats.org/officeDocument/2006/relationships/hyperlink" Target="https://en.wikipedia.org/wiki/Lee_County_Civic_Center" TargetMode="External"/><Relationship Id="rId1053" Type="http://schemas.openxmlformats.org/officeDocument/2006/relationships/hyperlink" Target="https://en.wikipedia.org/wiki/Fort_Myers,_Florida" TargetMode="External"/><Relationship Id="rId1054" Type="http://schemas.openxmlformats.org/officeDocument/2006/relationships/hyperlink" Target="https://en.wikipedia.org/wiki/Florida" TargetMode="External"/><Relationship Id="rId224" Type="http://schemas.openxmlformats.org/officeDocument/2006/relationships/hyperlink" Target="https://en.wikipedia.org/wiki/Missouri" TargetMode="External"/><Relationship Id="rId1055" Type="http://schemas.openxmlformats.org/officeDocument/2006/relationships/hyperlink" Target="https://en.wikipedia.org/w/index.php?title=Salt_Lake_County_Equestrian_Center&amp;action=edit&amp;redlink=1" TargetMode="External"/><Relationship Id="rId223" Type="http://schemas.openxmlformats.org/officeDocument/2006/relationships/hyperlink" Target="https://en.wikipedia.org/wiki/Kansas_City,_Missouri" TargetMode="External"/><Relationship Id="rId1056" Type="http://schemas.openxmlformats.org/officeDocument/2006/relationships/hyperlink" Target="https://en.wikipedia.org/wiki/Sandy,_Utah" TargetMode="External"/><Relationship Id="rId222" Type="http://schemas.openxmlformats.org/officeDocument/2006/relationships/hyperlink" Target="https://en.wikipedia.org/wiki/T-Mobile_Center" TargetMode="External"/><Relationship Id="rId1057" Type="http://schemas.openxmlformats.org/officeDocument/2006/relationships/hyperlink" Target="https://en.wikipedia.org/wiki/Utah" TargetMode="External"/><Relationship Id="rId221" Type="http://schemas.openxmlformats.org/officeDocument/2006/relationships/hyperlink" Target="https://en.wikipedia.org/wiki/File:Sprint_Center_Kansas_City_Missouri.jpg" TargetMode="External"/><Relationship Id="rId1058" Type="http://schemas.openxmlformats.org/officeDocument/2006/relationships/hyperlink" Target="https://en.wikipedia.org/wiki/File:WesBancoArena.jpg" TargetMode="External"/><Relationship Id="rId1048" Type="http://schemas.openxmlformats.org/officeDocument/2006/relationships/hyperlink" Target="https://en.wikipedia.org/wiki/Allen_County_War_Memorial_Coliseum" TargetMode="External"/><Relationship Id="rId1049" Type="http://schemas.openxmlformats.org/officeDocument/2006/relationships/hyperlink" Target="https://en.wikipedia.org/wiki/Fort_Wayne" TargetMode="External"/><Relationship Id="rId217" Type="http://schemas.openxmlformats.org/officeDocument/2006/relationships/hyperlink" Target="https://en.wikipedia.org/wiki/Saint_Paul,_Minnesota" TargetMode="External"/><Relationship Id="rId216" Type="http://schemas.openxmlformats.org/officeDocument/2006/relationships/hyperlink" Target="https://en.wikipedia.org/wiki/Xcel_Energy_Center" TargetMode="External"/><Relationship Id="rId215" Type="http://schemas.openxmlformats.org/officeDocument/2006/relationships/hyperlink" Target="https://en.wikipedia.org/wiki/File:XcelEnergyCenteroverview.jpg" TargetMode="External"/><Relationship Id="rId699" Type="http://schemas.openxmlformats.org/officeDocument/2006/relationships/hyperlink" Target="https://en.wikipedia.org/wiki/File:D.C._Armory_-_Washington,_D.C..jpg" TargetMode="External"/><Relationship Id="rId214" Type="http://schemas.openxmlformats.org/officeDocument/2006/relationships/hyperlink" Target="https://en.wikipedia.org/wiki/Greater_Cleveland" TargetMode="External"/><Relationship Id="rId698" Type="http://schemas.openxmlformats.org/officeDocument/2006/relationships/hyperlink" Target="https://en.wikipedia.org/wiki/Seattle_metropolitan_area" TargetMode="External"/><Relationship Id="rId219" Type="http://schemas.openxmlformats.org/officeDocument/2006/relationships/hyperlink" Target="https://en.wikipedia.org/wiki/Minnesota_Wild" TargetMode="External"/><Relationship Id="rId218" Type="http://schemas.openxmlformats.org/officeDocument/2006/relationships/hyperlink" Target="https://en.wikipedia.org/wiki/Minnesota" TargetMode="External"/><Relationship Id="rId693" Type="http://schemas.openxmlformats.org/officeDocument/2006/relationships/hyperlink" Target="https://en.wikipedia.org/wiki/File:Comcast_Arena_01.jpg" TargetMode="External"/><Relationship Id="rId1040" Type="http://schemas.openxmlformats.org/officeDocument/2006/relationships/hyperlink" Target="https://en.wikipedia.org/wiki/File:Erie_Insurance_Arena_-_Exterior.JPG" TargetMode="External"/><Relationship Id="rId692" Type="http://schemas.openxmlformats.org/officeDocument/2006/relationships/hyperlink" Target="https://en.wikipedia.org/wiki/Columbus_River_Dragons" TargetMode="External"/><Relationship Id="rId1041" Type="http://schemas.openxmlformats.org/officeDocument/2006/relationships/hyperlink" Target="https://en.wikipedia.org/wiki/Erie_Insurance_Arena" TargetMode="External"/><Relationship Id="rId691" Type="http://schemas.openxmlformats.org/officeDocument/2006/relationships/hyperlink" Target="https://en.wikipedia.org/wiki/Georgia_(U.S._state)" TargetMode="External"/><Relationship Id="rId1042" Type="http://schemas.openxmlformats.org/officeDocument/2006/relationships/hyperlink" Target="https://en.wikipedia.org/wiki/Erie,_Pennsylvania" TargetMode="External"/><Relationship Id="rId690" Type="http://schemas.openxmlformats.org/officeDocument/2006/relationships/hyperlink" Target="https://en.wikipedia.org/wiki/Columbus,_Georgia" TargetMode="External"/><Relationship Id="rId1043" Type="http://schemas.openxmlformats.org/officeDocument/2006/relationships/hyperlink" Target="https://en.wikipedia.org/wiki/Pennsylvania" TargetMode="External"/><Relationship Id="rId213" Type="http://schemas.openxmlformats.org/officeDocument/2006/relationships/hyperlink" Target="https://en.wikipedia.org/wiki/Cleveland_Cavaliers" TargetMode="External"/><Relationship Id="rId697" Type="http://schemas.openxmlformats.org/officeDocument/2006/relationships/hyperlink" Target="https://en.wikipedia.org/wiki/Everett_Silvertips" TargetMode="External"/><Relationship Id="rId1044" Type="http://schemas.openxmlformats.org/officeDocument/2006/relationships/hyperlink" Target="https://en.wikipedia.org/wiki/Erie_Otters" TargetMode="External"/><Relationship Id="rId212" Type="http://schemas.openxmlformats.org/officeDocument/2006/relationships/hyperlink" Target="https://en.wikipedia.org/wiki/Ohio" TargetMode="External"/><Relationship Id="rId696" Type="http://schemas.openxmlformats.org/officeDocument/2006/relationships/hyperlink" Target="https://en.wikipedia.org/wiki/Washington_(state)" TargetMode="External"/><Relationship Id="rId1045" Type="http://schemas.openxmlformats.org/officeDocument/2006/relationships/hyperlink" Target="https://en.wikipedia.org/w/index.php?title=Nacogdoches_County_Expo_Center&amp;action=edit&amp;redlink=1" TargetMode="External"/><Relationship Id="rId211" Type="http://schemas.openxmlformats.org/officeDocument/2006/relationships/hyperlink" Target="https://en.wikipedia.org/wiki/Cleveland" TargetMode="External"/><Relationship Id="rId695" Type="http://schemas.openxmlformats.org/officeDocument/2006/relationships/hyperlink" Target="https://en.wikipedia.org/wiki/Everett,_Washington" TargetMode="External"/><Relationship Id="rId1046" Type="http://schemas.openxmlformats.org/officeDocument/2006/relationships/hyperlink" Target="https://en.wikipedia.org/wiki/Nacogdoches,_Texas" TargetMode="External"/><Relationship Id="rId210" Type="http://schemas.openxmlformats.org/officeDocument/2006/relationships/hyperlink" Target="https://en.wikipedia.org/wiki/Rocket_Mortgage_FieldHouse" TargetMode="External"/><Relationship Id="rId694" Type="http://schemas.openxmlformats.org/officeDocument/2006/relationships/hyperlink" Target="https://en.wikipedia.org/wiki/Angel_of_the_Winds_Arena" TargetMode="External"/><Relationship Id="rId1047" Type="http://schemas.openxmlformats.org/officeDocument/2006/relationships/hyperlink" Target="https://en.wikipedia.org/wiki/Texas" TargetMode="External"/><Relationship Id="rId249" Type="http://schemas.openxmlformats.org/officeDocument/2006/relationships/hyperlink" Target="https://en.wikipedia.org/wiki/New_York_(state)" TargetMode="External"/><Relationship Id="rId248" Type="http://schemas.openxmlformats.org/officeDocument/2006/relationships/hyperlink" Target="https://en.wikipedia.org/wiki/Brooklyn" TargetMode="External"/><Relationship Id="rId247" Type="http://schemas.openxmlformats.org/officeDocument/2006/relationships/hyperlink" Target="https://en.wikipedia.org/wiki/Barclays_Center" TargetMode="External"/><Relationship Id="rId1070" Type="http://schemas.openxmlformats.org/officeDocument/2006/relationships/hyperlink" Target="https://en.wikipedia.org/wiki/South_Point_Casino" TargetMode="External"/><Relationship Id="rId1071" Type="http://schemas.openxmlformats.org/officeDocument/2006/relationships/hyperlink" Target="https://en.wikipedia.org/wiki/Las_Vegas" TargetMode="External"/><Relationship Id="rId1072" Type="http://schemas.openxmlformats.org/officeDocument/2006/relationships/hyperlink" Target="https://en.wikipedia.org/wiki/Nevada" TargetMode="External"/><Relationship Id="rId242" Type="http://schemas.openxmlformats.org/officeDocument/2006/relationships/hyperlink" Target="https://en.wikipedia.org/wiki/Frost_Bank_Center" TargetMode="External"/><Relationship Id="rId1073" Type="http://schemas.openxmlformats.org/officeDocument/2006/relationships/hyperlink" Target="https://en.wikipedia.org/wiki/Toyota_Center_(Kennewick,_Washington)" TargetMode="External"/><Relationship Id="rId241" Type="http://schemas.openxmlformats.org/officeDocument/2006/relationships/hyperlink" Target="https://en.wikipedia.org/wiki/File:Texasdd.JPG" TargetMode="External"/><Relationship Id="rId1074" Type="http://schemas.openxmlformats.org/officeDocument/2006/relationships/hyperlink" Target="https://en.wikipedia.org/wiki/Kennewick,_Washington" TargetMode="External"/><Relationship Id="rId240" Type="http://schemas.openxmlformats.org/officeDocument/2006/relationships/hyperlink" Target="https://en.wikipedia.org/wiki/Seattle_metropolitan_area" TargetMode="External"/><Relationship Id="rId1075" Type="http://schemas.openxmlformats.org/officeDocument/2006/relationships/hyperlink" Target="https://en.wikipedia.org/wiki/Washington_(state)" TargetMode="External"/><Relationship Id="rId1076" Type="http://schemas.openxmlformats.org/officeDocument/2006/relationships/hyperlink" Target="https://en.wikipedia.org/wiki/Tri-City_Americans" TargetMode="External"/><Relationship Id="rId246" Type="http://schemas.openxmlformats.org/officeDocument/2006/relationships/hyperlink" Target="https://en.wikipedia.org/wiki/File:Barclays_Center_western_side.jpg" TargetMode="External"/><Relationship Id="rId1077" Type="http://schemas.openxmlformats.org/officeDocument/2006/relationships/hyperlink" Target="https://en.wikipedia.org/wiki/Tri-Cities,_Washington" TargetMode="External"/><Relationship Id="rId245" Type="http://schemas.openxmlformats.org/officeDocument/2006/relationships/hyperlink" Target="https://en.wikipedia.org/wiki/San_Antonio_Spurs" TargetMode="External"/><Relationship Id="rId1078" Type="http://schemas.openxmlformats.org/officeDocument/2006/relationships/hyperlink" Target="https://en.wikipedia.org/w/index.php?title=Callicott_Arena&amp;action=edit&amp;redlink=1" TargetMode="External"/><Relationship Id="rId244" Type="http://schemas.openxmlformats.org/officeDocument/2006/relationships/hyperlink" Target="https://en.wikipedia.org/wiki/Texas" TargetMode="External"/><Relationship Id="rId1079" Type="http://schemas.openxmlformats.org/officeDocument/2006/relationships/hyperlink" Target="https://en.wikipedia.org/wiki/Franklin,_Tennessee" TargetMode="External"/><Relationship Id="rId243" Type="http://schemas.openxmlformats.org/officeDocument/2006/relationships/hyperlink" Target="https://en.wikipedia.org/wiki/San_Antonio" TargetMode="External"/><Relationship Id="rId239" Type="http://schemas.openxmlformats.org/officeDocument/2006/relationships/hyperlink" Target="https://en.wikipedia.org/wiki/Seattle_Kraken" TargetMode="External"/><Relationship Id="rId238" Type="http://schemas.openxmlformats.org/officeDocument/2006/relationships/hyperlink" Target="https://en.wikipedia.org/wiki/Washington_(state)" TargetMode="External"/><Relationship Id="rId237" Type="http://schemas.openxmlformats.org/officeDocument/2006/relationships/hyperlink" Target="https://en.wikipedia.org/wiki/Seattle" TargetMode="External"/><Relationship Id="rId236" Type="http://schemas.openxmlformats.org/officeDocument/2006/relationships/hyperlink" Target="https://en.wikipedia.org/wiki/Climate_Pledge_Arena" TargetMode="External"/><Relationship Id="rId1060" Type="http://schemas.openxmlformats.org/officeDocument/2006/relationships/hyperlink" Target="https://en.wikipedia.org/wiki/Wheeling,_West_Virginia" TargetMode="External"/><Relationship Id="rId1061" Type="http://schemas.openxmlformats.org/officeDocument/2006/relationships/hyperlink" Target="https://en.wikipedia.org/wiki/West_Virginia" TargetMode="External"/><Relationship Id="rId231" Type="http://schemas.openxmlformats.org/officeDocument/2006/relationships/hyperlink" Target="https://en.wikipedia.org/wiki/Freedom_Hall" TargetMode="External"/><Relationship Id="rId1062" Type="http://schemas.openxmlformats.org/officeDocument/2006/relationships/hyperlink" Target="https://en.wikipedia.org/wiki/Wheeling_Nailers" TargetMode="External"/><Relationship Id="rId230" Type="http://schemas.openxmlformats.org/officeDocument/2006/relationships/hyperlink" Target="https://en.wikipedia.org/wiki/File:FreedomHallStateFair.jpg" TargetMode="External"/><Relationship Id="rId1063" Type="http://schemas.openxmlformats.org/officeDocument/2006/relationships/hyperlink" Target="https://en.wikipedia.org/wiki/First_Interstate_Bank_Center" TargetMode="External"/><Relationship Id="rId1064" Type="http://schemas.openxmlformats.org/officeDocument/2006/relationships/hyperlink" Target="https://en.wikipedia.org/wiki/Redmond,_Oregon" TargetMode="External"/><Relationship Id="rId1065" Type="http://schemas.openxmlformats.org/officeDocument/2006/relationships/hyperlink" Target="https://en.wikipedia.org/wiki/Oregon" TargetMode="External"/><Relationship Id="rId235" Type="http://schemas.openxmlformats.org/officeDocument/2006/relationships/hyperlink" Target="https://en.wikipedia.org/wiki/File:KeyArena_(2890740573).jpg" TargetMode="External"/><Relationship Id="rId1066" Type="http://schemas.openxmlformats.org/officeDocument/2006/relationships/hyperlink" Target="https://en.wikipedia.org/wiki/File:YakimaSundome.jpg" TargetMode="External"/><Relationship Id="rId234" Type="http://schemas.openxmlformats.org/officeDocument/2006/relationships/hyperlink" Target="https://en.wikipedia.org/wiki/Bellarmine_Knights" TargetMode="External"/><Relationship Id="rId1067" Type="http://schemas.openxmlformats.org/officeDocument/2006/relationships/hyperlink" Target="https://en.wikipedia.org/wiki/Yakima_SunDome" TargetMode="External"/><Relationship Id="rId233" Type="http://schemas.openxmlformats.org/officeDocument/2006/relationships/hyperlink" Target="https://en.wikipedia.org/wiki/Kentucky" TargetMode="External"/><Relationship Id="rId1068" Type="http://schemas.openxmlformats.org/officeDocument/2006/relationships/hyperlink" Target="https://en.wikipedia.org/wiki/Yakima,_Washington" TargetMode="External"/><Relationship Id="rId232" Type="http://schemas.openxmlformats.org/officeDocument/2006/relationships/hyperlink" Target="https://en.wikipedia.org/wiki/Louisville,_Kentucky" TargetMode="External"/><Relationship Id="rId1069" Type="http://schemas.openxmlformats.org/officeDocument/2006/relationships/hyperlink" Target="https://en.wikipedia.org/wiki/Washington_(state)" TargetMode="External"/><Relationship Id="rId1015" Type="http://schemas.openxmlformats.org/officeDocument/2006/relationships/hyperlink" Target="https://en.wikipedia.org/wiki/Syracuse_Crunch" TargetMode="External"/><Relationship Id="rId1499" Type="http://schemas.openxmlformats.org/officeDocument/2006/relationships/hyperlink" Target="https://en.wikipedia.org/wiki/McAllen_Convention_Center" TargetMode="External"/><Relationship Id="rId1016" Type="http://schemas.openxmlformats.org/officeDocument/2006/relationships/hyperlink" Target="https://en.wikipedia.org/wiki/ShoWare_Center" TargetMode="External"/><Relationship Id="rId1017" Type="http://schemas.openxmlformats.org/officeDocument/2006/relationships/hyperlink" Target="https://en.wikipedia.org/wiki/Kent,_Washington" TargetMode="External"/><Relationship Id="rId1018" Type="http://schemas.openxmlformats.org/officeDocument/2006/relationships/hyperlink" Target="https://en.wikipedia.org/wiki/Washington_(state)" TargetMode="External"/><Relationship Id="rId1019" Type="http://schemas.openxmlformats.org/officeDocument/2006/relationships/hyperlink" Target="https://en.wikipedia.org/wiki/Seattle_Thunderbirds" TargetMode="External"/><Relationship Id="rId668" Type="http://schemas.openxmlformats.org/officeDocument/2006/relationships/hyperlink" Target="https://en.wikipedia.org/wiki/Memphis_metropolitan_area" TargetMode="External"/><Relationship Id="rId667" Type="http://schemas.openxmlformats.org/officeDocument/2006/relationships/hyperlink" Target="https://en.wikipedia.org/wiki/Memphis_Hustle" TargetMode="External"/><Relationship Id="rId666" Type="http://schemas.openxmlformats.org/officeDocument/2006/relationships/hyperlink" Target="https://en.wikipedia.org/wiki/Mississippi" TargetMode="External"/><Relationship Id="rId665" Type="http://schemas.openxmlformats.org/officeDocument/2006/relationships/hyperlink" Target="https://en.wikipedia.org/wiki/Southaven,_Mississippi" TargetMode="External"/><Relationship Id="rId669" Type="http://schemas.openxmlformats.org/officeDocument/2006/relationships/hyperlink" Target="https://en.wikipedia.org/wiki/Fort_Bend_Epicenter" TargetMode="External"/><Relationship Id="rId1490" Type="http://schemas.openxmlformats.org/officeDocument/2006/relationships/hyperlink" Target="https://en.wikipedia.org/wiki/File:Utica_Memorial_Arena_after_renovation,_2016-02-07.jpg" TargetMode="External"/><Relationship Id="rId660" Type="http://schemas.openxmlformats.org/officeDocument/2006/relationships/hyperlink" Target="https://en.wikipedia.org/wiki/Alabama_(U.S._state)" TargetMode="External"/><Relationship Id="rId1491" Type="http://schemas.openxmlformats.org/officeDocument/2006/relationships/hyperlink" Target="https://en.wikipedia.org/wiki/Adirondack_Bank_Center" TargetMode="External"/><Relationship Id="rId1492" Type="http://schemas.openxmlformats.org/officeDocument/2006/relationships/hyperlink" Target="https://en.wikipedia.org/wiki/Utica,_New_York" TargetMode="External"/><Relationship Id="rId1493" Type="http://schemas.openxmlformats.org/officeDocument/2006/relationships/hyperlink" Target="https://en.wikipedia.org/wiki/New_York_(state)" TargetMode="External"/><Relationship Id="rId1010" Type="http://schemas.openxmlformats.org/officeDocument/2006/relationships/hyperlink" Target="https://en.wikipedia.org/wiki/Wisconsin" TargetMode="External"/><Relationship Id="rId1494" Type="http://schemas.openxmlformats.org/officeDocument/2006/relationships/hyperlink" Target="https://en.wikipedia.org/wiki/Utica_Comets" TargetMode="External"/><Relationship Id="rId664" Type="http://schemas.openxmlformats.org/officeDocument/2006/relationships/hyperlink" Target="https://en.wikipedia.org/wiki/Landers_Center" TargetMode="External"/><Relationship Id="rId1011" Type="http://schemas.openxmlformats.org/officeDocument/2006/relationships/hyperlink" Target="https://en.wikipedia.org/wiki/File:Onondaga_County_War_Memorial_side.jpg" TargetMode="External"/><Relationship Id="rId1495" Type="http://schemas.openxmlformats.org/officeDocument/2006/relationships/hyperlink" Target="https://en.wikipedia.org/wiki/Oman_Arena" TargetMode="External"/><Relationship Id="rId663" Type="http://schemas.openxmlformats.org/officeDocument/2006/relationships/hyperlink" Target="https://en.wikipedia.org/wiki/North_Dakota" TargetMode="External"/><Relationship Id="rId1012" Type="http://schemas.openxmlformats.org/officeDocument/2006/relationships/hyperlink" Target="https://en.wikipedia.org/wiki/Upstate_Medical_University_Arena_at_Onondaga_County_War_Memorial" TargetMode="External"/><Relationship Id="rId1496" Type="http://schemas.openxmlformats.org/officeDocument/2006/relationships/hyperlink" Target="https://en.wikipedia.org/wiki/Jackson,_Tennessee" TargetMode="External"/><Relationship Id="rId662" Type="http://schemas.openxmlformats.org/officeDocument/2006/relationships/hyperlink" Target="https://en.wikipedia.org/wiki/Bismarck,_North_Dakota" TargetMode="External"/><Relationship Id="rId1013" Type="http://schemas.openxmlformats.org/officeDocument/2006/relationships/hyperlink" Target="https://en.wikipedia.org/wiki/Syracuse,_New_York" TargetMode="External"/><Relationship Id="rId1497" Type="http://schemas.openxmlformats.org/officeDocument/2006/relationships/hyperlink" Target="https://en.wikipedia.org/wiki/Tennessee" TargetMode="External"/><Relationship Id="rId661" Type="http://schemas.openxmlformats.org/officeDocument/2006/relationships/hyperlink" Target="https://en.wikipedia.org/wiki/Bismarck_Event_Center" TargetMode="External"/><Relationship Id="rId1014" Type="http://schemas.openxmlformats.org/officeDocument/2006/relationships/hyperlink" Target="https://en.wikipedia.org/wiki/New_York_(state)" TargetMode="External"/><Relationship Id="rId1498" Type="http://schemas.openxmlformats.org/officeDocument/2006/relationships/hyperlink" Target="https://en.wikipedia.org/wiki/File:McAllen_Convention_Center_-_Night.jpg" TargetMode="External"/><Relationship Id="rId1004" Type="http://schemas.openxmlformats.org/officeDocument/2006/relationships/hyperlink" Target="https://en.wikipedia.org/wiki/Hersheypark_Arena" TargetMode="External"/><Relationship Id="rId1488" Type="http://schemas.openxmlformats.org/officeDocument/2006/relationships/hyperlink" Target="https://en.wikipedia.org/wiki/Tallmadge,_Ohio" TargetMode="External"/><Relationship Id="rId1005" Type="http://schemas.openxmlformats.org/officeDocument/2006/relationships/hyperlink" Target="https://en.wikipedia.org/wiki/Hershey,_Pennsylvania" TargetMode="External"/><Relationship Id="rId1489" Type="http://schemas.openxmlformats.org/officeDocument/2006/relationships/hyperlink" Target="https://en.wikipedia.org/wiki/Ohio" TargetMode="External"/><Relationship Id="rId1006" Type="http://schemas.openxmlformats.org/officeDocument/2006/relationships/hyperlink" Target="https://en.wikipedia.org/wiki/Pennsylvania" TargetMode="External"/><Relationship Id="rId1007" Type="http://schemas.openxmlformats.org/officeDocument/2006/relationships/hyperlink" Target="https://en.wikipedia.org/wiki/File:La_Crosse_Center_entrance.jpg" TargetMode="External"/><Relationship Id="rId1008" Type="http://schemas.openxmlformats.org/officeDocument/2006/relationships/hyperlink" Target="https://en.wikipedia.org/wiki/La_Crosse_Center" TargetMode="External"/><Relationship Id="rId1009" Type="http://schemas.openxmlformats.org/officeDocument/2006/relationships/hyperlink" Target="https://en.wikipedia.org/wiki/La_Crosse,_Wisconsin" TargetMode="External"/><Relationship Id="rId657" Type="http://schemas.openxmlformats.org/officeDocument/2006/relationships/hyperlink" Target="https://en.wikipedia.org/wiki/Green_Bay_Blizzard" TargetMode="External"/><Relationship Id="rId656" Type="http://schemas.openxmlformats.org/officeDocument/2006/relationships/hyperlink" Target="https://en.wikipedia.org/wiki/Wisconsin" TargetMode="External"/><Relationship Id="rId655" Type="http://schemas.openxmlformats.org/officeDocument/2006/relationships/hyperlink" Target="https://en.wikipedia.org/wiki/Green_Bay,_Wisconsin" TargetMode="External"/><Relationship Id="rId654" Type="http://schemas.openxmlformats.org/officeDocument/2006/relationships/hyperlink" Target="https://en.wikipedia.org/wiki/Resch_Center" TargetMode="External"/><Relationship Id="rId659" Type="http://schemas.openxmlformats.org/officeDocument/2006/relationships/hyperlink" Target="https://en.wikipedia.org/wiki/Mobile,_Alabama" TargetMode="External"/><Relationship Id="rId658" Type="http://schemas.openxmlformats.org/officeDocument/2006/relationships/hyperlink" Target="https://en.wikipedia.org/wiki/Mobile_Civic_Center" TargetMode="External"/><Relationship Id="rId1480" Type="http://schemas.openxmlformats.org/officeDocument/2006/relationships/hyperlink" Target="https://en.wikipedia.org/wiki/Town_Toyota_Center" TargetMode="External"/><Relationship Id="rId1481" Type="http://schemas.openxmlformats.org/officeDocument/2006/relationships/hyperlink" Target="https://en.wikipedia.org/wiki/Wenatchee,_Washington" TargetMode="External"/><Relationship Id="rId1482" Type="http://schemas.openxmlformats.org/officeDocument/2006/relationships/hyperlink" Target="https://en.wikipedia.org/wiki/Washington_(state)" TargetMode="External"/><Relationship Id="rId1483" Type="http://schemas.openxmlformats.org/officeDocument/2006/relationships/hyperlink" Target="https://en.wikipedia.org/wiki/Wenatchee_Wild" TargetMode="External"/><Relationship Id="rId653" Type="http://schemas.openxmlformats.org/officeDocument/2006/relationships/hyperlink" Target="https://en.wikipedia.org/wiki/File:ReschCenterLombardiAvenueMay2007.jpg" TargetMode="External"/><Relationship Id="rId1000" Type="http://schemas.openxmlformats.org/officeDocument/2006/relationships/hyperlink" Target="https://en.wikipedia.org/wiki/Ector_County_Coliseum" TargetMode="External"/><Relationship Id="rId1484" Type="http://schemas.openxmlformats.org/officeDocument/2006/relationships/hyperlink" Target="https://en.wikipedia.org/wiki/Lee_%26_Rose_Warner_Coliseum" TargetMode="External"/><Relationship Id="rId652" Type="http://schemas.openxmlformats.org/officeDocument/2006/relationships/hyperlink" Target="https://en.wikipedia.org/wiki/Ohio" TargetMode="External"/><Relationship Id="rId1001" Type="http://schemas.openxmlformats.org/officeDocument/2006/relationships/hyperlink" Target="https://en.wikipedia.org/wiki/Odessa,_Texas" TargetMode="External"/><Relationship Id="rId1485" Type="http://schemas.openxmlformats.org/officeDocument/2006/relationships/hyperlink" Target="https://en.wikipedia.org/wiki/Falcon_Heights,_Minnesota" TargetMode="External"/><Relationship Id="rId651" Type="http://schemas.openxmlformats.org/officeDocument/2006/relationships/hyperlink" Target="https://en.wikipedia.org/wiki/Columbus,_Ohio" TargetMode="External"/><Relationship Id="rId1002" Type="http://schemas.openxmlformats.org/officeDocument/2006/relationships/hyperlink" Target="https://en.wikipedia.org/wiki/Texas" TargetMode="External"/><Relationship Id="rId1486" Type="http://schemas.openxmlformats.org/officeDocument/2006/relationships/hyperlink" Target="https://en.wikipedia.org/wiki/Minnesota" TargetMode="External"/><Relationship Id="rId650" Type="http://schemas.openxmlformats.org/officeDocument/2006/relationships/hyperlink" Target="https://en.wikipedia.org/wiki/Celeste_Center" TargetMode="External"/><Relationship Id="rId1003" Type="http://schemas.openxmlformats.org/officeDocument/2006/relationships/hyperlink" Target="https://en.wikipedia.org/wiki/File:Hersheypark_arena_outside1.jpg" TargetMode="External"/><Relationship Id="rId1487" Type="http://schemas.openxmlformats.org/officeDocument/2006/relationships/hyperlink" Target="https://en.wikipedia.org/w/index.php?title=Summit_County_Arena&amp;action=edit&amp;redlink=1" TargetMode="External"/><Relationship Id="rId1037" Type="http://schemas.openxmlformats.org/officeDocument/2006/relationships/hyperlink" Target="https://en.wikipedia.org/wiki/Farm_Credit_Dairy_Center" TargetMode="External"/><Relationship Id="rId1038" Type="http://schemas.openxmlformats.org/officeDocument/2006/relationships/hyperlink" Target="https://en.wikipedia.org/wiki/Tulare,_California" TargetMode="External"/><Relationship Id="rId1039" Type="http://schemas.openxmlformats.org/officeDocument/2006/relationships/hyperlink" Target="https://en.wikipedia.org/wiki/California" TargetMode="External"/><Relationship Id="rId206" Type="http://schemas.openxmlformats.org/officeDocument/2006/relationships/hyperlink" Target="https://en.wikipedia.org/wiki/Buffalo,_New_York" TargetMode="External"/><Relationship Id="rId205" Type="http://schemas.openxmlformats.org/officeDocument/2006/relationships/hyperlink" Target="https://en.wikipedia.org/wiki/KeyBank_Center" TargetMode="External"/><Relationship Id="rId689" Type="http://schemas.openxmlformats.org/officeDocument/2006/relationships/hyperlink" Target="https://en.wikipedia.org/wiki/Columbus_Civic_Center" TargetMode="External"/><Relationship Id="rId204" Type="http://schemas.openxmlformats.org/officeDocument/2006/relationships/hyperlink" Target="https://en.wikipedia.org/wiki/File:First_Niagara_Center_front.jpg" TargetMode="External"/><Relationship Id="rId688" Type="http://schemas.openxmlformats.org/officeDocument/2006/relationships/hyperlink" Target="https://en.wikipedia.org/wiki/Rockford_IceHogs" TargetMode="External"/><Relationship Id="rId203" Type="http://schemas.openxmlformats.org/officeDocument/2006/relationships/hyperlink" Target="https://en.wikipedia.org/wiki/Bay_Area" TargetMode="External"/><Relationship Id="rId687" Type="http://schemas.openxmlformats.org/officeDocument/2006/relationships/hyperlink" Target="https://en.wikipedia.org/wiki/Illinois" TargetMode="External"/><Relationship Id="rId209" Type="http://schemas.openxmlformats.org/officeDocument/2006/relationships/hyperlink" Target="https://en.wikipedia.org/wiki/File:Quicken_Loans_Arena_4.jpg" TargetMode="External"/><Relationship Id="rId208" Type="http://schemas.openxmlformats.org/officeDocument/2006/relationships/hyperlink" Target="https://en.wikipedia.org/wiki/Buffalo_Sabres" TargetMode="External"/><Relationship Id="rId207" Type="http://schemas.openxmlformats.org/officeDocument/2006/relationships/hyperlink" Target="https://en.wikipedia.org/wiki/New_York_(state)" TargetMode="External"/><Relationship Id="rId682" Type="http://schemas.openxmlformats.org/officeDocument/2006/relationships/hyperlink" Target="https://en.wikipedia.org/wiki/Tupelo,_Mississippi" TargetMode="External"/><Relationship Id="rId681" Type="http://schemas.openxmlformats.org/officeDocument/2006/relationships/hyperlink" Target="https://en.wikipedia.org/wiki/BancorpSouth_Arena" TargetMode="External"/><Relationship Id="rId1030" Type="http://schemas.openxmlformats.org/officeDocument/2006/relationships/hyperlink" Target="https://en.wikipedia.org/wiki/Illinois" TargetMode="External"/><Relationship Id="rId680" Type="http://schemas.openxmlformats.org/officeDocument/2006/relationships/hyperlink" Target="https://en.wikipedia.org/wiki/Texas" TargetMode="External"/><Relationship Id="rId1031" Type="http://schemas.openxmlformats.org/officeDocument/2006/relationships/hyperlink" Target="https://en.wikipedia.org/wiki/Central_Illinois_Flying_Aces" TargetMode="External"/><Relationship Id="rId1032" Type="http://schemas.openxmlformats.org/officeDocument/2006/relationships/hyperlink" Target="https://en.wikipedia.org/wiki/File:WillRogersMemorialCenter1.jpg" TargetMode="External"/><Relationship Id="rId202" Type="http://schemas.openxmlformats.org/officeDocument/2006/relationships/hyperlink" Target="https://en.wikipedia.org/wiki/Golden_State_Warriors" TargetMode="External"/><Relationship Id="rId686" Type="http://schemas.openxmlformats.org/officeDocument/2006/relationships/hyperlink" Target="https://en.wikipedia.org/wiki/Rockford,_Illinois" TargetMode="External"/><Relationship Id="rId1033" Type="http://schemas.openxmlformats.org/officeDocument/2006/relationships/hyperlink" Target="https://en.wikipedia.org/wiki/Will_Rogers_Coliseum" TargetMode="External"/><Relationship Id="rId201" Type="http://schemas.openxmlformats.org/officeDocument/2006/relationships/hyperlink" Target="https://en.wikipedia.org/wiki/California" TargetMode="External"/><Relationship Id="rId685" Type="http://schemas.openxmlformats.org/officeDocument/2006/relationships/hyperlink" Target="https://en.wikipedia.org/wiki/BMO_Harris_Bank_Center" TargetMode="External"/><Relationship Id="rId1034" Type="http://schemas.openxmlformats.org/officeDocument/2006/relationships/hyperlink" Target="https://en.wikipedia.org/wiki/Fort_Worth,_Texas" TargetMode="External"/><Relationship Id="rId200" Type="http://schemas.openxmlformats.org/officeDocument/2006/relationships/hyperlink" Target="https://en.wikipedia.org/wiki/San_Francisco" TargetMode="External"/><Relationship Id="rId684" Type="http://schemas.openxmlformats.org/officeDocument/2006/relationships/hyperlink" Target="https://en.wikipedia.org/wiki/File:BMO_Center_-_Rockford,_Illinois_-_March_2024.jpg" TargetMode="External"/><Relationship Id="rId1035" Type="http://schemas.openxmlformats.org/officeDocument/2006/relationships/hyperlink" Target="https://en.wikipedia.org/wiki/Texas" TargetMode="External"/><Relationship Id="rId683" Type="http://schemas.openxmlformats.org/officeDocument/2006/relationships/hyperlink" Target="https://en.wikipedia.org/wiki/Mississippi" TargetMode="External"/><Relationship Id="rId1036" Type="http://schemas.openxmlformats.org/officeDocument/2006/relationships/hyperlink" Target="https://en.wikipedia.org/wiki/Dallas%E2%80%93Fort_Worth_metroplex" TargetMode="External"/><Relationship Id="rId1026" Type="http://schemas.openxmlformats.org/officeDocument/2006/relationships/hyperlink" Target="https://en.wikipedia.org/wiki/Louisiana" TargetMode="External"/><Relationship Id="rId1027" Type="http://schemas.openxmlformats.org/officeDocument/2006/relationships/hyperlink" Target="https://en.wikipedia.org/wiki/File:US_Cellular_Coliseum.jpg" TargetMode="External"/><Relationship Id="rId1028" Type="http://schemas.openxmlformats.org/officeDocument/2006/relationships/hyperlink" Target="https://en.wikipedia.org/wiki/Grossinger_Motors_Arena" TargetMode="External"/><Relationship Id="rId1029" Type="http://schemas.openxmlformats.org/officeDocument/2006/relationships/hyperlink" Target="https://en.wikipedia.org/wiki/Bloomington,_Illinois" TargetMode="External"/><Relationship Id="rId679" Type="http://schemas.openxmlformats.org/officeDocument/2006/relationships/hyperlink" Target="https://en.wikipedia.org/wiki/Amarillo,_Texas" TargetMode="External"/><Relationship Id="rId678" Type="http://schemas.openxmlformats.org/officeDocument/2006/relationships/hyperlink" Target="https://en.wikipedia.org/wiki/Amarillo_National_Center" TargetMode="External"/><Relationship Id="rId677" Type="http://schemas.openxmlformats.org/officeDocument/2006/relationships/hyperlink" Target="https://en.wikipedia.org/wiki/Pensacola_Ice_Flyers" TargetMode="External"/><Relationship Id="rId676" Type="http://schemas.openxmlformats.org/officeDocument/2006/relationships/hyperlink" Target="https://en.wikipedia.org/wiki/Florida" TargetMode="External"/><Relationship Id="rId671" Type="http://schemas.openxmlformats.org/officeDocument/2006/relationships/hyperlink" Target="https://en.wikipedia.org/wiki/Texas" TargetMode="External"/><Relationship Id="rId670" Type="http://schemas.openxmlformats.org/officeDocument/2006/relationships/hyperlink" Target="https://en.wikipedia.org/wiki/Rosenberg,_Texas" TargetMode="External"/><Relationship Id="rId1020" Type="http://schemas.openxmlformats.org/officeDocument/2006/relationships/hyperlink" Target="https://en.wikipedia.org/wiki/Seattle_metropolitan_area" TargetMode="External"/><Relationship Id="rId1021" Type="http://schemas.openxmlformats.org/officeDocument/2006/relationships/hyperlink" Target="https://en.wikipedia.org/wiki/Sioux_Falls_Arena" TargetMode="External"/><Relationship Id="rId675" Type="http://schemas.openxmlformats.org/officeDocument/2006/relationships/hyperlink" Target="https://en.wikipedia.org/wiki/Pensacola,_Florida" TargetMode="External"/><Relationship Id="rId1022" Type="http://schemas.openxmlformats.org/officeDocument/2006/relationships/hyperlink" Target="https://en.wikipedia.org/wiki/Sioux_Falls,_South_Dakota" TargetMode="External"/><Relationship Id="rId674" Type="http://schemas.openxmlformats.org/officeDocument/2006/relationships/hyperlink" Target="https://en.wikipedia.org/wiki/Pensacola_Bay_Center" TargetMode="External"/><Relationship Id="rId1023" Type="http://schemas.openxmlformats.org/officeDocument/2006/relationships/hyperlink" Target="https://en.wikipedia.org/wiki/South_Dakota" TargetMode="External"/><Relationship Id="rId673" Type="http://schemas.openxmlformats.org/officeDocument/2006/relationships/hyperlink" Target="https://en.wikipedia.org/wiki/File:Pensacola_FL_civic_center02.jpg" TargetMode="External"/><Relationship Id="rId1024" Type="http://schemas.openxmlformats.org/officeDocument/2006/relationships/hyperlink" Target="https://en.wikipedia.org/wiki/Sudduth_Coliseum" TargetMode="External"/><Relationship Id="rId672" Type="http://schemas.openxmlformats.org/officeDocument/2006/relationships/hyperlink" Target="https://en.wikipedia.org/wiki/Greater_Houston" TargetMode="External"/><Relationship Id="rId1025" Type="http://schemas.openxmlformats.org/officeDocument/2006/relationships/hyperlink" Target="https://en.wikipedia.org/wiki/Lake_Charles,_Louisiana" TargetMode="External"/><Relationship Id="rId190" Type="http://schemas.openxmlformats.org/officeDocument/2006/relationships/hyperlink" Target="https://en.wikipedia.org/wiki/Phoenix_Suns" TargetMode="External"/><Relationship Id="rId194" Type="http://schemas.openxmlformats.org/officeDocument/2006/relationships/hyperlink" Target="https://en.wikipedia.org/wiki/Newark,_New_Jersey" TargetMode="External"/><Relationship Id="rId193" Type="http://schemas.openxmlformats.org/officeDocument/2006/relationships/hyperlink" Target="https://en.wikipedia.org/wiki/Prudential_Center" TargetMode="External"/><Relationship Id="rId192" Type="http://schemas.openxmlformats.org/officeDocument/2006/relationships/hyperlink" Target="https://en.wikipedia.org/wiki/File:Pudcentnewarkjeh.JPG" TargetMode="External"/><Relationship Id="rId191" Type="http://schemas.openxmlformats.org/officeDocument/2006/relationships/hyperlink" Target="https://en.wikipedia.org/wiki/Phoenix_metropolitan_area" TargetMode="External"/><Relationship Id="rId187" Type="http://schemas.openxmlformats.org/officeDocument/2006/relationships/hyperlink" Target="https://en.wikipedia.org/wiki/Footprint_Center" TargetMode="External"/><Relationship Id="rId186" Type="http://schemas.openxmlformats.org/officeDocument/2006/relationships/hyperlink" Target="https://en.wikipedia.org/wiki/File:Footprint_Center_2022.jpg" TargetMode="External"/><Relationship Id="rId185" Type="http://schemas.openxmlformats.org/officeDocument/2006/relationships/hyperlink" Target="https://en.wikipedia.org/wiki/Memphis_metropolitan_area" TargetMode="External"/><Relationship Id="rId184" Type="http://schemas.openxmlformats.org/officeDocument/2006/relationships/hyperlink" Target="https://en.wikipedia.org/wiki/Memphis_Grizzlies" TargetMode="External"/><Relationship Id="rId189" Type="http://schemas.openxmlformats.org/officeDocument/2006/relationships/hyperlink" Target="https://en.wikipedia.org/wiki/Arizona" TargetMode="External"/><Relationship Id="rId188" Type="http://schemas.openxmlformats.org/officeDocument/2006/relationships/hyperlink" Target="https://en.wikipedia.org/wiki/Phoenix,_Arizona" TargetMode="External"/><Relationship Id="rId183" Type="http://schemas.openxmlformats.org/officeDocument/2006/relationships/hyperlink" Target="https://en.wikipedia.org/wiki/Tennessee" TargetMode="External"/><Relationship Id="rId182" Type="http://schemas.openxmlformats.org/officeDocument/2006/relationships/hyperlink" Target="https://en.wikipedia.org/wiki/Memphis,_Tennessee" TargetMode="External"/><Relationship Id="rId181" Type="http://schemas.openxmlformats.org/officeDocument/2006/relationships/hyperlink" Target="https://en.wikipedia.org/wiki/FedExForum" TargetMode="External"/><Relationship Id="rId180" Type="http://schemas.openxmlformats.org/officeDocument/2006/relationships/hyperlink" Target="https://en.wikipedia.org/wiki/File:FedExForum.jpg" TargetMode="External"/><Relationship Id="rId176" Type="http://schemas.openxmlformats.org/officeDocument/2006/relationships/hyperlink" Target="https://en.wikipedia.org/wiki/PPG_Paints_Arena" TargetMode="External"/><Relationship Id="rId175" Type="http://schemas.openxmlformats.org/officeDocument/2006/relationships/hyperlink" Target="https://en.wikipedia.org/wiki/File:Consol_Energy_Center_March_2010.jpg" TargetMode="External"/><Relationship Id="rId174" Type="http://schemas.openxmlformats.org/officeDocument/2006/relationships/hyperlink" Target="https://en.wikipedia.org/wiki/Greater_Boston" TargetMode="External"/><Relationship Id="rId173" Type="http://schemas.openxmlformats.org/officeDocument/2006/relationships/hyperlink" Target="https://en.wikipedia.org/wiki/Boston_Bruins" TargetMode="External"/><Relationship Id="rId179" Type="http://schemas.openxmlformats.org/officeDocument/2006/relationships/hyperlink" Target="https://en.wikipedia.org/wiki/Pittsburgh_Penguins" TargetMode="External"/><Relationship Id="rId178" Type="http://schemas.openxmlformats.org/officeDocument/2006/relationships/hyperlink" Target="https://en.wikipedia.org/wiki/Pennsylvania" TargetMode="External"/><Relationship Id="rId177" Type="http://schemas.openxmlformats.org/officeDocument/2006/relationships/hyperlink" Target="https://en.wikipedia.org/wiki/Pittsburgh" TargetMode="External"/><Relationship Id="rId1910" Type="http://schemas.openxmlformats.org/officeDocument/2006/relationships/hyperlink" Target="https://en.wikipedia.org/wiki/Stopher_Gymnasium" TargetMode="External"/><Relationship Id="rId1911" Type="http://schemas.openxmlformats.org/officeDocument/2006/relationships/hyperlink" Target="https://en.wikipedia.org/wiki/Thibodaux,_Louisiana" TargetMode="External"/><Relationship Id="rId1912" Type="http://schemas.openxmlformats.org/officeDocument/2006/relationships/hyperlink" Target="https://en.wikipedia.org/wiki/Louisiana" TargetMode="External"/><Relationship Id="rId1913" Type="http://schemas.openxmlformats.org/officeDocument/2006/relationships/hyperlink" Target="https://en.wikipedia.org/wiki/Nicholls_Colonels" TargetMode="External"/><Relationship Id="rId1914" Type="http://schemas.openxmlformats.org/officeDocument/2006/relationships/hyperlink" Target="https://en.wikipedia.org/w/index.php?title=River%27s_Edge_Convention_Center&amp;action=edit&amp;redlink=1" TargetMode="External"/><Relationship Id="rId1915" Type="http://schemas.openxmlformats.org/officeDocument/2006/relationships/hyperlink" Target="https://en.wikipedia.org/wiki/St._Cloud,_Minnesota" TargetMode="External"/><Relationship Id="rId1916" Type="http://schemas.openxmlformats.org/officeDocument/2006/relationships/hyperlink" Target="https://en.wikipedia.org/wiki/Minnesota" TargetMode="External"/><Relationship Id="rId1917" Type="http://schemas.openxmlformats.org/officeDocument/2006/relationships/hyperlink" Target="https://en.wikipedia.org/w/index.php?title=Gray%27s_Harbor_County_Fair&amp;action=edit&amp;redlink=1" TargetMode="External"/><Relationship Id="rId1918" Type="http://schemas.openxmlformats.org/officeDocument/2006/relationships/hyperlink" Target="https://en.wikipedia.org/wiki/Elma,_Washington" TargetMode="External"/><Relationship Id="rId1919" Type="http://schemas.openxmlformats.org/officeDocument/2006/relationships/hyperlink" Target="https://en.wikipedia.org/wiki/Washington_(U.S._state)" TargetMode="External"/><Relationship Id="rId1900" Type="http://schemas.openxmlformats.org/officeDocument/2006/relationships/hyperlink" Target="https://en.wikipedia.org/w/index.php?title=Josephine_County_Fair&amp;action=edit&amp;redlink=1" TargetMode="External"/><Relationship Id="rId1901" Type="http://schemas.openxmlformats.org/officeDocument/2006/relationships/hyperlink" Target="https://en.wikipedia.org/wiki/Grants_Pass" TargetMode="External"/><Relationship Id="rId1902" Type="http://schemas.openxmlformats.org/officeDocument/2006/relationships/hyperlink" Target="https://en.wikipedia.org/wiki/Oregon" TargetMode="External"/><Relationship Id="rId1903" Type="http://schemas.openxmlformats.org/officeDocument/2006/relationships/hyperlink" Target="https://en.wikipedia.org/w/index.php?title=Hopkinsville_Sportsplex&amp;action=edit&amp;redlink=1" TargetMode="External"/><Relationship Id="rId1904" Type="http://schemas.openxmlformats.org/officeDocument/2006/relationships/hyperlink" Target="https://en.wikipedia.org/wiki/Hopkinsville,_Kentucky" TargetMode="External"/><Relationship Id="rId1905" Type="http://schemas.openxmlformats.org/officeDocument/2006/relationships/hyperlink" Target="https://en.wikipedia.org/wiki/Kentucky" TargetMode="External"/><Relationship Id="rId1906" Type="http://schemas.openxmlformats.org/officeDocument/2006/relationships/hyperlink" Target="https://en.wikipedia.org/wiki/Legacy_Park" TargetMode="External"/><Relationship Id="rId1907" Type="http://schemas.openxmlformats.org/officeDocument/2006/relationships/hyperlink" Target="https://en.wikipedia.org/wiki/Hurricane,_Utah" TargetMode="External"/><Relationship Id="rId1908" Type="http://schemas.openxmlformats.org/officeDocument/2006/relationships/hyperlink" Target="https://en.wikipedia.org/wiki/Utah" TargetMode="External"/><Relationship Id="rId1909" Type="http://schemas.openxmlformats.org/officeDocument/2006/relationships/hyperlink" Target="https://en.wikipedia.org/wiki/File:David_R._Stopher_Gymnasium_(Thibodaux,_Louisiana).jpg" TargetMode="External"/><Relationship Id="rId198" Type="http://schemas.openxmlformats.org/officeDocument/2006/relationships/hyperlink" Target="https://en.wikipedia.org/wiki/File:Chase_Center_-_East_Side_-_San_Francisco.jpg" TargetMode="External"/><Relationship Id="rId197" Type="http://schemas.openxmlformats.org/officeDocument/2006/relationships/hyperlink" Target="https://en.wikipedia.org/wiki/New_York_metropolitan_area" TargetMode="External"/><Relationship Id="rId196" Type="http://schemas.openxmlformats.org/officeDocument/2006/relationships/hyperlink" Target="https://en.wikipedia.org/wiki/New_Jersey_Devils" TargetMode="External"/><Relationship Id="rId195" Type="http://schemas.openxmlformats.org/officeDocument/2006/relationships/hyperlink" Target="https://en.wikipedia.org/wiki/New_Jersey" TargetMode="External"/><Relationship Id="rId199" Type="http://schemas.openxmlformats.org/officeDocument/2006/relationships/hyperlink" Target="https://en.wikipedia.org/wiki/Chase_Center" TargetMode="External"/><Relationship Id="rId150" Type="http://schemas.openxmlformats.org/officeDocument/2006/relationships/hyperlink" Target="https://en.wikipedia.org/wiki/California" TargetMode="External"/><Relationship Id="rId149" Type="http://schemas.openxmlformats.org/officeDocument/2006/relationships/hyperlink" Target="https://en.wikipedia.org/wiki/San_Jose,_California" TargetMode="External"/><Relationship Id="rId148" Type="http://schemas.openxmlformats.org/officeDocument/2006/relationships/hyperlink" Target="https://en.wikipedia.org/wiki/SAP_Center" TargetMode="External"/><Relationship Id="rId1090" Type="http://schemas.openxmlformats.org/officeDocument/2006/relationships/hyperlink" Target="https://en.wikipedia.org/wiki/Michigan" TargetMode="External"/><Relationship Id="rId1091" Type="http://schemas.openxmlformats.org/officeDocument/2006/relationships/hyperlink" Target="https://en.wikipedia.org/wiki/Saginaw_Spirit" TargetMode="External"/><Relationship Id="rId1092" Type="http://schemas.openxmlformats.org/officeDocument/2006/relationships/hyperlink" Target="https://en.wikipedia.org/wiki/Agricenter_Showplace_Arena" TargetMode="External"/><Relationship Id="rId1093" Type="http://schemas.openxmlformats.org/officeDocument/2006/relationships/hyperlink" Target="https://en.wikipedia.org/wiki/Memphis,_Tennessee" TargetMode="External"/><Relationship Id="rId1094" Type="http://schemas.openxmlformats.org/officeDocument/2006/relationships/hyperlink" Target="https://en.wikipedia.org/wiki/Tennessee" TargetMode="External"/><Relationship Id="rId143" Type="http://schemas.openxmlformats.org/officeDocument/2006/relationships/hyperlink" Target="https://en.wikipedia.org/wiki/Oakland_Arena" TargetMode="External"/><Relationship Id="rId1095" Type="http://schemas.openxmlformats.org/officeDocument/2006/relationships/hyperlink" Target="https://en.wikipedia.org/wiki/Memphis_metropolitan_area" TargetMode="External"/><Relationship Id="rId142" Type="http://schemas.openxmlformats.org/officeDocument/2006/relationships/hyperlink" Target="https://en.wikipedia.org/wiki/File:Theoraclearena.jpg" TargetMode="External"/><Relationship Id="rId1096" Type="http://schemas.openxmlformats.org/officeDocument/2006/relationships/hyperlink" Target="https://en.wikipedia.org/wiki/File:Dorton_Arena.jpg" TargetMode="External"/><Relationship Id="rId141" Type="http://schemas.openxmlformats.org/officeDocument/2006/relationships/hyperlink" Target="https://en.wikipedia.org/wiki/Columbus_Blue_Jackets" TargetMode="External"/><Relationship Id="rId1097" Type="http://schemas.openxmlformats.org/officeDocument/2006/relationships/hyperlink" Target="https://en.wikipedia.org/wiki/Dorton_Arena" TargetMode="External"/><Relationship Id="rId140" Type="http://schemas.openxmlformats.org/officeDocument/2006/relationships/hyperlink" Target="https://en.wikipedia.org/wiki/Ohio" TargetMode="External"/><Relationship Id="rId1098" Type="http://schemas.openxmlformats.org/officeDocument/2006/relationships/hyperlink" Target="https://en.wikipedia.org/wiki/Raleigh,_North_Carolina" TargetMode="External"/><Relationship Id="rId147" Type="http://schemas.openxmlformats.org/officeDocument/2006/relationships/hyperlink" Target="https://en.wikipedia.org/wiki/File:HP_Pavilion.jpg" TargetMode="External"/><Relationship Id="rId1099" Type="http://schemas.openxmlformats.org/officeDocument/2006/relationships/hyperlink" Target="https://en.wikipedia.org/wiki/North_Carolina" TargetMode="External"/><Relationship Id="rId146" Type="http://schemas.openxmlformats.org/officeDocument/2006/relationships/hyperlink" Target="https://en.wikipedia.org/wiki/Bay_Area" TargetMode="External"/><Relationship Id="rId145" Type="http://schemas.openxmlformats.org/officeDocument/2006/relationships/hyperlink" Target="https://en.wikipedia.org/wiki/California" TargetMode="External"/><Relationship Id="rId144" Type="http://schemas.openxmlformats.org/officeDocument/2006/relationships/hyperlink" Target="https://en.wikipedia.org/wiki/Oakland,_California" TargetMode="External"/><Relationship Id="rId139" Type="http://schemas.openxmlformats.org/officeDocument/2006/relationships/hyperlink" Target="https://en.wikipedia.org/wiki/Columbus,_Ohio" TargetMode="External"/><Relationship Id="rId138" Type="http://schemas.openxmlformats.org/officeDocument/2006/relationships/hyperlink" Target="https://en.wikipedia.org/wiki/Nationwide_Arena" TargetMode="External"/><Relationship Id="rId137" Type="http://schemas.openxmlformats.org/officeDocument/2006/relationships/hyperlink" Target="https://en.wikipedia.org/wiki/File:Columbus-ohio-nationwide-arena.jpg" TargetMode="External"/><Relationship Id="rId1080" Type="http://schemas.openxmlformats.org/officeDocument/2006/relationships/hyperlink" Target="https://en.wikipedia.org/wiki/Tennessee" TargetMode="External"/><Relationship Id="rId1081" Type="http://schemas.openxmlformats.org/officeDocument/2006/relationships/hyperlink" Target="https://en.wikipedia.org/wiki/Klamath_County_Event_Center" TargetMode="External"/><Relationship Id="rId1082" Type="http://schemas.openxmlformats.org/officeDocument/2006/relationships/hyperlink" Target="https://en.wikipedia.org/wiki/Altamont,_Oregon" TargetMode="External"/><Relationship Id="rId1083" Type="http://schemas.openxmlformats.org/officeDocument/2006/relationships/hyperlink" Target="https://en.wikipedia.org/wiki/Oregon" TargetMode="External"/><Relationship Id="rId132" Type="http://schemas.openxmlformats.org/officeDocument/2006/relationships/hyperlink" Target="https://en.wikipedia.org/wiki/File:WTN_EVula_053.jpg" TargetMode="External"/><Relationship Id="rId1084" Type="http://schemas.openxmlformats.org/officeDocument/2006/relationships/hyperlink" Target="https://en.wikipedia.org/wiki/Harrah%27s_Cherokee_Center" TargetMode="External"/><Relationship Id="rId131" Type="http://schemas.openxmlformats.org/officeDocument/2006/relationships/hyperlink" Target="https://en.wikipedia.org/wiki/Indiana_Pacers" TargetMode="External"/><Relationship Id="rId1085" Type="http://schemas.openxmlformats.org/officeDocument/2006/relationships/hyperlink" Target="https://en.wikipedia.org/wiki/Asheville,_North_Carolina" TargetMode="External"/><Relationship Id="rId130" Type="http://schemas.openxmlformats.org/officeDocument/2006/relationships/hyperlink" Target="https://en.wikipedia.org/wiki/Indiana" TargetMode="External"/><Relationship Id="rId1086" Type="http://schemas.openxmlformats.org/officeDocument/2006/relationships/hyperlink" Target="https://en.wikipedia.org/wiki/North_Carolina" TargetMode="External"/><Relationship Id="rId1087" Type="http://schemas.openxmlformats.org/officeDocument/2006/relationships/hyperlink" Target="https://en.wikipedia.org/wiki/File:The_Dow_Event_Center_at_night.jpg" TargetMode="External"/><Relationship Id="rId136" Type="http://schemas.openxmlformats.org/officeDocument/2006/relationships/hyperlink" Target="https://en.wikipedia.org/wiki/Nashville_Predators" TargetMode="External"/><Relationship Id="rId1088" Type="http://schemas.openxmlformats.org/officeDocument/2006/relationships/hyperlink" Target="https://en.wikipedia.org/wiki/Dow_Event_Center" TargetMode="External"/><Relationship Id="rId135" Type="http://schemas.openxmlformats.org/officeDocument/2006/relationships/hyperlink" Target="https://en.wikipedia.org/wiki/Tennessee" TargetMode="External"/><Relationship Id="rId1089" Type="http://schemas.openxmlformats.org/officeDocument/2006/relationships/hyperlink" Target="https://en.wikipedia.org/wiki/Saginaw,_Michigan" TargetMode="External"/><Relationship Id="rId134" Type="http://schemas.openxmlformats.org/officeDocument/2006/relationships/hyperlink" Target="https://en.wikipedia.org/wiki/Nashville,_Tennessee" TargetMode="External"/><Relationship Id="rId133" Type="http://schemas.openxmlformats.org/officeDocument/2006/relationships/hyperlink" Target="https://en.wikipedia.org/wiki/Bridgestone_Arena" TargetMode="External"/><Relationship Id="rId172" Type="http://schemas.openxmlformats.org/officeDocument/2006/relationships/hyperlink" Target="https://en.wikipedia.org/wiki/Massachusetts" TargetMode="External"/><Relationship Id="rId171" Type="http://schemas.openxmlformats.org/officeDocument/2006/relationships/hyperlink" Target="https://en.wikipedia.org/wiki/Boston" TargetMode="External"/><Relationship Id="rId170" Type="http://schemas.openxmlformats.org/officeDocument/2006/relationships/hyperlink" Target="https://en.wikipedia.org/wiki/TD_Garden" TargetMode="External"/><Relationship Id="rId165" Type="http://schemas.openxmlformats.org/officeDocument/2006/relationships/hyperlink" Target="https://en.wikipedia.org/wiki/Paycom_Center" TargetMode="External"/><Relationship Id="rId164" Type="http://schemas.openxmlformats.org/officeDocument/2006/relationships/hyperlink" Target="https://en.wikipedia.org/wiki/File:Chesapeake_Energy_Arena_2017.jpg" TargetMode="External"/><Relationship Id="rId163" Type="http://schemas.openxmlformats.org/officeDocument/2006/relationships/hyperlink" Target="https://en.wikipedia.org/wiki/Vegas_Golden_Knights" TargetMode="External"/><Relationship Id="rId162" Type="http://schemas.openxmlformats.org/officeDocument/2006/relationships/hyperlink" Target="https://en.wikipedia.org/wiki/Nevada" TargetMode="External"/><Relationship Id="rId169" Type="http://schemas.openxmlformats.org/officeDocument/2006/relationships/hyperlink" Target="https://en.wikipedia.org/wiki/File:TD_Garden_(crop).JPG" TargetMode="External"/><Relationship Id="rId168" Type="http://schemas.openxmlformats.org/officeDocument/2006/relationships/hyperlink" Target="https://en.wikipedia.org/wiki/Oklahoma_City_Thunder" TargetMode="External"/><Relationship Id="rId167" Type="http://schemas.openxmlformats.org/officeDocument/2006/relationships/hyperlink" Target="https://en.wikipedia.org/wiki/Oklahoma" TargetMode="External"/><Relationship Id="rId166" Type="http://schemas.openxmlformats.org/officeDocument/2006/relationships/hyperlink" Target="https://en.wikipedia.org/wiki/Oklahoma_City" TargetMode="External"/><Relationship Id="rId161" Type="http://schemas.openxmlformats.org/officeDocument/2006/relationships/hyperlink" Target="https://en.wikipedia.org/wiki/Paradise,_Nevada" TargetMode="External"/><Relationship Id="rId160" Type="http://schemas.openxmlformats.org/officeDocument/2006/relationships/hyperlink" Target="https://en.wikipedia.org/wiki/T-Mobile_Arena" TargetMode="External"/><Relationship Id="rId159" Type="http://schemas.openxmlformats.org/officeDocument/2006/relationships/hyperlink" Target="https://en.wikipedia.org/wiki/File:T-Mobile_Arena_Outside.jpg" TargetMode="External"/><Relationship Id="rId154" Type="http://schemas.openxmlformats.org/officeDocument/2006/relationships/hyperlink" Target="https://en.wikipedia.org/wiki/Crypto.com_Arena" TargetMode="External"/><Relationship Id="rId153" Type="http://schemas.openxmlformats.org/officeDocument/2006/relationships/hyperlink" Target="https://en.wikipedia.org/wiki/File:Staplescenter.jpg" TargetMode="External"/><Relationship Id="rId152" Type="http://schemas.openxmlformats.org/officeDocument/2006/relationships/hyperlink" Target="https://en.wikipedia.org/wiki/Bay_Area" TargetMode="External"/><Relationship Id="rId151" Type="http://schemas.openxmlformats.org/officeDocument/2006/relationships/hyperlink" Target="https://en.wikipedia.org/wiki/San_Jose_Sharks" TargetMode="External"/><Relationship Id="rId158" Type="http://schemas.openxmlformats.org/officeDocument/2006/relationships/hyperlink" Target="https://en.wikipedia.org/wiki/Greater_Los_Angeles" TargetMode="External"/><Relationship Id="rId157" Type="http://schemas.openxmlformats.org/officeDocument/2006/relationships/hyperlink" Target="https://en.wikipedia.org/wiki/Los_Angeles_Kings" TargetMode="External"/><Relationship Id="rId156" Type="http://schemas.openxmlformats.org/officeDocument/2006/relationships/hyperlink" Target="https://en.wikipedia.org/wiki/California" TargetMode="External"/><Relationship Id="rId155" Type="http://schemas.openxmlformats.org/officeDocument/2006/relationships/hyperlink" Target="https://en.wikipedia.org/wiki/Los_Angeles" TargetMode="External"/><Relationship Id="rId1972" Type="http://schemas.openxmlformats.org/officeDocument/2006/relationships/hyperlink" Target="https://en.wikipedia.org/wiki/New_York_(state)" TargetMode="External"/><Relationship Id="rId1973" Type="http://schemas.openxmlformats.org/officeDocument/2006/relationships/hyperlink" Target="https://en.wikipedia.org/wiki/New_York_metropolitan_area" TargetMode="External"/><Relationship Id="rId1974" Type="http://schemas.openxmlformats.org/officeDocument/2006/relationships/hyperlink" Target="https://en.wikipedia.org/wiki/Bonnie_Castle_Recreation_Center" TargetMode="External"/><Relationship Id="rId1975" Type="http://schemas.openxmlformats.org/officeDocument/2006/relationships/hyperlink" Target="https://en.wikipedia.org/wiki/Alexandria_Bay,_New_York" TargetMode="External"/><Relationship Id="rId1976" Type="http://schemas.openxmlformats.org/officeDocument/2006/relationships/hyperlink" Target="https://en.wikipedia.org/wiki/New_York_(state)" TargetMode="External"/><Relationship Id="rId1977" Type="http://schemas.openxmlformats.org/officeDocument/2006/relationships/hyperlink" Target="https://en.wikipedia.org/w/index.php?title=Washington_County_Convention_Center&amp;action=edit&amp;redlink=1" TargetMode="External"/><Relationship Id="rId1978" Type="http://schemas.openxmlformats.org/officeDocument/2006/relationships/hyperlink" Target="https://en.wikipedia.org/wiki/Greenville,_Mississippi" TargetMode="External"/><Relationship Id="rId1979" Type="http://schemas.openxmlformats.org/officeDocument/2006/relationships/hyperlink" Target="https://en.wikipedia.org/wiki/Mississippi" TargetMode="External"/><Relationship Id="rId1970" Type="http://schemas.openxmlformats.org/officeDocument/2006/relationships/hyperlink" Target="https://en.wikipedia.org/wiki/Mid-Hudson_Civic_Center" TargetMode="External"/><Relationship Id="rId1971" Type="http://schemas.openxmlformats.org/officeDocument/2006/relationships/hyperlink" Target="https://en.wikipedia.org/wiki/Poughkeepsie,_New_York" TargetMode="External"/><Relationship Id="rId1961" Type="http://schemas.openxmlformats.org/officeDocument/2006/relationships/hyperlink" Target="https://en.wikipedia.org/wiki/Thibodaux,_Louisiana" TargetMode="External"/><Relationship Id="rId1962" Type="http://schemas.openxmlformats.org/officeDocument/2006/relationships/hyperlink" Target="https://en.wikipedia.org/wiki/Louisiana" TargetMode="External"/><Relationship Id="rId1963" Type="http://schemas.openxmlformats.org/officeDocument/2006/relationships/hyperlink" Target="https://en.wikipedia.org/w/index.php?title=Baldwin_County_Coliseum&amp;action=edit&amp;redlink=1" TargetMode="External"/><Relationship Id="rId1964" Type="http://schemas.openxmlformats.org/officeDocument/2006/relationships/hyperlink" Target="https://en.wikipedia.org/wiki/Robertsdale,_Alabama" TargetMode="External"/><Relationship Id="rId1965" Type="http://schemas.openxmlformats.org/officeDocument/2006/relationships/hyperlink" Target="https://en.wikipedia.org/w/index.php?title=Alabama_(State)&amp;action=edit&amp;redlink=1" TargetMode="External"/><Relationship Id="rId1966" Type="http://schemas.openxmlformats.org/officeDocument/2006/relationships/hyperlink" Target="https://en.wikipedia.org/wiki/Northwest_Arena" TargetMode="External"/><Relationship Id="rId1967" Type="http://schemas.openxmlformats.org/officeDocument/2006/relationships/hyperlink" Target="https://en.wikipedia.org/wiki/Jamestown,_New_York" TargetMode="External"/><Relationship Id="rId1968" Type="http://schemas.openxmlformats.org/officeDocument/2006/relationships/hyperlink" Target="https://en.wikipedia.org/wiki/New_York_(state)" TargetMode="External"/><Relationship Id="rId1969" Type="http://schemas.openxmlformats.org/officeDocument/2006/relationships/hyperlink" Target="https://en.wikipedia.org/wiki/File:Mid-hudson-civic-center-2.jpg" TargetMode="External"/><Relationship Id="rId1960" Type="http://schemas.openxmlformats.org/officeDocument/2006/relationships/hyperlink" Target="https://en.wikipedia.org/wiki/Harang_Auditorium" TargetMode="External"/><Relationship Id="rId1510" Type="http://schemas.openxmlformats.org/officeDocument/2006/relationships/hyperlink" Target="https://en.wikipedia.org/wiki/Leesburg,_Virginia" TargetMode="External"/><Relationship Id="rId1994" Type="http://schemas.openxmlformats.org/officeDocument/2006/relationships/hyperlink" Target="https://en.wikipedia.org/wiki/Sanford_Pentagon" TargetMode="External"/><Relationship Id="rId1511" Type="http://schemas.openxmlformats.org/officeDocument/2006/relationships/hyperlink" Target="https://en.wikipedia.org/wiki/Virginia" TargetMode="External"/><Relationship Id="rId1995" Type="http://schemas.openxmlformats.org/officeDocument/2006/relationships/hyperlink" Target="https://en.wikipedia.org/wiki/Sioux_Falls,_South_Dakota" TargetMode="External"/><Relationship Id="rId1512" Type="http://schemas.openxmlformats.org/officeDocument/2006/relationships/hyperlink" Target="https://en.wikipedia.org/wiki/Washington%E2%80%93Baltimore_metropolitan_area" TargetMode="External"/><Relationship Id="rId1996" Type="http://schemas.openxmlformats.org/officeDocument/2006/relationships/hyperlink" Target="https://en.wikipedia.org/wiki/South_Dakota" TargetMode="External"/><Relationship Id="rId1513" Type="http://schemas.openxmlformats.org/officeDocument/2006/relationships/hyperlink" Target="https://en.wikipedia.org/w/index.php?title=Buffalo_County_Fair&amp;action=edit&amp;redlink=1" TargetMode="External"/><Relationship Id="rId1997" Type="http://schemas.openxmlformats.org/officeDocument/2006/relationships/hyperlink" Target="https://en.wikipedia.org/wiki/Sioux_Falls_Skyforce" TargetMode="External"/><Relationship Id="rId1514" Type="http://schemas.openxmlformats.org/officeDocument/2006/relationships/hyperlink" Target="https://en.wikipedia.org/wiki/Kearney,_Nebraska" TargetMode="External"/><Relationship Id="rId1998" Type="http://schemas.openxmlformats.org/officeDocument/2006/relationships/hyperlink" Target="https://en.wikipedia.org/wiki/War_Memorial_Stadium_(Wailuku,_Hawaii)" TargetMode="External"/><Relationship Id="rId1515" Type="http://schemas.openxmlformats.org/officeDocument/2006/relationships/hyperlink" Target="https://en.wikipedia.org/wiki/Nebraska" TargetMode="External"/><Relationship Id="rId1999" Type="http://schemas.openxmlformats.org/officeDocument/2006/relationships/hyperlink" Target="https://en.wikipedia.org/wiki/Wailuku,_Hawaii" TargetMode="External"/><Relationship Id="rId1516" Type="http://schemas.openxmlformats.org/officeDocument/2006/relationships/hyperlink" Target="https://en.wikipedia.org/wiki/Veterans_Memorial_Coliseum_(Marion,_Ohio)" TargetMode="External"/><Relationship Id="rId1517" Type="http://schemas.openxmlformats.org/officeDocument/2006/relationships/hyperlink" Target="https://en.wikipedia.org/wiki/Marion,_Ohio" TargetMode="External"/><Relationship Id="rId1518" Type="http://schemas.openxmlformats.org/officeDocument/2006/relationships/hyperlink" Target="https://en.wikipedia.org/wiki/Ohio" TargetMode="External"/><Relationship Id="rId1519" Type="http://schemas.openxmlformats.org/officeDocument/2006/relationships/hyperlink" Target="https://en.wikipedia.org/wiki/File:Oakland_Civic_Auditorium_circa_1917_(kt7199q9d0-z122).jpg" TargetMode="External"/><Relationship Id="rId1990" Type="http://schemas.openxmlformats.org/officeDocument/2006/relationships/hyperlink" Target="https://en.wikipedia.org/wiki/Florida" TargetMode="External"/><Relationship Id="rId1991" Type="http://schemas.openxmlformats.org/officeDocument/2006/relationships/hyperlink" Target="https://en.wikipedia.org/wiki/Wells_Fargo_Arena_(Dothan,_Alabama)" TargetMode="External"/><Relationship Id="rId1992" Type="http://schemas.openxmlformats.org/officeDocument/2006/relationships/hyperlink" Target="https://en.wikipedia.org/wiki/Dothan,_Alabama" TargetMode="External"/><Relationship Id="rId1993" Type="http://schemas.openxmlformats.org/officeDocument/2006/relationships/hyperlink" Target="https://en.wikipedia.org/wiki/Alabama" TargetMode="External"/><Relationship Id="rId1983" Type="http://schemas.openxmlformats.org/officeDocument/2006/relationships/hyperlink" Target="https://en.wikipedia.org/wiki/Iowa" TargetMode="External"/><Relationship Id="rId1500" Type="http://schemas.openxmlformats.org/officeDocument/2006/relationships/hyperlink" Target="https://en.wikipedia.org/wiki/McAllen,_Texas" TargetMode="External"/><Relationship Id="rId1984" Type="http://schemas.openxmlformats.org/officeDocument/2006/relationships/hyperlink" Target="https://en.wikipedia.org/wiki/Des_Moines_Buccaneers" TargetMode="External"/><Relationship Id="rId1501" Type="http://schemas.openxmlformats.org/officeDocument/2006/relationships/hyperlink" Target="https://en.wikipedia.org/wiki/Texas" TargetMode="External"/><Relationship Id="rId1985" Type="http://schemas.openxmlformats.org/officeDocument/2006/relationships/hyperlink" Target="https://en.wikipedia.org/w/index.php?title=World_Equestrian_Center&amp;action=edit&amp;redlink=1" TargetMode="External"/><Relationship Id="rId1502" Type="http://schemas.openxmlformats.org/officeDocument/2006/relationships/hyperlink" Target="https://en.wikipedia.org/wiki/Utz_Arena" TargetMode="External"/><Relationship Id="rId1986" Type="http://schemas.openxmlformats.org/officeDocument/2006/relationships/hyperlink" Target="https://en.wikipedia.org/wiki/Ocala" TargetMode="External"/><Relationship Id="rId1503" Type="http://schemas.openxmlformats.org/officeDocument/2006/relationships/hyperlink" Target="https://en.wikipedia.org/wiki/York,_Pennsylvania" TargetMode="External"/><Relationship Id="rId1987" Type="http://schemas.openxmlformats.org/officeDocument/2006/relationships/hyperlink" Target="https://en.wikipedia.org/wiki/Florida" TargetMode="External"/><Relationship Id="rId1504" Type="http://schemas.openxmlformats.org/officeDocument/2006/relationships/hyperlink" Target="https://en.wikipedia.org/wiki/Pennsylvania" TargetMode="External"/><Relationship Id="rId1988" Type="http://schemas.openxmlformats.org/officeDocument/2006/relationships/hyperlink" Target="https://en.wikipedia.org/wiki/Kissimmee_Civic_Center" TargetMode="External"/><Relationship Id="rId1505" Type="http://schemas.openxmlformats.org/officeDocument/2006/relationships/hyperlink" Target="https://en.wikipedia.org/wiki/United_Wireless_Arena" TargetMode="External"/><Relationship Id="rId1989" Type="http://schemas.openxmlformats.org/officeDocument/2006/relationships/hyperlink" Target="https://en.wikipedia.org/wiki/Kissimmee" TargetMode="External"/><Relationship Id="rId1506" Type="http://schemas.openxmlformats.org/officeDocument/2006/relationships/hyperlink" Target="https://en.wikipedia.org/wiki/Dodge_City,_Kansas" TargetMode="External"/><Relationship Id="rId1507" Type="http://schemas.openxmlformats.org/officeDocument/2006/relationships/hyperlink" Target="https://en.wikipedia.org/wiki/Kansas" TargetMode="External"/><Relationship Id="rId1508" Type="http://schemas.openxmlformats.org/officeDocument/2006/relationships/hyperlink" Target="https://en.wikipedia.org/wiki/Dodge_City_Law" TargetMode="External"/><Relationship Id="rId1509" Type="http://schemas.openxmlformats.org/officeDocument/2006/relationships/hyperlink" Target="https://en.wikipedia.org/w/index.php?title=ION_International_Training_Center&amp;action=edit&amp;redlink=1" TargetMode="External"/><Relationship Id="rId1980" Type="http://schemas.openxmlformats.org/officeDocument/2006/relationships/hyperlink" Target="https://en.wikipedia.org/wiki/File:95KGGO_Arena.jpg" TargetMode="External"/><Relationship Id="rId1981" Type="http://schemas.openxmlformats.org/officeDocument/2006/relationships/hyperlink" Target="https://en.wikipedia.org/wiki/Buccaneer_Arena" TargetMode="External"/><Relationship Id="rId1982" Type="http://schemas.openxmlformats.org/officeDocument/2006/relationships/hyperlink" Target="https://en.wikipedia.org/wiki/Urbandale,_Iowa" TargetMode="External"/><Relationship Id="rId1930" Type="http://schemas.openxmlformats.org/officeDocument/2006/relationships/hyperlink" Target="https://en.wikipedia.org/wiki/Oklahoma" TargetMode="External"/><Relationship Id="rId1931" Type="http://schemas.openxmlformats.org/officeDocument/2006/relationships/hyperlink" Target="https://en.wikipedia.org/wiki/Fantasy_Springs_Casino" TargetMode="External"/><Relationship Id="rId1932" Type="http://schemas.openxmlformats.org/officeDocument/2006/relationships/hyperlink" Target="https://en.wikipedia.org/wiki/Indio,_California" TargetMode="External"/><Relationship Id="rId1933" Type="http://schemas.openxmlformats.org/officeDocument/2006/relationships/hyperlink" Target="https://en.wikipedia.org/wiki/California" TargetMode="External"/><Relationship Id="rId1934" Type="http://schemas.openxmlformats.org/officeDocument/2006/relationships/hyperlink" Target="https://en.wikipedia.org/wiki/Visalia_Convention_Center" TargetMode="External"/><Relationship Id="rId1935" Type="http://schemas.openxmlformats.org/officeDocument/2006/relationships/hyperlink" Target="https://en.wikipedia.org/wiki/Visalia,_California" TargetMode="External"/><Relationship Id="rId1936" Type="http://schemas.openxmlformats.org/officeDocument/2006/relationships/hyperlink" Target="https://en.wikipedia.org/wiki/California" TargetMode="External"/><Relationship Id="rId1937" Type="http://schemas.openxmlformats.org/officeDocument/2006/relationships/hyperlink" Target="https://en.wikipedia.org/wiki/Ozark_Civic_Center" TargetMode="External"/><Relationship Id="rId1938" Type="http://schemas.openxmlformats.org/officeDocument/2006/relationships/hyperlink" Target="https://en.wikipedia.org/wiki/Ozark,_Alabama" TargetMode="External"/><Relationship Id="rId1939" Type="http://schemas.openxmlformats.org/officeDocument/2006/relationships/hyperlink" Target="https://en.wikipedia.org/wiki/Alabama" TargetMode="External"/><Relationship Id="rId1920" Type="http://schemas.openxmlformats.org/officeDocument/2006/relationships/hyperlink" Target="https://en.wikipedia.org/w/index.php?title=Maine_Sports_Arena&amp;action=edit&amp;redlink=1" TargetMode="External"/><Relationship Id="rId1921" Type="http://schemas.openxmlformats.org/officeDocument/2006/relationships/hyperlink" Target="https://en.wikipedia.org/wiki/Saco,_Maine" TargetMode="External"/><Relationship Id="rId1922" Type="http://schemas.openxmlformats.org/officeDocument/2006/relationships/hyperlink" Target="https://en.wikipedia.org/wiki/Maine" TargetMode="External"/><Relationship Id="rId1923" Type="http://schemas.openxmlformats.org/officeDocument/2006/relationships/hyperlink" Target="https://en.wikipedia.org/wiki/File:KennerPontchartrainCenter5.JPG" TargetMode="External"/><Relationship Id="rId1924" Type="http://schemas.openxmlformats.org/officeDocument/2006/relationships/hyperlink" Target="https://en.wikipedia.org/wiki/Pontchartrain_Center" TargetMode="External"/><Relationship Id="rId1925" Type="http://schemas.openxmlformats.org/officeDocument/2006/relationships/hyperlink" Target="https://en.wikipedia.org/wiki/Kenner,_Louisiana" TargetMode="External"/><Relationship Id="rId1926" Type="http://schemas.openxmlformats.org/officeDocument/2006/relationships/hyperlink" Target="https://en.wikipedia.org/wiki/Louisiana" TargetMode="External"/><Relationship Id="rId1927" Type="http://schemas.openxmlformats.org/officeDocument/2006/relationships/hyperlink" Target="https://en.wikipedia.org/wiki/Greater_New_Orleans" TargetMode="External"/><Relationship Id="rId1928" Type="http://schemas.openxmlformats.org/officeDocument/2006/relationships/hyperlink" Target="https://en.wikipedia.org/w/index.php?title=Muskogee_Civic_Center&amp;action=edit&amp;redlink=1" TargetMode="External"/><Relationship Id="rId1929" Type="http://schemas.openxmlformats.org/officeDocument/2006/relationships/hyperlink" Target="https://en.wikipedia.org/wiki/Muskogee,_Oklahoma" TargetMode="External"/><Relationship Id="rId1950" Type="http://schemas.openxmlformats.org/officeDocument/2006/relationships/hyperlink" Target="https://en.wikipedia.org/wiki/Myrtle_Beach" TargetMode="External"/><Relationship Id="rId1951" Type="http://schemas.openxmlformats.org/officeDocument/2006/relationships/hyperlink" Target="https://en.wikipedia.org/wiki/South_Carolina" TargetMode="External"/><Relationship Id="rId1952" Type="http://schemas.openxmlformats.org/officeDocument/2006/relationships/hyperlink" Target="https://en.wikipedia.org/wiki/Ho%CA%BBolulu_Park" TargetMode="External"/><Relationship Id="rId1953" Type="http://schemas.openxmlformats.org/officeDocument/2006/relationships/hyperlink" Target="https://en.wikipedia.org/wiki/Hilo,_Hawaii" TargetMode="External"/><Relationship Id="rId1954" Type="http://schemas.openxmlformats.org/officeDocument/2006/relationships/hyperlink" Target="https://en.wikipedia.org/wiki/Hawaii" TargetMode="External"/><Relationship Id="rId1955" Type="http://schemas.openxmlformats.org/officeDocument/2006/relationships/hyperlink" Target="https://en.wikipedia.org/wiki/University_of_Hawaii_at_Hilo" TargetMode="External"/><Relationship Id="rId1956" Type="http://schemas.openxmlformats.org/officeDocument/2006/relationships/hyperlink" Target="https://en.wikipedia.org/wiki/Equidome" TargetMode="External"/><Relationship Id="rId1957" Type="http://schemas.openxmlformats.org/officeDocument/2006/relationships/hyperlink" Target="https://en.wikipedia.org/wiki/Burbank,_California" TargetMode="External"/><Relationship Id="rId1958" Type="http://schemas.openxmlformats.org/officeDocument/2006/relationships/hyperlink" Target="https://en.wikipedia.org/wiki/California" TargetMode="External"/><Relationship Id="rId1959" Type="http://schemas.openxmlformats.org/officeDocument/2006/relationships/hyperlink" Target="https://en.wikipedia.org/wiki/File:Warren_J._Harang_Jr._Municipal_Auditorium_(Thibodaux,_Louisiana).jpg" TargetMode="External"/><Relationship Id="rId1940" Type="http://schemas.openxmlformats.org/officeDocument/2006/relationships/hyperlink" Target="https://en.wikipedia.org/w/index.php?title=Benton_County_Fair&amp;action=edit&amp;redlink=1" TargetMode="External"/><Relationship Id="rId1941" Type="http://schemas.openxmlformats.org/officeDocument/2006/relationships/hyperlink" Target="https://en.wikipedia.org/wiki/Corvallis,_Oregon" TargetMode="External"/><Relationship Id="rId1942" Type="http://schemas.openxmlformats.org/officeDocument/2006/relationships/hyperlink" Target="https://en.wikipedia.org/wiki/Oregon" TargetMode="External"/><Relationship Id="rId1943" Type="http://schemas.openxmlformats.org/officeDocument/2006/relationships/hyperlink" Target="https://en.wikipedia.org/w/index.php?title=Walla_Walla_County_Fair&amp;action=edit&amp;redlink=1" TargetMode="External"/><Relationship Id="rId1944" Type="http://schemas.openxmlformats.org/officeDocument/2006/relationships/hyperlink" Target="https://en.wikipedia.org/wiki/Walla_Walla,_Washington" TargetMode="External"/><Relationship Id="rId1945" Type="http://schemas.openxmlformats.org/officeDocument/2006/relationships/hyperlink" Target="https://en.wikipedia.org/wiki/Washington_(U.S._state)" TargetMode="External"/><Relationship Id="rId1946" Type="http://schemas.openxmlformats.org/officeDocument/2006/relationships/hyperlink" Target="https://en.wikipedia.org/w/index.php?title=Pape_Machinery_Arena&amp;action=edit&amp;redlink=1" TargetMode="External"/><Relationship Id="rId1947" Type="http://schemas.openxmlformats.org/officeDocument/2006/relationships/hyperlink" Target="https://en.wikipedia.org/wiki/Lynden,_Washington" TargetMode="External"/><Relationship Id="rId1948" Type="http://schemas.openxmlformats.org/officeDocument/2006/relationships/hyperlink" Target="https://en.wikipedia.org/wiki/Washington_(U.S._state)" TargetMode="External"/><Relationship Id="rId1949" Type="http://schemas.openxmlformats.org/officeDocument/2006/relationships/hyperlink" Target="https://en.wikipedia.org/wiki/Myrtle_Beach_Convention_Center" TargetMode="External"/><Relationship Id="rId1576" Type="http://schemas.openxmlformats.org/officeDocument/2006/relationships/hyperlink" Target="https://en.wikipedia.org/wiki/El_Reno" TargetMode="External"/><Relationship Id="rId1577" Type="http://schemas.openxmlformats.org/officeDocument/2006/relationships/hyperlink" Target="https://en.wikipedia.org/wiki/Oklahoma" TargetMode="External"/><Relationship Id="rId1578" Type="http://schemas.openxmlformats.org/officeDocument/2006/relationships/hyperlink" Target="https://en.wikipedia.org/wiki/Edwards_Hall" TargetMode="External"/><Relationship Id="rId1579" Type="http://schemas.openxmlformats.org/officeDocument/2006/relationships/hyperlink" Target="https://en.wikipedia.org/wiki/Miami" TargetMode="External"/><Relationship Id="rId509" Type="http://schemas.openxmlformats.org/officeDocument/2006/relationships/hyperlink" Target="https://en.wikipedia.org/wiki/File:Peoria_Civic_Center.JPG" TargetMode="External"/><Relationship Id="rId508" Type="http://schemas.openxmlformats.org/officeDocument/2006/relationships/hyperlink" Target="https://en.wikipedia.org/wiki/Hershey_Bears" TargetMode="External"/><Relationship Id="rId503" Type="http://schemas.openxmlformats.org/officeDocument/2006/relationships/hyperlink" Target="https://en.wikipedia.org/wiki/Charlotte_Checkers" TargetMode="External"/><Relationship Id="rId987" Type="http://schemas.openxmlformats.org/officeDocument/2006/relationships/hyperlink" Target="https://en.wikipedia.org/wiki/Allen_Americans" TargetMode="External"/><Relationship Id="rId502" Type="http://schemas.openxmlformats.org/officeDocument/2006/relationships/hyperlink" Target="https://en.wikipedia.org/wiki/North_Carolina" TargetMode="External"/><Relationship Id="rId986" Type="http://schemas.openxmlformats.org/officeDocument/2006/relationships/hyperlink" Target="https://en.wikipedia.org/wiki/Texas" TargetMode="External"/><Relationship Id="rId501" Type="http://schemas.openxmlformats.org/officeDocument/2006/relationships/hyperlink" Target="https://en.wikipedia.org/wiki/Charlotte,_North_Carolina" TargetMode="External"/><Relationship Id="rId985" Type="http://schemas.openxmlformats.org/officeDocument/2006/relationships/hyperlink" Target="https://en.wikipedia.org/wiki/Allen,_Texas" TargetMode="External"/><Relationship Id="rId500" Type="http://schemas.openxmlformats.org/officeDocument/2006/relationships/hyperlink" Target="https://en.wikipedia.org/wiki/Bojangles%27_Coliseum" TargetMode="External"/><Relationship Id="rId984" Type="http://schemas.openxmlformats.org/officeDocument/2006/relationships/hyperlink" Target="https://en.wikipedia.org/wiki/Allen_Event_Center" TargetMode="External"/><Relationship Id="rId507" Type="http://schemas.openxmlformats.org/officeDocument/2006/relationships/hyperlink" Target="https://en.wikipedia.org/wiki/Pennsylvania" TargetMode="External"/><Relationship Id="rId506" Type="http://schemas.openxmlformats.org/officeDocument/2006/relationships/hyperlink" Target="https://en.wikipedia.org/wiki/Hershey,_Pennsylvania" TargetMode="External"/><Relationship Id="rId505" Type="http://schemas.openxmlformats.org/officeDocument/2006/relationships/hyperlink" Target="https://en.wikipedia.org/wiki/Giant_Center" TargetMode="External"/><Relationship Id="rId989" Type="http://schemas.openxmlformats.org/officeDocument/2006/relationships/hyperlink" Target="https://en.wikipedia.org/wiki/AdventHealth_Arena" TargetMode="External"/><Relationship Id="rId504" Type="http://schemas.openxmlformats.org/officeDocument/2006/relationships/hyperlink" Target="https://en.wikipedia.org/wiki/File:GIANT_Center.PNG" TargetMode="External"/><Relationship Id="rId988" Type="http://schemas.openxmlformats.org/officeDocument/2006/relationships/hyperlink" Target="https://en.wikipedia.org/wiki/Dallas%E2%80%93Fort_Worth_metroplex" TargetMode="External"/><Relationship Id="rId1570" Type="http://schemas.openxmlformats.org/officeDocument/2006/relationships/hyperlink" Target="https://en.wikipedia.org/wiki/Greensboro,_North_Carolina" TargetMode="External"/><Relationship Id="rId1571" Type="http://schemas.openxmlformats.org/officeDocument/2006/relationships/hyperlink" Target="https://en.wikipedia.org/wiki/North_Carolina" TargetMode="External"/><Relationship Id="rId983" Type="http://schemas.openxmlformats.org/officeDocument/2006/relationships/hyperlink" Target="https://en.wikipedia.org/wiki/File:Allen_Event_Center_-_23_February_2013.jpg" TargetMode="External"/><Relationship Id="rId1572" Type="http://schemas.openxmlformats.org/officeDocument/2006/relationships/hyperlink" Target="https://en.wikipedia.org/wiki/Forrest_County_Multipurpose_Center" TargetMode="External"/><Relationship Id="rId982" Type="http://schemas.openxmlformats.org/officeDocument/2006/relationships/hyperlink" Target="https://en.wikipedia.org/wiki/New_Mexico" TargetMode="External"/><Relationship Id="rId1573" Type="http://schemas.openxmlformats.org/officeDocument/2006/relationships/hyperlink" Target="https://en.wikipedia.org/wiki/Hattiesburg,_Mississippi" TargetMode="External"/><Relationship Id="rId981" Type="http://schemas.openxmlformats.org/officeDocument/2006/relationships/hyperlink" Target="https://en.wikipedia.org/wiki/Farmington,_New_Mexico" TargetMode="External"/><Relationship Id="rId1574" Type="http://schemas.openxmlformats.org/officeDocument/2006/relationships/hyperlink" Target="https://en.wikipedia.org/wiki/Mississippi" TargetMode="External"/><Relationship Id="rId980" Type="http://schemas.openxmlformats.org/officeDocument/2006/relationships/hyperlink" Target="https://en.wikipedia.org/wiki/McGee_Park" TargetMode="External"/><Relationship Id="rId1575" Type="http://schemas.openxmlformats.org/officeDocument/2006/relationships/hyperlink" Target="https://en.wikipedia.org/w/index.php?title=Canadian_County_Expo_Center&amp;action=edit&amp;redlink=1" TargetMode="External"/><Relationship Id="rId1565" Type="http://schemas.openxmlformats.org/officeDocument/2006/relationships/hyperlink" Target="https://en.wikipedia.org/wiki/Motor_City_Rockers" TargetMode="External"/><Relationship Id="rId1566" Type="http://schemas.openxmlformats.org/officeDocument/2006/relationships/hyperlink" Target="https://en.wikipedia.org/w/index.php?title=Sunnyview_Expo_Center&amp;action=edit&amp;redlink=1" TargetMode="External"/><Relationship Id="rId1567" Type="http://schemas.openxmlformats.org/officeDocument/2006/relationships/hyperlink" Target="https://en.wikipedia.org/wiki/Oshkosh,_Wisconsin" TargetMode="External"/><Relationship Id="rId1568" Type="http://schemas.openxmlformats.org/officeDocument/2006/relationships/hyperlink" Target="https://en.wikipedia.org/wiki/Wisconsin" TargetMode="External"/><Relationship Id="rId1569" Type="http://schemas.openxmlformats.org/officeDocument/2006/relationships/hyperlink" Target="https://en.wikipedia.org/wiki/Greensboro_Coliseum_Complex" TargetMode="External"/><Relationship Id="rId976" Type="http://schemas.openxmlformats.org/officeDocument/2006/relationships/hyperlink" Target="https://en.wikipedia.org/wiki/MassMutual_Center" TargetMode="External"/><Relationship Id="rId975" Type="http://schemas.openxmlformats.org/officeDocument/2006/relationships/hyperlink" Target="https://en.wikipedia.org/wiki/File:Mass_Mutual_Center,_Springfield_MA.jpg" TargetMode="External"/><Relationship Id="rId974" Type="http://schemas.openxmlformats.org/officeDocument/2006/relationships/hyperlink" Target="https://en.wikipedia.org/wiki/Minnesota_State_Mavericks" TargetMode="External"/><Relationship Id="rId973" Type="http://schemas.openxmlformats.org/officeDocument/2006/relationships/hyperlink" Target="https://en.wikipedia.org/wiki/Minnesota" TargetMode="External"/><Relationship Id="rId979" Type="http://schemas.openxmlformats.org/officeDocument/2006/relationships/hyperlink" Target="https://en.wikipedia.org/wiki/Springfield_Thunderbirds" TargetMode="External"/><Relationship Id="rId978" Type="http://schemas.openxmlformats.org/officeDocument/2006/relationships/hyperlink" Target="https://en.wikipedia.org/wiki/Massachusetts" TargetMode="External"/><Relationship Id="rId977" Type="http://schemas.openxmlformats.org/officeDocument/2006/relationships/hyperlink" Target="https://en.wikipedia.org/wiki/Springfield,_Massachusetts" TargetMode="External"/><Relationship Id="rId1560" Type="http://schemas.openxmlformats.org/officeDocument/2006/relationships/hyperlink" Target="https://en.wikipedia.org/wiki/Canton,_Ohio" TargetMode="External"/><Relationship Id="rId972" Type="http://schemas.openxmlformats.org/officeDocument/2006/relationships/hyperlink" Target="https://en.wikipedia.org/wiki/Mankato,_Minnesota" TargetMode="External"/><Relationship Id="rId1561" Type="http://schemas.openxmlformats.org/officeDocument/2006/relationships/hyperlink" Target="https://en.wikipedia.org/wiki/Ohio" TargetMode="External"/><Relationship Id="rId971" Type="http://schemas.openxmlformats.org/officeDocument/2006/relationships/hyperlink" Target="https://en.wikipedia.org/wiki/Mayo_Clinic_Health_System_Event_Center" TargetMode="External"/><Relationship Id="rId1562" Type="http://schemas.openxmlformats.org/officeDocument/2006/relationships/hyperlink" Target="https://en.wikipedia.org/wiki/Fraser_Hockeyland" TargetMode="External"/><Relationship Id="rId970" Type="http://schemas.openxmlformats.org/officeDocument/2006/relationships/hyperlink" Target="https://en.wikipedia.org/wiki/File:Verizon_Wireless_Center.jpg" TargetMode="External"/><Relationship Id="rId1563" Type="http://schemas.openxmlformats.org/officeDocument/2006/relationships/hyperlink" Target="https://en.wikipedia.org/wiki/Fraser,_Michigan" TargetMode="External"/><Relationship Id="rId1564" Type="http://schemas.openxmlformats.org/officeDocument/2006/relationships/hyperlink" Target="https://en.wikipedia.org/wiki/Michigan" TargetMode="External"/><Relationship Id="rId1114" Type="http://schemas.openxmlformats.org/officeDocument/2006/relationships/hyperlink" Target="https://en.wikipedia.org/wiki/New_York_(state)" TargetMode="External"/><Relationship Id="rId1598" Type="http://schemas.openxmlformats.org/officeDocument/2006/relationships/hyperlink" Target="https://en.wikipedia.org/wiki/Hampton_Roads" TargetMode="External"/><Relationship Id="rId1115" Type="http://schemas.openxmlformats.org/officeDocument/2006/relationships/hyperlink" Target="https://en.wikipedia.org/wiki/Adirondack_Thunder" TargetMode="External"/><Relationship Id="rId1599" Type="http://schemas.openxmlformats.org/officeDocument/2006/relationships/hyperlink" Target="https://en.wikipedia.org/wiki/Island_Grove" TargetMode="External"/><Relationship Id="rId1116" Type="http://schemas.openxmlformats.org/officeDocument/2006/relationships/hyperlink" Target="https://en.wikipedia.org/wiki/Butte_Civic_Center" TargetMode="External"/><Relationship Id="rId1117" Type="http://schemas.openxmlformats.org/officeDocument/2006/relationships/hyperlink" Target="https://en.wikipedia.org/wiki/Butte,_Montana" TargetMode="External"/><Relationship Id="rId1118" Type="http://schemas.openxmlformats.org/officeDocument/2006/relationships/hyperlink" Target="https://en.wikipedia.org/wiki/Montana" TargetMode="External"/><Relationship Id="rId1119" Type="http://schemas.openxmlformats.org/officeDocument/2006/relationships/hyperlink" Target="https://en.wikipedia.org/wiki/File:Houston_Convention_Center_Exterior_1.jpg" TargetMode="External"/><Relationship Id="rId525" Type="http://schemas.openxmlformats.org/officeDocument/2006/relationships/hyperlink" Target="https://en.wikipedia.org/wiki/Lincoln,_Nebraska" TargetMode="External"/><Relationship Id="rId524" Type="http://schemas.openxmlformats.org/officeDocument/2006/relationships/hyperlink" Target="https://en.wikipedia.org/wiki/Lancaster_Event_Center" TargetMode="External"/><Relationship Id="rId523" Type="http://schemas.openxmlformats.org/officeDocument/2006/relationships/hyperlink" Target="https://en.wikipedia.org/wiki/Fort_Wayne_Komets" TargetMode="External"/><Relationship Id="rId522" Type="http://schemas.openxmlformats.org/officeDocument/2006/relationships/hyperlink" Target="https://en.wikipedia.org/wiki/Indiana" TargetMode="External"/><Relationship Id="rId529" Type="http://schemas.openxmlformats.org/officeDocument/2006/relationships/hyperlink" Target="https://en.wikipedia.org/wiki/Moline,_Illinois" TargetMode="External"/><Relationship Id="rId528" Type="http://schemas.openxmlformats.org/officeDocument/2006/relationships/hyperlink" Target="https://en.wikipedia.org/wiki/TaxSlayer_Center" TargetMode="External"/><Relationship Id="rId527" Type="http://schemas.openxmlformats.org/officeDocument/2006/relationships/hyperlink" Target="https://en.wikipedia.org/wiki/File:TaxSlayer_Center_01.jpg" TargetMode="External"/><Relationship Id="rId526" Type="http://schemas.openxmlformats.org/officeDocument/2006/relationships/hyperlink" Target="https://en.wikipedia.org/wiki/Nebraska" TargetMode="External"/><Relationship Id="rId1590" Type="http://schemas.openxmlformats.org/officeDocument/2006/relationships/hyperlink" Target="https://en.wikipedia.org/wiki/New_Jersey" TargetMode="External"/><Relationship Id="rId1591" Type="http://schemas.openxmlformats.org/officeDocument/2006/relationships/hyperlink" Target="https://en.wikipedia.org/wiki/New_York_metropolitan_area" TargetMode="External"/><Relationship Id="rId1592" Type="http://schemas.openxmlformats.org/officeDocument/2006/relationships/hyperlink" Target="https://en.wikipedia.org/wiki/Americraft_Expo_Center" TargetMode="External"/><Relationship Id="rId1593" Type="http://schemas.openxmlformats.org/officeDocument/2006/relationships/hyperlink" Target="https://en.wikipedia.org/wiki/West_Palm_Beach,_Florida" TargetMode="External"/><Relationship Id="rId521" Type="http://schemas.openxmlformats.org/officeDocument/2006/relationships/hyperlink" Target="https://en.wikipedia.org/wiki/Fort_Wayne,_Indiana" TargetMode="External"/><Relationship Id="rId1110" Type="http://schemas.openxmlformats.org/officeDocument/2006/relationships/hyperlink" Target="https://en.wikipedia.org/wiki/Salina,_Kansas" TargetMode="External"/><Relationship Id="rId1594" Type="http://schemas.openxmlformats.org/officeDocument/2006/relationships/hyperlink" Target="https://en.wikipedia.org/wiki/Florida" TargetMode="External"/><Relationship Id="rId520" Type="http://schemas.openxmlformats.org/officeDocument/2006/relationships/hyperlink" Target="https://en.wikipedia.org/wiki/Allen_County_War_Memorial_Coliseum" TargetMode="External"/><Relationship Id="rId1111" Type="http://schemas.openxmlformats.org/officeDocument/2006/relationships/hyperlink" Target="https://en.wikipedia.org/wiki/Kansas" TargetMode="External"/><Relationship Id="rId1595" Type="http://schemas.openxmlformats.org/officeDocument/2006/relationships/hyperlink" Target="https://en.wikipedia.org/w/index.php?title=Virginia_Beach_Sports_Center&amp;action=edit&amp;redlink=1" TargetMode="External"/><Relationship Id="rId1112" Type="http://schemas.openxmlformats.org/officeDocument/2006/relationships/hyperlink" Target="https://en.wikipedia.org/wiki/Cool_Insuring_Arena" TargetMode="External"/><Relationship Id="rId1596" Type="http://schemas.openxmlformats.org/officeDocument/2006/relationships/hyperlink" Target="https://en.wikipedia.org/wiki/Virginia_Beach" TargetMode="External"/><Relationship Id="rId1113" Type="http://schemas.openxmlformats.org/officeDocument/2006/relationships/hyperlink" Target="https://en.wikipedia.org/wiki/Glens_Falls,_New_York" TargetMode="External"/><Relationship Id="rId1597" Type="http://schemas.openxmlformats.org/officeDocument/2006/relationships/hyperlink" Target="https://en.wikipedia.org/wiki/Virginia" TargetMode="External"/><Relationship Id="rId1103" Type="http://schemas.openxmlformats.org/officeDocument/2006/relationships/hyperlink" Target="https://en.wikipedia.org/wiki/Louisiana" TargetMode="External"/><Relationship Id="rId1587" Type="http://schemas.openxmlformats.org/officeDocument/2006/relationships/hyperlink" Target="https://en.wikipedia.org/wiki/Lincoln_Stars" TargetMode="External"/><Relationship Id="rId1104" Type="http://schemas.openxmlformats.org/officeDocument/2006/relationships/hyperlink" Target="https://en.wikipedia.org/wiki/File:Pennsylvania_Farm_Show_detail.jpg" TargetMode="External"/><Relationship Id="rId1588" Type="http://schemas.openxmlformats.org/officeDocument/2006/relationships/hyperlink" Target="https://en.wikipedia.org/wiki/Meadowlands_Exposition_Center" TargetMode="External"/><Relationship Id="rId1105" Type="http://schemas.openxmlformats.org/officeDocument/2006/relationships/hyperlink" Target="https://en.wikipedia.org/wiki/Pennsylvania_Farm_Show_Complex_%26_Expo_Center" TargetMode="External"/><Relationship Id="rId1589" Type="http://schemas.openxmlformats.org/officeDocument/2006/relationships/hyperlink" Target="https://en.wikipedia.org/wiki/Secaucus,_New_Jersey" TargetMode="External"/><Relationship Id="rId1106" Type="http://schemas.openxmlformats.org/officeDocument/2006/relationships/hyperlink" Target="https://en.wikipedia.org/wiki/Harrisburg,_Pennsylvania" TargetMode="External"/><Relationship Id="rId1107" Type="http://schemas.openxmlformats.org/officeDocument/2006/relationships/hyperlink" Target="https://en.wikipedia.org/wiki/Pennsylvania" TargetMode="External"/><Relationship Id="rId1108" Type="http://schemas.openxmlformats.org/officeDocument/2006/relationships/hyperlink" Target="https://en.wikipedia.org/wiki/Harrisburg_Heat_(MASL)" TargetMode="External"/><Relationship Id="rId1109" Type="http://schemas.openxmlformats.org/officeDocument/2006/relationships/hyperlink" Target="https://en.wikipedia.org/wiki/Tony%27s_Pizza_Events_Center" TargetMode="External"/><Relationship Id="rId519" Type="http://schemas.openxmlformats.org/officeDocument/2006/relationships/hyperlink" Target="https://en.wikipedia.org/wiki/File:Allen_County_War_Memorial_Coliseum.JPG" TargetMode="External"/><Relationship Id="rId514" Type="http://schemas.openxmlformats.org/officeDocument/2006/relationships/hyperlink" Target="https://en.wikipedia.org/wiki/File:Us_cellular_arena_birdseye.jpg" TargetMode="External"/><Relationship Id="rId998" Type="http://schemas.openxmlformats.org/officeDocument/2006/relationships/hyperlink" Target="https://en.wikipedia.org/wiki/Oklahoma" TargetMode="External"/><Relationship Id="rId513" Type="http://schemas.openxmlformats.org/officeDocument/2006/relationships/hyperlink" Target="https://en.wikipedia.org/wiki/Peoria_Rivermen_(SPHL)" TargetMode="External"/><Relationship Id="rId997" Type="http://schemas.openxmlformats.org/officeDocument/2006/relationships/hyperlink" Target="https://en.wikipedia.org/wiki/Enid,_Oklahoma" TargetMode="External"/><Relationship Id="rId512" Type="http://schemas.openxmlformats.org/officeDocument/2006/relationships/hyperlink" Target="https://en.wikipedia.org/wiki/Illinois" TargetMode="External"/><Relationship Id="rId996" Type="http://schemas.openxmlformats.org/officeDocument/2006/relationships/hyperlink" Target="https://en.wikipedia.org/wiki/Chisholm_Trail_Coliseum" TargetMode="External"/><Relationship Id="rId511" Type="http://schemas.openxmlformats.org/officeDocument/2006/relationships/hyperlink" Target="https://en.wikipedia.org/wiki/Peoria,_Illinois" TargetMode="External"/><Relationship Id="rId995" Type="http://schemas.openxmlformats.org/officeDocument/2006/relationships/hyperlink" Target="https://en.wikipedia.org/wiki/Texas" TargetMode="External"/><Relationship Id="rId518" Type="http://schemas.openxmlformats.org/officeDocument/2006/relationships/hyperlink" Target="https://en.wikipedia.org/wiki/Milwaukee_Panthers_men%27s_basketball" TargetMode="External"/><Relationship Id="rId517" Type="http://schemas.openxmlformats.org/officeDocument/2006/relationships/hyperlink" Target="https://en.wikipedia.org/wiki/Wisconsin" TargetMode="External"/><Relationship Id="rId516" Type="http://schemas.openxmlformats.org/officeDocument/2006/relationships/hyperlink" Target="https://en.wikipedia.org/wiki/Milwaukee" TargetMode="External"/><Relationship Id="rId515" Type="http://schemas.openxmlformats.org/officeDocument/2006/relationships/hyperlink" Target="https://en.wikipedia.org/wiki/UW%E2%80%93Milwaukee_Panther_Arena" TargetMode="External"/><Relationship Id="rId999" Type="http://schemas.openxmlformats.org/officeDocument/2006/relationships/hyperlink" Target="https://en.wikipedia.org/wiki/File:EctorCountyColiseum.jpg" TargetMode="External"/><Relationship Id="rId990" Type="http://schemas.openxmlformats.org/officeDocument/2006/relationships/hyperlink" Target="https://en.wikipedia.org/wiki/Lake_Buena_Vista,_Florida" TargetMode="External"/><Relationship Id="rId1580" Type="http://schemas.openxmlformats.org/officeDocument/2006/relationships/hyperlink" Target="https://en.wikipedia.org/wiki/Florida" TargetMode="External"/><Relationship Id="rId1581" Type="http://schemas.openxmlformats.org/officeDocument/2006/relationships/hyperlink" Target="https://en.wikipedia.org/w/index.php?title=Northeast_Alabama_Agri-Business_Center&amp;action=edit&amp;redlink=1" TargetMode="External"/><Relationship Id="rId1582" Type="http://schemas.openxmlformats.org/officeDocument/2006/relationships/hyperlink" Target="https://en.wikipedia.org/wiki/Rainsville,_Alabama" TargetMode="External"/><Relationship Id="rId510" Type="http://schemas.openxmlformats.org/officeDocument/2006/relationships/hyperlink" Target="https://en.wikipedia.org/wiki/Peoria_Civic_Center" TargetMode="External"/><Relationship Id="rId994" Type="http://schemas.openxmlformats.org/officeDocument/2006/relationships/hyperlink" Target="https://en.wikipedia.org/wiki/Belton,_Texas" TargetMode="External"/><Relationship Id="rId1583" Type="http://schemas.openxmlformats.org/officeDocument/2006/relationships/hyperlink" Target="https://en.wikipedia.org/wiki/Alabama" TargetMode="External"/><Relationship Id="rId993" Type="http://schemas.openxmlformats.org/officeDocument/2006/relationships/hyperlink" Target="https://en.wikipedia.org/wiki/Bell_County_Expo_Center" TargetMode="External"/><Relationship Id="rId1100" Type="http://schemas.openxmlformats.org/officeDocument/2006/relationships/hyperlink" Target="https://en.wikipedia.org/wiki/File:Monroe_Civic_Center_-_Monroe,_Louisiana.jpg" TargetMode="External"/><Relationship Id="rId1584" Type="http://schemas.openxmlformats.org/officeDocument/2006/relationships/hyperlink" Target="https://en.wikipedia.org/wiki/Ice_Box_(arena)" TargetMode="External"/><Relationship Id="rId992" Type="http://schemas.openxmlformats.org/officeDocument/2006/relationships/hyperlink" Target="https://en.wikipedia.org/wiki/File:Bell_county_expo_center_2014.jpg" TargetMode="External"/><Relationship Id="rId1101" Type="http://schemas.openxmlformats.org/officeDocument/2006/relationships/hyperlink" Target="https://en.wikipedia.org/wiki/Monroe_Civic_Center" TargetMode="External"/><Relationship Id="rId1585" Type="http://schemas.openxmlformats.org/officeDocument/2006/relationships/hyperlink" Target="https://en.wikipedia.org/wiki/Lincoln,_Nebraska" TargetMode="External"/><Relationship Id="rId991" Type="http://schemas.openxmlformats.org/officeDocument/2006/relationships/hyperlink" Target="https://en.wikipedia.org/wiki/Florida" TargetMode="External"/><Relationship Id="rId1102" Type="http://schemas.openxmlformats.org/officeDocument/2006/relationships/hyperlink" Target="https://en.wikipedia.org/wiki/Monroe,_Louisiana" TargetMode="External"/><Relationship Id="rId1586" Type="http://schemas.openxmlformats.org/officeDocument/2006/relationships/hyperlink" Target="https://en.wikipedia.org/wiki/Nebraska" TargetMode="External"/><Relationship Id="rId1532" Type="http://schemas.openxmlformats.org/officeDocument/2006/relationships/hyperlink" Target="https://en.wikipedia.org/wiki/Ohio" TargetMode="External"/><Relationship Id="rId1533" Type="http://schemas.openxmlformats.org/officeDocument/2006/relationships/hyperlink" Target="https://en.wikipedia.org/wiki/Hobart_Arena" TargetMode="External"/><Relationship Id="rId1534" Type="http://schemas.openxmlformats.org/officeDocument/2006/relationships/hyperlink" Target="https://en.wikipedia.org/wiki/Troy,_Ohio" TargetMode="External"/><Relationship Id="rId1535" Type="http://schemas.openxmlformats.org/officeDocument/2006/relationships/hyperlink" Target="https://en.wikipedia.org/wiki/Ohio" TargetMode="External"/><Relationship Id="rId1536" Type="http://schemas.openxmlformats.org/officeDocument/2006/relationships/hyperlink" Target="https://en.wikipedia.org/wiki/Mojave_Crossing" TargetMode="External"/><Relationship Id="rId1537" Type="http://schemas.openxmlformats.org/officeDocument/2006/relationships/hyperlink" Target="https://en.wikipedia.org/wiki/Fort_Mohave,_Arizona" TargetMode="External"/><Relationship Id="rId1538" Type="http://schemas.openxmlformats.org/officeDocument/2006/relationships/hyperlink" Target="https://en.wikipedia.org/wiki/Arizona" TargetMode="External"/><Relationship Id="rId1539" Type="http://schemas.openxmlformats.org/officeDocument/2006/relationships/hyperlink" Target="https://en.wikipedia.org/wiki/File:All_Seasons_Arena_at_North_Dakota_State_Fair_in_Minot.jpg" TargetMode="External"/><Relationship Id="rId949" Type="http://schemas.openxmlformats.org/officeDocument/2006/relationships/hyperlink" Target="https://en.wikipedia.org/wiki/Utah" TargetMode="External"/><Relationship Id="rId948" Type="http://schemas.openxmlformats.org/officeDocument/2006/relationships/hyperlink" Target="https://en.wikipedia.org/wiki/Ogden,_Utah" TargetMode="External"/><Relationship Id="rId943" Type="http://schemas.openxmlformats.org/officeDocument/2006/relationships/hyperlink" Target="https://en.wikipedia.org/wiki/Hertz_Arena" TargetMode="External"/><Relationship Id="rId942" Type="http://schemas.openxmlformats.org/officeDocument/2006/relationships/hyperlink" Target="https://en.wikipedia.org/wiki/File:Germain_Arena,_3-18-09.jpg" TargetMode="External"/><Relationship Id="rId941" Type="http://schemas.openxmlformats.org/officeDocument/2006/relationships/hyperlink" Target="https://en.wikipedia.org/wiki/Minnesota_Duluth_Bulldogs" TargetMode="External"/><Relationship Id="rId940" Type="http://schemas.openxmlformats.org/officeDocument/2006/relationships/hyperlink" Target="https://en.wikipedia.org/wiki/Minnesota" TargetMode="External"/><Relationship Id="rId947" Type="http://schemas.openxmlformats.org/officeDocument/2006/relationships/hyperlink" Target="https://en.wikipedia.org/wiki/Golden_Spike_Arena" TargetMode="External"/><Relationship Id="rId946" Type="http://schemas.openxmlformats.org/officeDocument/2006/relationships/hyperlink" Target="https://en.wikipedia.org/wiki/Florida_Everblades" TargetMode="External"/><Relationship Id="rId945" Type="http://schemas.openxmlformats.org/officeDocument/2006/relationships/hyperlink" Target="https://en.wikipedia.org/wiki/Florida" TargetMode="External"/><Relationship Id="rId944" Type="http://schemas.openxmlformats.org/officeDocument/2006/relationships/hyperlink" Target="https://en.wikipedia.org/wiki/Estero,_Florida" TargetMode="External"/><Relationship Id="rId1530" Type="http://schemas.openxmlformats.org/officeDocument/2006/relationships/hyperlink" Target="https://en.wikipedia.org/wiki/St._John_Arena_(Steubenville)" TargetMode="External"/><Relationship Id="rId1531" Type="http://schemas.openxmlformats.org/officeDocument/2006/relationships/hyperlink" Target="https://en.wikipedia.org/wiki/Steubenville,_Ohio" TargetMode="External"/><Relationship Id="rId1521" Type="http://schemas.openxmlformats.org/officeDocument/2006/relationships/hyperlink" Target="https://en.wikipedia.org/wiki/Oakland,_California" TargetMode="External"/><Relationship Id="rId1522" Type="http://schemas.openxmlformats.org/officeDocument/2006/relationships/hyperlink" Target="https://en.wikipedia.org/wiki/California" TargetMode="External"/><Relationship Id="rId1523" Type="http://schemas.openxmlformats.org/officeDocument/2006/relationships/hyperlink" Target="https://en.wikipedia.org/wiki/Bay_Area" TargetMode="External"/><Relationship Id="rId1524" Type="http://schemas.openxmlformats.org/officeDocument/2006/relationships/hyperlink" Target="https://en.wikipedia.org/wiki/Lewiston,_Maine" TargetMode="External"/><Relationship Id="rId1525" Type="http://schemas.openxmlformats.org/officeDocument/2006/relationships/hyperlink" Target="https://en.wikipedia.org/wiki/Maine" TargetMode="External"/><Relationship Id="rId1526" Type="http://schemas.openxmlformats.org/officeDocument/2006/relationships/hyperlink" Target="https://en.wikipedia.org/wiki/Maine_Nordiques" TargetMode="External"/><Relationship Id="rId1527" Type="http://schemas.openxmlformats.org/officeDocument/2006/relationships/hyperlink" Target="https://en.wikipedia.org/w/index.php?title=Hibbing_Memorial_Building&amp;action=edit&amp;redlink=1" TargetMode="External"/><Relationship Id="rId1528" Type="http://schemas.openxmlformats.org/officeDocument/2006/relationships/hyperlink" Target="https://en.wikipedia.org/wiki/Hibbing,_Minnesota" TargetMode="External"/><Relationship Id="rId1529" Type="http://schemas.openxmlformats.org/officeDocument/2006/relationships/hyperlink" Target="https://en.wikipedia.org/wiki/Minnesota" TargetMode="External"/><Relationship Id="rId939" Type="http://schemas.openxmlformats.org/officeDocument/2006/relationships/hyperlink" Target="https://en.wikipedia.org/wiki/Duluth,_Minnesota" TargetMode="External"/><Relationship Id="rId938" Type="http://schemas.openxmlformats.org/officeDocument/2006/relationships/hyperlink" Target="https://en.wikipedia.org/wiki/AMSOIL_Arena" TargetMode="External"/><Relationship Id="rId937" Type="http://schemas.openxmlformats.org/officeDocument/2006/relationships/hyperlink" Target="https://en.wikipedia.org/wiki/West_Virginia" TargetMode="External"/><Relationship Id="rId932" Type="http://schemas.openxmlformats.org/officeDocument/2006/relationships/hyperlink" Target="https://en.wikipedia.org/wiki/Westfield,_Indiana" TargetMode="External"/><Relationship Id="rId931" Type="http://schemas.openxmlformats.org/officeDocument/2006/relationships/hyperlink" Target="https://en.wikipedia.org/wiki/Grand_Park_(Indiana)" TargetMode="External"/><Relationship Id="rId930" Type="http://schemas.openxmlformats.org/officeDocument/2006/relationships/hyperlink" Target="https://en.wikipedia.org/wiki/Alaska" TargetMode="External"/><Relationship Id="rId936" Type="http://schemas.openxmlformats.org/officeDocument/2006/relationships/hyperlink" Target="https://en.wikipedia.org/wiki/Huntington,_West_Virginia" TargetMode="External"/><Relationship Id="rId935" Type="http://schemas.openxmlformats.org/officeDocument/2006/relationships/hyperlink" Target="https://en.wikipedia.org/wiki/Mountain_Health_Arena" TargetMode="External"/><Relationship Id="rId934" Type="http://schemas.openxmlformats.org/officeDocument/2006/relationships/hyperlink" Target="https://en.wikipedia.org/wiki/File:Big_Sandy_Superstore_Arena.jpg" TargetMode="External"/><Relationship Id="rId933" Type="http://schemas.openxmlformats.org/officeDocument/2006/relationships/hyperlink" Target="https://en.wikipedia.org/wiki/Indiana" TargetMode="External"/><Relationship Id="rId1520" Type="http://schemas.openxmlformats.org/officeDocument/2006/relationships/hyperlink" Target="https://en.wikipedia.org/wiki/Kaiser_Convention_Center" TargetMode="External"/><Relationship Id="rId1554" Type="http://schemas.openxmlformats.org/officeDocument/2006/relationships/hyperlink" Target="https://en.wikipedia.org/wiki/Indiana" TargetMode="External"/><Relationship Id="rId1555" Type="http://schemas.openxmlformats.org/officeDocument/2006/relationships/hyperlink" Target="https://en.wikipedia.org/wiki/Chicagoland" TargetMode="External"/><Relationship Id="rId1556" Type="http://schemas.openxmlformats.org/officeDocument/2006/relationships/hyperlink" Target="https://en.wikipedia.org/w/index.php?title=Five_Flags_Civic_Center&amp;action=edit&amp;redlink=1" TargetMode="External"/><Relationship Id="rId1557" Type="http://schemas.openxmlformats.org/officeDocument/2006/relationships/hyperlink" Target="https://en.wikipedia.org/wiki/Dubuque,_Iowa" TargetMode="External"/><Relationship Id="rId1558" Type="http://schemas.openxmlformats.org/officeDocument/2006/relationships/hyperlink" Target="https://en.wikipedia.org/wiki/Iowa" TargetMode="External"/><Relationship Id="rId1559" Type="http://schemas.openxmlformats.org/officeDocument/2006/relationships/hyperlink" Target="https://en.wikipedia.org/wiki/Canton_Memorial_Civic_Center" TargetMode="External"/><Relationship Id="rId965" Type="http://schemas.openxmlformats.org/officeDocument/2006/relationships/hyperlink" Target="https://en.wikipedia.org/wiki/Perry,_Georgia" TargetMode="External"/><Relationship Id="rId964" Type="http://schemas.openxmlformats.org/officeDocument/2006/relationships/hyperlink" Target="https://en.wikipedia.org/wiki/Reaves_Arena" TargetMode="External"/><Relationship Id="rId963" Type="http://schemas.openxmlformats.org/officeDocument/2006/relationships/hyperlink" Target="https://en.wikipedia.org/wiki/Texas" TargetMode="External"/><Relationship Id="rId962" Type="http://schemas.openxmlformats.org/officeDocument/2006/relationships/hyperlink" Target="https://en.wikipedia.org/wiki/Tyler,_Texas" TargetMode="External"/><Relationship Id="rId969" Type="http://schemas.openxmlformats.org/officeDocument/2006/relationships/hyperlink" Target="https://en.wikipedia.org/wiki/Colorado" TargetMode="External"/><Relationship Id="rId968" Type="http://schemas.openxmlformats.org/officeDocument/2006/relationships/hyperlink" Target="https://en.wikipedia.org/wiki/Pueblo,_Colorado" TargetMode="External"/><Relationship Id="rId967" Type="http://schemas.openxmlformats.org/officeDocument/2006/relationships/hyperlink" Target="https://en.wikipedia.org/wiki/Southwest_Motors_Events_Center" TargetMode="External"/><Relationship Id="rId966" Type="http://schemas.openxmlformats.org/officeDocument/2006/relationships/hyperlink" Target="https://en.wikipedia.org/wiki/Georgia_(U.S._state)" TargetMode="External"/><Relationship Id="rId961" Type="http://schemas.openxmlformats.org/officeDocument/2006/relationships/hyperlink" Target="https://en.wikipedia.org/wiki/The_Oil_Palace" TargetMode="External"/><Relationship Id="rId1550" Type="http://schemas.openxmlformats.org/officeDocument/2006/relationships/hyperlink" Target="https://en.wikipedia.org/wiki/Central_Point,_Oregon" TargetMode="External"/><Relationship Id="rId960" Type="http://schemas.openxmlformats.org/officeDocument/2006/relationships/hyperlink" Target="https://en.wikipedia.org/wiki/Kentucky" TargetMode="External"/><Relationship Id="rId1551" Type="http://schemas.openxmlformats.org/officeDocument/2006/relationships/hyperlink" Target="https://en.wikipedia.org/wiki/Oregon" TargetMode="External"/><Relationship Id="rId1552" Type="http://schemas.openxmlformats.org/officeDocument/2006/relationships/hyperlink" Target="https://en.wikipedia.org/wiki/Hammond_Civic_Center" TargetMode="External"/><Relationship Id="rId1553" Type="http://schemas.openxmlformats.org/officeDocument/2006/relationships/hyperlink" Target="https://en.wikipedia.org/wiki/Hammond,_Indiana" TargetMode="External"/><Relationship Id="rId1543" Type="http://schemas.openxmlformats.org/officeDocument/2006/relationships/hyperlink" Target="https://en.wikipedia.org/w/index.php?title=Lane_Events_Center&amp;action=edit&amp;redlink=1" TargetMode="External"/><Relationship Id="rId1544" Type="http://schemas.openxmlformats.org/officeDocument/2006/relationships/hyperlink" Target="https://en.wikipedia.org/wiki/Eugene,_Oregon" TargetMode="External"/><Relationship Id="rId1545" Type="http://schemas.openxmlformats.org/officeDocument/2006/relationships/hyperlink" Target="https://en.wikipedia.org/wiki/Oregon" TargetMode="External"/><Relationship Id="rId1546" Type="http://schemas.openxmlformats.org/officeDocument/2006/relationships/hyperlink" Target="https://en.wikipedia.org/w/index.php?title=Shipley_Arena&amp;action=edit&amp;redlink=1" TargetMode="External"/><Relationship Id="rId1547" Type="http://schemas.openxmlformats.org/officeDocument/2006/relationships/hyperlink" Target="https://en.wikipedia.org/wiki/Westminster,_Maryland" TargetMode="External"/><Relationship Id="rId1548" Type="http://schemas.openxmlformats.org/officeDocument/2006/relationships/hyperlink" Target="https://en.wikipedia.org/wiki/Maryland" TargetMode="External"/><Relationship Id="rId1549" Type="http://schemas.openxmlformats.org/officeDocument/2006/relationships/hyperlink" Target="https://en.wikipedia.org/wiki/Seven_Feathers_Event_Center" TargetMode="External"/><Relationship Id="rId959" Type="http://schemas.openxmlformats.org/officeDocument/2006/relationships/hyperlink" Target="https://en.wikipedia.org/wiki/Lexington,_Kentucky" TargetMode="External"/><Relationship Id="rId954" Type="http://schemas.openxmlformats.org/officeDocument/2006/relationships/hyperlink" Target="https://en.wikipedia.org/wiki/Greater_Houston" TargetMode="External"/><Relationship Id="rId953" Type="http://schemas.openxmlformats.org/officeDocument/2006/relationships/hyperlink" Target="https://en.wikipedia.org/wiki/Texas" TargetMode="External"/><Relationship Id="rId952" Type="http://schemas.openxmlformats.org/officeDocument/2006/relationships/hyperlink" Target="https://en.wikipedia.org/wiki/Houston" TargetMode="External"/><Relationship Id="rId951" Type="http://schemas.openxmlformats.org/officeDocument/2006/relationships/hyperlink" Target="https://en.wikipedia.org/wiki/NRG_Arena" TargetMode="External"/><Relationship Id="rId958" Type="http://schemas.openxmlformats.org/officeDocument/2006/relationships/hyperlink" Target="https://en.wikipedia.org/wiki/Alltech_Arena" TargetMode="External"/><Relationship Id="rId957" Type="http://schemas.openxmlformats.org/officeDocument/2006/relationships/hyperlink" Target="https://en.wikipedia.org/wiki/Arkansas" TargetMode="External"/><Relationship Id="rId956" Type="http://schemas.openxmlformats.org/officeDocument/2006/relationships/hyperlink" Target="https://en.wikipedia.org/wiki/Pine_Bluff,_Arkansas" TargetMode="External"/><Relationship Id="rId955" Type="http://schemas.openxmlformats.org/officeDocument/2006/relationships/hyperlink" Target="https://en.wikipedia.org/wiki/Pine_Bluff_Convention_Center" TargetMode="External"/><Relationship Id="rId950" Type="http://schemas.openxmlformats.org/officeDocument/2006/relationships/hyperlink" Target="https://en.wikipedia.org/wiki/File:Reliant_Arena.jpg" TargetMode="External"/><Relationship Id="rId1540" Type="http://schemas.openxmlformats.org/officeDocument/2006/relationships/hyperlink" Target="https://en.wikipedia.org/wiki/All_Seasons_Arena_(Minot)" TargetMode="External"/><Relationship Id="rId1541" Type="http://schemas.openxmlformats.org/officeDocument/2006/relationships/hyperlink" Target="https://en.wikipedia.org/wiki/Minot,_North_Dakota" TargetMode="External"/><Relationship Id="rId1542" Type="http://schemas.openxmlformats.org/officeDocument/2006/relationships/hyperlink" Target="https://en.wikipedia.org/wiki/North_Dakota" TargetMode="External"/><Relationship Id="rId2027" Type="http://schemas.openxmlformats.org/officeDocument/2006/relationships/hyperlink" Target="https://en.wikipedia.org/wiki/Mystique_Ice_Center" TargetMode="External"/><Relationship Id="rId2028" Type="http://schemas.openxmlformats.org/officeDocument/2006/relationships/hyperlink" Target="https://en.wikipedia.org/wiki/Dubuque,_Iowa" TargetMode="External"/><Relationship Id="rId2029" Type="http://schemas.openxmlformats.org/officeDocument/2006/relationships/hyperlink" Target="https://en.wikipedia.org/wiki/Iowa" TargetMode="External"/><Relationship Id="rId590" Type="http://schemas.openxmlformats.org/officeDocument/2006/relationships/hyperlink" Target="https://en.wikipedia.org/wiki/Ontario,_California" TargetMode="External"/><Relationship Id="rId107" Type="http://schemas.openxmlformats.org/officeDocument/2006/relationships/hyperlink" Target="https://en.wikipedia.org/wiki/Charlotte,_North_Carolina" TargetMode="External"/><Relationship Id="rId106" Type="http://schemas.openxmlformats.org/officeDocument/2006/relationships/hyperlink" Target="https://en.wikipedia.org/wiki/Spectrum_Center" TargetMode="External"/><Relationship Id="rId105" Type="http://schemas.openxmlformats.org/officeDocument/2006/relationships/hyperlink" Target="https://en.wikipedia.org/wiki/File:Spectrum_Center,_Charlotte,_NC.jpg" TargetMode="External"/><Relationship Id="rId589" Type="http://schemas.openxmlformats.org/officeDocument/2006/relationships/hyperlink" Target="https://en.wikipedia.org/wiki/Toyota_Arena" TargetMode="External"/><Relationship Id="rId104" Type="http://schemas.openxmlformats.org/officeDocument/2006/relationships/hyperlink" Target="https://en.wikipedia.org/wiki/Minneapolis%E2%80%93St._Paul" TargetMode="External"/><Relationship Id="rId588" Type="http://schemas.openxmlformats.org/officeDocument/2006/relationships/hyperlink" Target="https://en.wikipedia.org/wiki/File:Metallica_2008_Ontario_California.jpg" TargetMode="External"/><Relationship Id="rId109" Type="http://schemas.openxmlformats.org/officeDocument/2006/relationships/hyperlink" Target="https://en.wikipedia.org/wiki/Charlotte_Hornets" TargetMode="External"/><Relationship Id="rId1170" Type="http://schemas.openxmlformats.org/officeDocument/2006/relationships/hyperlink" Target="https://en.wikipedia.org/wiki/Show_Me_Center" TargetMode="External"/><Relationship Id="rId108" Type="http://schemas.openxmlformats.org/officeDocument/2006/relationships/hyperlink" Target="https://en.wikipedia.org/wiki/North_Carolina" TargetMode="External"/><Relationship Id="rId1171" Type="http://schemas.openxmlformats.org/officeDocument/2006/relationships/hyperlink" Target="https://en.wikipedia.org/wiki/Cape_Girardeau,_Missouri" TargetMode="External"/><Relationship Id="rId583" Type="http://schemas.openxmlformats.org/officeDocument/2006/relationships/hyperlink" Target="https://en.wikipedia.org/wiki/Now_Arena" TargetMode="External"/><Relationship Id="rId1172" Type="http://schemas.openxmlformats.org/officeDocument/2006/relationships/hyperlink" Target="https://en.wikipedia.org/wiki/Missouri" TargetMode="External"/><Relationship Id="rId582" Type="http://schemas.openxmlformats.org/officeDocument/2006/relationships/hyperlink" Target="https://en.wikipedia.org/wiki/File:Sears_Centre.JPG" TargetMode="External"/><Relationship Id="rId1173" Type="http://schemas.openxmlformats.org/officeDocument/2006/relationships/hyperlink" Target="https://en.wikipedia.org/wiki/Southeast_Missouri_State_Redhawks" TargetMode="External"/><Relationship Id="rId2020" Type="http://schemas.openxmlformats.org/officeDocument/2006/relationships/hyperlink" Target="https://en.wikipedia.org/wiki/Riverside,_California" TargetMode="External"/><Relationship Id="rId581" Type="http://schemas.openxmlformats.org/officeDocument/2006/relationships/hyperlink" Target="https://en.wikipedia.org/wiki/California" TargetMode="External"/><Relationship Id="rId1174" Type="http://schemas.openxmlformats.org/officeDocument/2006/relationships/hyperlink" Target="https://en.wikipedia.org/wiki/Knoxville_Civic_Coliseum" TargetMode="External"/><Relationship Id="rId2021" Type="http://schemas.openxmlformats.org/officeDocument/2006/relationships/hyperlink" Target="https://en.wikipedia.org/wiki/California" TargetMode="External"/><Relationship Id="rId580" Type="http://schemas.openxmlformats.org/officeDocument/2006/relationships/hyperlink" Target="https://en.wikipedia.org/wiki/Fresno,_California" TargetMode="External"/><Relationship Id="rId1175" Type="http://schemas.openxmlformats.org/officeDocument/2006/relationships/hyperlink" Target="https://en.wikipedia.org/wiki/Knoxville,_Tennessee" TargetMode="External"/><Relationship Id="rId2022" Type="http://schemas.openxmlformats.org/officeDocument/2006/relationships/hyperlink" Target="https://en.wikipedia.org/wiki/UC_Riverside_Highlanders" TargetMode="External"/><Relationship Id="rId103" Type="http://schemas.openxmlformats.org/officeDocument/2006/relationships/hyperlink" Target="https://en.wikipedia.org/wiki/Minnesota_Timberwolves" TargetMode="External"/><Relationship Id="rId587" Type="http://schemas.openxmlformats.org/officeDocument/2006/relationships/hyperlink" Target="https://en.wikipedia.org/wiki/Chicagoland" TargetMode="External"/><Relationship Id="rId1176" Type="http://schemas.openxmlformats.org/officeDocument/2006/relationships/hyperlink" Target="https://en.wikipedia.org/wiki/Tennessee" TargetMode="External"/><Relationship Id="rId2023" Type="http://schemas.openxmlformats.org/officeDocument/2006/relationships/hyperlink" Target="https://en.wikipedia.org/wiki/Greater_Los_Angeles" TargetMode="External"/><Relationship Id="rId102" Type="http://schemas.openxmlformats.org/officeDocument/2006/relationships/hyperlink" Target="https://en.wikipedia.org/wiki/Minnesota" TargetMode="External"/><Relationship Id="rId586" Type="http://schemas.openxmlformats.org/officeDocument/2006/relationships/hyperlink" Target="https://en.wikipedia.org/wiki/Chicago_Mustangs_(MASL)" TargetMode="External"/><Relationship Id="rId1177" Type="http://schemas.openxmlformats.org/officeDocument/2006/relationships/hyperlink" Target="https://en.wikipedia.org/wiki/Knoxville_Ice_Bears" TargetMode="External"/><Relationship Id="rId2024" Type="http://schemas.openxmlformats.org/officeDocument/2006/relationships/hyperlink" Target="https://en.wikipedia.org/wiki/Dothan_Civic_Center" TargetMode="External"/><Relationship Id="rId101" Type="http://schemas.openxmlformats.org/officeDocument/2006/relationships/hyperlink" Target="https://en.wikipedia.org/wiki/Minneapolis" TargetMode="External"/><Relationship Id="rId585" Type="http://schemas.openxmlformats.org/officeDocument/2006/relationships/hyperlink" Target="https://en.wikipedia.org/wiki/Illinois" TargetMode="External"/><Relationship Id="rId1178" Type="http://schemas.openxmlformats.org/officeDocument/2006/relationships/hyperlink" Target="https://en.wikipedia.org/w/index.php?title=Escambia_County_Equestrian_Center&amp;action=edit&amp;redlink=1" TargetMode="External"/><Relationship Id="rId2025" Type="http://schemas.openxmlformats.org/officeDocument/2006/relationships/hyperlink" Target="https://en.wikipedia.org/wiki/Dothan,_Alabama" TargetMode="External"/><Relationship Id="rId100" Type="http://schemas.openxmlformats.org/officeDocument/2006/relationships/hyperlink" Target="https://en.wikipedia.org/wiki/Target_Center" TargetMode="External"/><Relationship Id="rId584" Type="http://schemas.openxmlformats.org/officeDocument/2006/relationships/hyperlink" Target="https://en.wikipedia.org/wiki/Hoffman_Estates,_Illinois" TargetMode="External"/><Relationship Id="rId1179" Type="http://schemas.openxmlformats.org/officeDocument/2006/relationships/hyperlink" Target="https://en.wikipedia.org/wiki/Pensacola,_Florida" TargetMode="External"/><Relationship Id="rId2026" Type="http://schemas.openxmlformats.org/officeDocument/2006/relationships/hyperlink" Target="https://en.wikipedia.org/wiki/Alabama" TargetMode="External"/><Relationship Id="rId1169" Type="http://schemas.openxmlformats.org/officeDocument/2006/relationships/hyperlink" Target="https://en.wikipedia.org/wiki/File:ShowMeCenter.jpg" TargetMode="External"/><Relationship Id="rId2016" Type="http://schemas.openxmlformats.org/officeDocument/2006/relationships/hyperlink" Target="https://en.wikipedia.org/wiki/Florida" TargetMode="External"/><Relationship Id="rId2017" Type="http://schemas.openxmlformats.org/officeDocument/2006/relationships/hyperlink" Target="https://en.wikipedia.org/wiki/Pensacola_Christian_College" TargetMode="External"/><Relationship Id="rId2018" Type="http://schemas.openxmlformats.org/officeDocument/2006/relationships/hyperlink" Target="https://en.wikipedia.org/wiki/File:Student_Recreation_Center_Arena_(UC_Riverside).jpg" TargetMode="External"/><Relationship Id="rId2019" Type="http://schemas.openxmlformats.org/officeDocument/2006/relationships/hyperlink" Target="https://en.wikipedia.org/wiki/UC_Riverside_Student_Recreation_Center" TargetMode="External"/><Relationship Id="rId579" Type="http://schemas.openxmlformats.org/officeDocument/2006/relationships/hyperlink" Target="https://en.wikipedia.org/wiki/Selland_Arena" TargetMode="External"/><Relationship Id="rId578" Type="http://schemas.openxmlformats.org/officeDocument/2006/relationships/hyperlink" Target="https://en.wikipedia.org/wiki/File:2009-0725-CA-Fresno-SellandArena.jpg" TargetMode="External"/><Relationship Id="rId577" Type="http://schemas.openxmlformats.org/officeDocument/2006/relationships/hyperlink" Target="https://en.wikipedia.org/wiki/St._Louis_Ambush_(2013)" TargetMode="External"/><Relationship Id="rId1160" Type="http://schemas.openxmlformats.org/officeDocument/2006/relationships/hyperlink" Target="https://en.wikipedia.org/wiki/Colorado_Eagles" TargetMode="External"/><Relationship Id="rId572" Type="http://schemas.openxmlformats.org/officeDocument/2006/relationships/hyperlink" Target="https://en.wikipedia.org/wiki/Spokane_Chiefs" TargetMode="External"/><Relationship Id="rId1161" Type="http://schemas.openxmlformats.org/officeDocument/2006/relationships/hyperlink" Target="https://en.wikipedia.org/wiki/File:Leonard_E._Merrell_Center_2015_03_14_001.JPG" TargetMode="External"/><Relationship Id="rId571" Type="http://schemas.openxmlformats.org/officeDocument/2006/relationships/hyperlink" Target="https://en.wikipedia.org/wiki/Washington_(state)" TargetMode="External"/><Relationship Id="rId1162" Type="http://schemas.openxmlformats.org/officeDocument/2006/relationships/hyperlink" Target="https://en.wikipedia.org/wiki/Leonard_E._Merrill_Center" TargetMode="External"/><Relationship Id="rId570" Type="http://schemas.openxmlformats.org/officeDocument/2006/relationships/hyperlink" Target="https://en.wikipedia.org/wiki/Spokane,_Washington" TargetMode="External"/><Relationship Id="rId1163" Type="http://schemas.openxmlformats.org/officeDocument/2006/relationships/hyperlink" Target="https://en.wikipedia.org/wiki/Katy,_Texas" TargetMode="External"/><Relationship Id="rId2010" Type="http://schemas.openxmlformats.org/officeDocument/2006/relationships/hyperlink" Target="https://en.wikipedia.org/w/index.php?title=Decatur_Civic_Center&amp;action=edit&amp;redlink=1" TargetMode="External"/><Relationship Id="rId1164" Type="http://schemas.openxmlformats.org/officeDocument/2006/relationships/hyperlink" Target="https://en.wikipedia.org/wiki/Texas" TargetMode="External"/><Relationship Id="rId2011" Type="http://schemas.openxmlformats.org/officeDocument/2006/relationships/hyperlink" Target="https://en.wikipedia.org/wiki/Decatur,_Illinois" TargetMode="External"/><Relationship Id="rId576" Type="http://schemas.openxmlformats.org/officeDocument/2006/relationships/hyperlink" Target="https://en.wikipedia.org/wiki/Missouri" TargetMode="External"/><Relationship Id="rId1165" Type="http://schemas.openxmlformats.org/officeDocument/2006/relationships/hyperlink" Target="https://en.wikipedia.org/wiki/Greater_Houston" TargetMode="External"/><Relationship Id="rId2012" Type="http://schemas.openxmlformats.org/officeDocument/2006/relationships/hyperlink" Target="https://en.wikipedia.org/wiki/Illinois" TargetMode="External"/><Relationship Id="rId575" Type="http://schemas.openxmlformats.org/officeDocument/2006/relationships/hyperlink" Target="https://en.wikipedia.org/wiki/St._Charles,_Missouri" TargetMode="External"/><Relationship Id="rId1166" Type="http://schemas.openxmlformats.org/officeDocument/2006/relationships/hyperlink" Target="https://en.wikipedia.org/wiki/Mayo_Civic_Center" TargetMode="External"/><Relationship Id="rId2013" Type="http://schemas.openxmlformats.org/officeDocument/2006/relationships/hyperlink" Target="https://en.wikipedia.org/wiki/File:PCC_Arlin_Horton_Sports_Center.jpg" TargetMode="External"/><Relationship Id="rId574" Type="http://schemas.openxmlformats.org/officeDocument/2006/relationships/hyperlink" Target="https://en.wikipedia.org/wiki/Family_Arena" TargetMode="External"/><Relationship Id="rId1167" Type="http://schemas.openxmlformats.org/officeDocument/2006/relationships/hyperlink" Target="https://en.wikipedia.org/wiki/Rochester,_Minnesota" TargetMode="External"/><Relationship Id="rId2014" Type="http://schemas.openxmlformats.org/officeDocument/2006/relationships/hyperlink" Target="https://en.wikipedia.org/wiki/Arlin_R._Horton_Sports_Center" TargetMode="External"/><Relationship Id="rId573" Type="http://schemas.openxmlformats.org/officeDocument/2006/relationships/hyperlink" Target="https://en.wikipedia.org/wiki/File:Familyarenastcharlesmo.jpg" TargetMode="External"/><Relationship Id="rId1168" Type="http://schemas.openxmlformats.org/officeDocument/2006/relationships/hyperlink" Target="https://en.wikipedia.org/wiki/Minnesota" TargetMode="External"/><Relationship Id="rId2015" Type="http://schemas.openxmlformats.org/officeDocument/2006/relationships/hyperlink" Target="https://en.wikipedia.org/wiki/Pensacola,_Florida" TargetMode="External"/><Relationship Id="rId2049" Type="http://schemas.openxmlformats.org/officeDocument/2006/relationships/hyperlink" Target="https://en.wikipedia.org/w/index.php?title=Brazos_County_Fair&amp;action=edit&amp;redlink=1" TargetMode="External"/><Relationship Id="rId129" Type="http://schemas.openxmlformats.org/officeDocument/2006/relationships/hyperlink" Target="https://en.wikipedia.org/wiki/Indianapolis" TargetMode="External"/><Relationship Id="rId128" Type="http://schemas.openxmlformats.org/officeDocument/2006/relationships/hyperlink" Target="https://en.wikipedia.org/wiki/Gainbridge_Fieldhouse" TargetMode="External"/><Relationship Id="rId127" Type="http://schemas.openxmlformats.org/officeDocument/2006/relationships/hyperlink" Target="https://en.wikipedia.org/wiki/File:Bankers_Life_Fieldhouse,_Indian%C3%A1polis,_Estados_Unidos,_2012-10-22,_DD_02.jpg" TargetMode="External"/><Relationship Id="rId126" Type="http://schemas.openxmlformats.org/officeDocument/2006/relationships/hyperlink" Target="https://en.wikipedia.org/wiki/Orlando_Magic" TargetMode="External"/><Relationship Id="rId1190" Type="http://schemas.openxmlformats.org/officeDocument/2006/relationships/hyperlink" Target="https://en.wikipedia.org/wiki/New_Jersey" TargetMode="External"/><Relationship Id="rId1191" Type="http://schemas.openxmlformats.org/officeDocument/2006/relationships/hyperlink" Target="https://en.wikipedia.org/wiki/Delaware_Valley" TargetMode="External"/><Relationship Id="rId1192" Type="http://schemas.openxmlformats.org/officeDocument/2006/relationships/hyperlink" Target="https://en.wikipedia.org/wiki/File:Grahamauditorium.jpg" TargetMode="External"/><Relationship Id="rId1193" Type="http://schemas.openxmlformats.org/officeDocument/2006/relationships/hyperlink" Target="https://en.wikipedia.org/wiki/Bill_Graham_Civic_Auditorium" TargetMode="External"/><Relationship Id="rId2040" Type="http://schemas.openxmlformats.org/officeDocument/2006/relationships/hyperlink" Target="https://en.wikipedia.org/wiki/Danbury,_Connecticut" TargetMode="External"/><Relationship Id="rId121" Type="http://schemas.openxmlformats.org/officeDocument/2006/relationships/hyperlink" Target="https://en.wikipedia.org/wiki/Dallas%E2%80%93Fort_Worth_metroplex" TargetMode="External"/><Relationship Id="rId1194" Type="http://schemas.openxmlformats.org/officeDocument/2006/relationships/hyperlink" Target="https://en.wikipedia.org/wiki/San_Francisco" TargetMode="External"/><Relationship Id="rId2041" Type="http://schemas.openxmlformats.org/officeDocument/2006/relationships/hyperlink" Target="https://en.wikipedia.org/wiki/Connecticut" TargetMode="External"/><Relationship Id="rId120" Type="http://schemas.openxmlformats.org/officeDocument/2006/relationships/hyperlink" Target="https://en.wikipedia.org/wiki/Dallas_Mavericks" TargetMode="External"/><Relationship Id="rId1195" Type="http://schemas.openxmlformats.org/officeDocument/2006/relationships/hyperlink" Target="https://en.wikipedia.org/wiki/California" TargetMode="External"/><Relationship Id="rId2042" Type="http://schemas.openxmlformats.org/officeDocument/2006/relationships/hyperlink" Target="https://en.wikipedia.org/wiki/Danbury_Hat_Tricks" TargetMode="External"/><Relationship Id="rId1196" Type="http://schemas.openxmlformats.org/officeDocument/2006/relationships/hyperlink" Target="https://en.wikipedia.org/wiki/Bay_Area" TargetMode="External"/><Relationship Id="rId2043" Type="http://schemas.openxmlformats.org/officeDocument/2006/relationships/hyperlink" Target="https://en.wikipedia.org/wiki/New_York_metropolitan_area" TargetMode="External"/><Relationship Id="rId1197" Type="http://schemas.openxmlformats.org/officeDocument/2006/relationships/hyperlink" Target="https://en.wikipedia.org/wiki/Mesquite_Arena" TargetMode="External"/><Relationship Id="rId2044" Type="http://schemas.openxmlformats.org/officeDocument/2006/relationships/hyperlink" Target="https://en.wikipedia.org/wiki/Edge_Ice_Arena" TargetMode="External"/><Relationship Id="rId125" Type="http://schemas.openxmlformats.org/officeDocument/2006/relationships/hyperlink" Target="https://en.wikipedia.org/wiki/Florida" TargetMode="External"/><Relationship Id="rId1198" Type="http://schemas.openxmlformats.org/officeDocument/2006/relationships/hyperlink" Target="https://en.wikipedia.org/wiki/Mesquite,_Texas" TargetMode="External"/><Relationship Id="rId2045" Type="http://schemas.openxmlformats.org/officeDocument/2006/relationships/hyperlink" Target="https://en.wikipedia.org/wiki/Bensenville,_Illinois" TargetMode="External"/><Relationship Id="rId124" Type="http://schemas.openxmlformats.org/officeDocument/2006/relationships/hyperlink" Target="https://en.wikipedia.org/wiki/Orlando,_Florida" TargetMode="External"/><Relationship Id="rId1199" Type="http://schemas.openxmlformats.org/officeDocument/2006/relationships/hyperlink" Target="https://en.wikipedia.org/wiki/Texas" TargetMode="External"/><Relationship Id="rId2046" Type="http://schemas.openxmlformats.org/officeDocument/2006/relationships/hyperlink" Target="https://en.wikipedia.org/wiki/Illinois" TargetMode="External"/><Relationship Id="rId123" Type="http://schemas.openxmlformats.org/officeDocument/2006/relationships/hyperlink" Target="https://en.wikipedia.org/wiki/Kia_Center" TargetMode="External"/><Relationship Id="rId2047" Type="http://schemas.openxmlformats.org/officeDocument/2006/relationships/hyperlink" Target="https://en.wikipedia.org/wiki/Chicago_Steel" TargetMode="External"/><Relationship Id="rId122" Type="http://schemas.openxmlformats.org/officeDocument/2006/relationships/hyperlink" Target="https://en.wikipedia.org/wiki/File:Amway_Center.jpg" TargetMode="External"/><Relationship Id="rId2048" Type="http://schemas.openxmlformats.org/officeDocument/2006/relationships/hyperlink" Target="https://en.wikipedia.org/wiki/Chicagoland" TargetMode="External"/><Relationship Id="rId2038" Type="http://schemas.openxmlformats.org/officeDocument/2006/relationships/hyperlink" Target="https://en.wikipedia.org/wiki/North_Carolina" TargetMode="External"/><Relationship Id="rId2039" Type="http://schemas.openxmlformats.org/officeDocument/2006/relationships/hyperlink" Target="https://en.wikipedia.org/wiki/Danbury_Ice_Arena" TargetMode="External"/><Relationship Id="rId118" Type="http://schemas.openxmlformats.org/officeDocument/2006/relationships/hyperlink" Target="https://en.wikipedia.org/wiki/Dallas" TargetMode="External"/><Relationship Id="rId117" Type="http://schemas.openxmlformats.org/officeDocument/2006/relationships/hyperlink" Target="https://en.wikipedia.org/wiki/American_Airlines_Center" TargetMode="External"/><Relationship Id="rId116" Type="http://schemas.openxmlformats.org/officeDocument/2006/relationships/hyperlink" Target="https://en.wikipedia.org/wiki/File:American_Airlines_Center_August_2015.jpg" TargetMode="External"/><Relationship Id="rId115" Type="http://schemas.openxmlformats.org/officeDocument/2006/relationships/hyperlink" Target="https://en.wikipedia.org/wiki/Miami_metropolitan_area" TargetMode="External"/><Relationship Id="rId599" Type="http://schemas.openxmlformats.org/officeDocument/2006/relationships/hyperlink" Target="https://en.wikipedia.org/wiki/Jim_Norick_Arena" TargetMode="External"/><Relationship Id="rId1180" Type="http://schemas.openxmlformats.org/officeDocument/2006/relationships/hyperlink" Target="https://en.wikipedia.org/wiki/Florida" TargetMode="External"/><Relationship Id="rId1181" Type="http://schemas.openxmlformats.org/officeDocument/2006/relationships/hyperlink" Target="https://en.wikipedia.org/wiki/Delaware_State_Fair" TargetMode="External"/><Relationship Id="rId119" Type="http://schemas.openxmlformats.org/officeDocument/2006/relationships/hyperlink" Target="https://en.wikipedia.org/wiki/Texas" TargetMode="External"/><Relationship Id="rId1182" Type="http://schemas.openxmlformats.org/officeDocument/2006/relationships/hyperlink" Target="https://en.wikipedia.org/wiki/Harrington,_Delaware" TargetMode="External"/><Relationship Id="rId110" Type="http://schemas.openxmlformats.org/officeDocument/2006/relationships/hyperlink" Target="https://en.wikipedia.org/wiki/File:American_Airlines_Arena,_Miami,_FL,_jjron_29.03.2012.jpg" TargetMode="External"/><Relationship Id="rId594" Type="http://schemas.openxmlformats.org/officeDocument/2006/relationships/hyperlink" Target="https://en.wikipedia.org/wiki/File:Ford_Center_from_Main_Street.jpg" TargetMode="External"/><Relationship Id="rId1183" Type="http://schemas.openxmlformats.org/officeDocument/2006/relationships/hyperlink" Target="https://en.wikipedia.org/wiki/Delaware" TargetMode="External"/><Relationship Id="rId2030" Type="http://schemas.openxmlformats.org/officeDocument/2006/relationships/hyperlink" Target="https://en.wikipedia.org/wiki/Dubuque_Fighting_Saints" TargetMode="External"/><Relationship Id="rId593" Type="http://schemas.openxmlformats.org/officeDocument/2006/relationships/hyperlink" Target="https://en.wikipedia.org/wiki/Greater_Los_Angeles" TargetMode="External"/><Relationship Id="rId1184" Type="http://schemas.openxmlformats.org/officeDocument/2006/relationships/hyperlink" Target="https://en.wikipedia.org/wiki/Owensboro_Sportscenter" TargetMode="External"/><Relationship Id="rId2031" Type="http://schemas.openxmlformats.org/officeDocument/2006/relationships/hyperlink" Target="https://en.wikipedia.org/wiki/File:Robert_A._Mott_Athletics_Center_(San_Luis_Obispo).jpg" TargetMode="External"/><Relationship Id="rId592" Type="http://schemas.openxmlformats.org/officeDocument/2006/relationships/hyperlink" Target="https://en.wikipedia.org/wiki/Ontario_Reign" TargetMode="External"/><Relationship Id="rId1185" Type="http://schemas.openxmlformats.org/officeDocument/2006/relationships/hyperlink" Target="https://en.wikipedia.org/wiki/Owensboro,_Kentucky" TargetMode="External"/><Relationship Id="rId2032" Type="http://schemas.openxmlformats.org/officeDocument/2006/relationships/hyperlink" Target="https://en.wikipedia.org/wiki/Robert_A._Mott_Athletics_Center" TargetMode="External"/><Relationship Id="rId591" Type="http://schemas.openxmlformats.org/officeDocument/2006/relationships/hyperlink" Target="https://en.wikipedia.org/wiki/California" TargetMode="External"/><Relationship Id="rId1186" Type="http://schemas.openxmlformats.org/officeDocument/2006/relationships/hyperlink" Target="https://en.wikipedia.org/wiki/Kentucky" TargetMode="External"/><Relationship Id="rId2033" Type="http://schemas.openxmlformats.org/officeDocument/2006/relationships/hyperlink" Target="https://en.wikipedia.org/wiki/San_Luis_Obispo,_California" TargetMode="External"/><Relationship Id="rId114" Type="http://schemas.openxmlformats.org/officeDocument/2006/relationships/hyperlink" Target="https://en.wikipedia.org/wiki/Miami_Heat" TargetMode="External"/><Relationship Id="rId598" Type="http://schemas.openxmlformats.org/officeDocument/2006/relationships/hyperlink" Target="https://en.wikipedia.org/wiki/Evansville_Thunderbolts" TargetMode="External"/><Relationship Id="rId1187" Type="http://schemas.openxmlformats.org/officeDocument/2006/relationships/hyperlink" Target="https://en.wikipedia.org/wiki/File:WildwoodsConventionCenter.jpg" TargetMode="External"/><Relationship Id="rId2034" Type="http://schemas.openxmlformats.org/officeDocument/2006/relationships/hyperlink" Target="https://en.wikipedia.org/wiki/California" TargetMode="External"/><Relationship Id="rId113" Type="http://schemas.openxmlformats.org/officeDocument/2006/relationships/hyperlink" Target="https://en.wikipedia.org/wiki/Florida" TargetMode="External"/><Relationship Id="rId597" Type="http://schemas.openxmlformats.org/officeDocument/2006/relationships/hyperlink" Target="https://en.wikipedia.org/wiki/Indiana" TargetMode="External"/><Relationship Id="rId1188" Type="http://schemas.openxmlformats.org/officeDocument/2006/relationships/hyperlink" Target="https://en.wikipedia.org/wiki/Wildwoods_Convention_Center" TargetMode="External"/><Relationship Id="rId2035" Type="http://schemas.openxmlformats.org/officeDocument/2006/relationships/hyperlink" Target="https://en.wikipedia.org/wiki/Cal_Poly_Mustangs" TargetMode="External"/><Relationship Id="rId112" Type="http://schemas.openxmlformats.org/officeDocument/2006/relationships/hyperlink" Target="https://en.wikipedia.org/wiki/Miami" TargetMode="External"/><Relationship Id="rId596" Type="http://schemas.openxmlformats.org/officeDocument/2006/relationships/hyperlink" Target="https://en.wikipedia.org/wiki/Evansville,_Indiana" TargetMode="External"/><Relationship Id="rId1189" Type="http://schemas.openxmlformats.org/officeDocument/2006/relationships/hyperlink" Target="https://en.wikipedia.org/wiki/Wildwood,_New_Jersey" TargetMode="External"/><Relationship Id="rId2036" Type="http://schemas.openxmlformats.org/officeDocument/2006/relationships/hyperlink" Target="https://en.wikipedia.org/w/index.php?title=WNC_Ag_Center&amp;action=edit&amp;redlink=1" TargetMode="External"/><Relationship Id="rId111" Type="http://schemas.openxmlformats.org/officeDocument/2006/relationships/hyperlink" Target="https://en.wikipedia.org/wiki/Kaseya_Center" TargetMode="External"/><Relationship Id="rId595" Type="http://schemas.openxmlformats.org/officeDocument/2006/relationships/hyperlink" Target="https://en.wikipedia.org/wiki/Ford_Center_(Evansville)" TargetMode="External"/><Relationship Id="rId2037" Type="http://schemas.openxmlformats.org/officeDocument/2006/relationships/hyperlink" Target="https://en.wikipedia.org/wiki/Asheville,_North_Carolina" TargetMode="External"/><Relationship Id="rId1136" Type="http://schemas.openxmlformats.org/officeDocument/2006/relationships/hyperlink" Target="https://en.wikipedia.org/wiki/Conroe,_Texas" TargetMode="External"/><Relationship Id="rId1137" Type="http://schemas.openxmlformats.org/officeDocument/2006/relationships/hyperlink" Target="https://en.wikipedia.org/wiki/Texas" TargetMode="External"/><Relationship Id="rId1138" Type="http://schemas.openxmlformats.org/officeDocument/2006/relationships/hyperlink" Target="https://en.wikipedia.org/wiki/Greater_Houston" TargetMode="External"/><Relationship Id="rId1139" Type="http://schemas.openxmlformats.org/officeDocument/2006/relationships/hyperlink" Target="https://en.wikipedia.org/wiki/File:Reno_Events_Center.jpg" TargetMode="External"/><Relationship Id="rId547" Type="http://schemas.openxmlformats.org/officeDocument/2006/relationships/hyperlink" Target="https://en.wikipedia.org/wiki/Stockton,_California" TargetMode="External"/><Relationship Id="rId546" Type="http://schemas.openxmlformats.org/officeDocument/2006/relationships/hyperlink" Target="https://en.wikipedia.org/wiki/Stockton_Arena" TargetMode="External"/><Relationship Id="rId545" Type="http://schemas.openxmlformats.org/officeDocument/2006/relationships/hyperlink" Target="https://en.wikipedia.org/wiki/File:Stockton_Arena_2009.jpg" TargetMode="External"/><Relationship Id="rId544" Type="http://schemas.openxmlformats.org/officeDocument/2006/relationships/hyperlink" Target="https://en.wikipedia.org/wiki/Louisiana" TargetMode="External"/><Relationship Id="rId549" Type="http://schemas.openxmlformats.org/officeDocument/2006/relationships/hyperlink" Target="https://en.wikipedia.org/wiki/Stockton_Kings" TargetMode="External"/><Relationship Id="rId548" Type="http://schemas.openxmlformats.org/officeDocument/2006/relationships/hyperlink" Target="https://en.wikipedia.org/wiki/California" TargetMode="External"/><Relationship Id="rId1130" Type="http://schemas.openxmlformats.org/officeDocument/2006/relationships/hyperlink" Target="https://en.wikipedia.org/wiki/Kansas" TargetMode="External"/><Relationship Id="rId1131" Type="http://schemas.openxmlformats.org/officeDocument/2006/relationships/hyperlink" Target="https://en.wikipedia.org/wiki/Eihusen_Arena" TargetMode="External"/><Relationship Id="rId543" Type="http://schemas.openxmlformats.org/officeDocument/2006/relationships/hyperlink" Target="https://en.wikipedia.org/wiki/Baton_Rouge,_Louisiana" TargetMode="External"/><Relationship Id="rId1132" Type="http://schemas.openxmlformats.org/officeDocument/2006/relationships/hyperlink" Target="https://en.wikipedia.org/wiki/Grand_Island,_Nebraska" TargetMode="External"/><Relationship Id="rId542" Type="http://schemas.openxmlformats.org/officeDocument/2006/relationships/hyperlink" Target="https://en.wikipedia.org/wiki/Raising_Cane%27s_River_Center_Arena" TargetMode="External"/><Relationship Id="rId1133" Type="http://schemas.openxmlformats.org/officeDocument/2006/relationships/hyperlink" Target="https://en.wikipedia.org/wiki/Nebraska" TargetMode="External"/><Relationship Id="rId541" Type="http://schemas.openxmlformats.org/officeDocument/2006/relationships/hyperlink" Target="https://en.wikipedia.org/wiki/File:Baton_Rouge_River_Center_Arena.jpg" TargetMode="External"/><Relationship Id="rId1134" Type="http://schemas.openxmlformats.org/officeDocument/2006/relationships/hyperlink" Target="https://en.wikipedia.org/wiki/Nebraska_Danger" TargetMode="External"/><Relationship Id="rId540" Type="http://schemas.openxmlformats.org/officeDocument/2006/relationships/hyperlink" Target="https://en.wikipedia.org/wiki/Montana" TargetMode="External"/><Relationship Id="rId1135" Type="http://schemas.openxmlformats.org/officeDocument/2006/relationships/hyperlink" Target="https://en.wikipedia.org/wiki/Lone_Star_Expo_Center" TargetMode="External"/><Relationship Id="rId1125" Type="http://schemas.openxmlformats.org/officeDocument/2006/relationships/hyperlink" Target="https://en.wikipedia.org/wiki/Humble,_Texas" TargetMode="External"/><Relationship Id="rId1126" Type="http://schemas.openxmlformats.org/officeDocument/2006/relationships/hyperlink" Target="https://en.wikipedia.org/wiki/Texas" TargetMode="External"/><Relationship Id="rId1127" Type="http://schemas.openxmlformats.org/officeDocument/2006/relationships/hyperlink" Target="https://en.wikipedia.org/wiki/Greater_Houston" TargetMode="External"/><Relationship Id="rId1128" Type="http://schemas.openxmlformats.org/officeDocument/2006/relationships/hyperlink" Target="https://en.wikipedia.org/wiki/Hutchinson_Sports_Arena" TargetMode="External"/><Relationship Id="rId1129" Type="http://schemas.openxmlformats.org/officeDocument/2006/relationships/hyperlink" Target="https://en.wikipedia.org/wiki/Hutchinson,_Kansas" TargetMode="External"/><Relationship Id="rId536" Type="http://schemas.openxmlformats.org/officeDocument/2006/relationships/hyperlink" Target="https://en.wikipedia.org/wiki/Las_Vegas_Aces" TargetMode="External"/><Relationship Id="rId535" Type="http://schemas.openxmlformats.org/officeDocument/2006/relationships/hyperlink" Target="https://en.wikipedia.org/wiki/Nevada" TargetMode="External"/><Relationship Id="rId534" Type="http://schemas.openxmlformats.org/officeDocument/2006/relationships/hyperlink" Target="https://en.wikipedia.org/wiki/Paradise,_Nevada" TargetMode="External"/><Relationship Id="rId533" Type="http://schemas.openxmlformats.org/officeDocument/2006/relationships/hyperlink" Target="https://en.wikipedia.org/wiki/Michelob_Ultra_Arena" TargetMode="External"/><Relationship Id="rId539" Type="http://schemas.openxmlformats.org/officeDocument/2006/relationships/hyperlink" Target="https://en.wikipedia.org/wiki/Billings,_Montana" TargetMode="External"/><Relationship Id="rId538" Type="http://schemas.openxmlformats.org/officeDocument/2006/relationships/hyperlink" Target="https://en.wikipedia.org/wiki/MetraPark_Arena" TargetMode="External"/><Relationship Id="rId537" Type="http://schemas.openxmlformats.org/officeDocument/2006/relationships/hyperlink" Target="https://en.wikipedia.org/wiki/File:Rimrock_Auto_Arena_at_MetraPark,_Billings,_Montana.jpg" TargetMode="External"/><Relationship Id="rId1120" Type="http://schemas.openxmlformats.org/officeDocument/2006/relationships/hyperlink" Target="https://en.wikipedia.org/wiki/Brown_Convention_Center" TargetMode="External"/><Relationship Id="rId532" Type="http://schemas.openxmlformats.org/officeDocument/2006/relationships/hyperlink" Target="https://en.wikipedia.org/wiki/Quad_Cities" TargetMode="External"/><Relationship Id="rId1121" Type="http://schemas.openxmlformats.org/officeDocument/2006/relationships/hyperlink" Target="https://en.wikipedia.org/wiki/Houston" TargetMode="External"/><Relationship Id="rId531" Type="http://schemas.openxmlformats.org/officeDocument/2006/relationships/hyperlink" Target="https://en.wikipedia.org/wiki/Quad_City_Steamwheelers_(2018%E2%80%93)" TargetMode="External"/><Relationship Id="rId1122" Type="http://schemas.openxmlformats.org/officeDocument/2006/relationships/hyperlink" Target="https://en.wikipedia.org/wiki/Texas" TargetMode="External"/><Relationship Id="rId530" Type="http://schemas.openxmlformats.org/officeDocument/2006/relationships/hyperlink" Target="https://en.wikipedia.org/wiki/Illinois" TargetMode="External"/><Relationship Id="rId1123" Type="http://schemas.openxmlformats.org/officeDocument/2006/relationships/hyperlink" Target="https://en.wikipedia.org/wiki/Greater_Houston" TargetMode="External"/><Relationship Id="rId1124" Type="http://schemas.openxmlformats.org/officeDocument/2006/relationships/hyperlink" Target="https://en.wikipedia.org/wiki/Humble_Civic_Center_Arena" TargetMode="External"/><Relationship Id="rId1158" Type="http://schemas.openxmlformats.org/officeDocument/2006/relationships/hyperlink" Target="https://en.wikipedia.org/wiki/Loveland,_Colorado" TargetMode="External"/><Relationship Id="rId2005" Type="http://schemas.openxmlformats.org/officeDocument/2006/relationships/hyperlink" Target="https://en.wikipedia.org/wiki/Marietta,_Ohio" TargetMode="External"/><Relationship Id="rId1159" Type="http://schemas.openxmlformats.org/officeDocument/2006/relationships/hyperlink" Target="https://en.wikipedia.org/wiki/Colorado" TargetMode="External"/><Relationship Id="rId2006" Type="http://schemas.openxmlformats.org/officeDocument/2006/relationships/hyperlink" Target="https://en.wikipedia.org/wiki/Ohio" TargetMode="External"/><Relationship Id="rId2007" Type="http://schemas.openxmlformats.org/officeDocument/2006/relationships/hyperlink" Target="https://en.wikipedia.org/w/index.php?title=Sumter_County_Civic_Center&amp;action=edit&amp;redlink=1" TargetMode="External"/><Relationship Id="rId2008" Type="http://schemas.openxmlformats.org/officeDocument/2006/relationships/hyperlink" Target="https://en.wikipedia.org/wiki/Sumter,_South_Carolina" TargetMode="External"/><Relationship Id="rId2009" Type="http://schemas.openxmlformats.org/officeDocument/2006/relationships/hyperlink" Target="https://en.wikipedia.org/wiki/South_Carolina" TargetMode="External"/><Relationship Id="rId569" Type="http://schemas.openxmlformats.org/officeDocument/2006/relationships/hyperlink" Target="https://en.wikipedia.org/wiki/Spokane_Veterans_Memorial_Arena" TargetMode="External"/><Relationship Id="rId568" Type="http://schemas.openxmlformats.org/officeDocument/2006/relationships/hyperlink" Target="https://en.wikipedia.org/wiki/File:SpokaneArenaSECorner.jpg" TargetMode="External"/><Relationship Id="rId567" Type="http://schemas.openxmlformats.org/officeDocument/2006/relationships/hyperlink" Target="https://en.wikipedia.org/wiki/Coachella_Valley_Firebirds" TargetMode="External"/><Relationship Id="rId566" Type="http://schemas.openxmlformats.org/officeDocument/2006/relationships/hyperlink" Target="https://en.wikipedia.org/wiki/California" TargetMode="External"/><Relationship Id="rId561" Type="http://schemas.openxmlformats.org/officeDocument/2006/relationships/hyperlink" Target="https://en.wikipedia.org/wiki/Tampa,_Florida" TargetMode="External"/><Relationship Id="rId1150" Type="http://schemas.openxmlformats.org/officeDocument/2006/relationships/hyperlink" Target="https://en.wikipedia.org/wiki/Bud_Adams_Equestrian_Center" TargetMode="External"/><Relationship Id="rId560" Type="http://schemas.openxmlformats.org/officeDocument/2006/relationships/hyperlink" Target="https://en.wikipedia.org/wiki/Expo_Hall" TargetMode="External"/><Relationship Id="rId1151" Type="http://schemas.openxmlformats.org/officeDocument/2006/relationships/hyperlink" Target="https://en.wikipedia.org/wiki/Fort_Pierce,_Florida" TargetMode="External"/><Relationship Id="rId1152" Type="http://schemas.openxmlformats.org/officeDocument/2006/relationships/hyperlink" Target="https://en.wikipedia.org/wiki/Florida" TargetMode="External"/><Relationship Id="rId1153" Type="http://schemas.openxmlformats.org/officeDocument/2006/relationships/hyperlink" Target="https://en.wikipedia.org/w/index.php?title=National_Western_Complex&amp;action=edit&amp;redlink=1" TargetMode="External"/><Relationship Id="rId2000" Type="http://schemas.openxmlformats.org/officeDocument/2006/relationships/hyperlink" Target="https://en.wikipedia.org/wiki/Hawaii" TargetMode="External"/><Relationship Id="rId565" Type="http://schemas.openxmlformats.org/officeDocument/2006/relationships/hyperlink" Target="https://en.wikipedia.org/wiki/Palm_Desert,_California" TargetMode="External"/><Relationship Id="rId1154" Type="http://schemas.openxmlformats.org/officeDocument/2006/relationships/hyperlink" Target="https://en.wikipedia.org/wiki/Denver" TargetMode="External"/><Relationship Id="rId2001" Type="http://schemas.openxmlformats.org/officeDocument/2006/relationships/hyperlink" Target="https://en.wikipedia.org/w/index.php?title=Alan_Jay_Arena&amp;action=edit&amp;redlink=1" TargetMode="External"/><Relationship Id="rId564" Type="http://schemas.openxmlformats.org/officeDocument/2006/relationships/hyperlink" Target="https://en.wikipedia.org/wiki/Acrisure_Arena" TargetMode="External"/><Relationship Id="rId1155" Type="http://schemas.openxmlformats.org/officeDocument/2006/relationships/hyperlink" Target="https://en.wikipedia.org/wiki/Colorado" TargetMode="External"/><Relationship Id="rId2002" Type="http://schemas.openxmlformats.org/officeDocument/2006/relationships/hyperlink" Target="https://en.wikipedia.org/wiki/Sebring,_Florida" TargetMode="External"/><Relationship Id="rId563" Type="http://schemas.openxmlformats.org/officeDocument/2006/relationships/hyperlink" Target="https://en.wikipedia.org/wiki/Tampa_Bay_area" TargetMode="External"/><Relationship Id="rId1156" Type="http://schemas.openxmlformats.org/officeDocument/2006/relationships/hyperlink" Target="https://en.wikipedia.org/wiki/File:BudweiserEventsCenter.jpg" TargetMode="External"/><Relationship Id="rId2003" Type="http://schemas.openxmlformats.org/officeDocument/2006/relationships/hyperlink" Target="https://en.wikipedia.org/wiki/Florida" TargetMode="External"/><Relationship Id="rId562" Type="http://schemas.openxmlformats.org/officeDocument/2006/relationships/hyperlink" Target="https://en.wikipedia.org/wiki/Florida" TargetMode="External"/><Relationship Id="rId1157" Type="http://schemas.openxmlformats.org/officeDocument/2006/relationships/hyperlink" Target="https://en.wikipedia.org/wiki/Budweiser_Events_Center" TargetMode="External"/><Relationship Id="rId2004" Type="http://schemas.openxmlformats.org/officeDocument/2006/relationships/hyperlink" Target="https://en.wikipedia.org/w/index.php?title=Washington_County_Fair&amp;action=edit&amp;redlink=1" TargetMode="External"/><Relationship Id="rId1147" Type="http://schemas.openxmlformats.org/officeDocument/2006/relationships/hyperlink" Target="https://en.wikipedia.org/wiki/Fair_Expo_Center" TargetMode="External"/><Relationship Id="rId1148" Type="http://schemas.openxmlformats.org/officeDocument/2006/relationships/hyperlink" Target="https://en.wikipedia.org/wiki/Miami" TargetMode="External"/><Relationship Id="rId1149" Type="http://schemas.openxmlformats.org/officeDocument/2006/relationships/hyperlink" Target="https://en.wikipedia.org/wiki/Florida" TargetMode="External"/><Relationship Id="rId558" Type="http://schemas.openxmlformats.org/officeDocument/2006/relationships/hyperlink" Target="https://en.wikipedia.org/wiki/New_Hampshire" TargetMode="External"/><Relationship Id="rId557" Type="http://schemas.openxmlformats.org/officeDocument/2006/relationships/hyperlink" Target="https://en.wikipedia.org/wiki/Manchester,_New_Hampshire" TargetMode="External"/><Relationship Id="rId556" Type="http://schemas.openxmlformats.org/officeDocument/2006/relationships/hyperlink" Target="https://en.wikipedia.org/wiki/SNHU_Arena" TargetMode="External"/><Relationship Id="rId555" Type="http://schemas.openxmlformats.org/officeDocument/2006/relationships/hyperlink" Target="https://en.wikipedia.org/wiki/File:Verizon_Wireless_Arena_front.jpg" TargetMode="External"/><Relationship Id="rId559" Type="http://schemas.openxmlformats.org/officeDocument/2006/relationships/hyperlink" Target="https://en.wikipedia.org/wiki/Greater_Boston" TargetMode="External"/><Relationship Id="rId550" Type="http://schemas.openxmlformats.org/officeDocument/2006/relationships/hyperlink" Target="https://en.wikipedia.org/wiki/File:Tingley_Coliseum,_Albuquerque_NM.jpg" TargetMode="External"/><Relationship Id="rId1140" Type="http://schemas.openxmlformats.org/officeDocument/2006/relationships/hyperlink" Target="https://en.wikipedia.org/wiki/Reno_Events_Center" TargetMode="External"/><Relationship Id="rId1141" Type="http://schemas.openxmlformats.org/officeDocument/2006/relationships/hyperlink" Target="https://en.wikipedia.org/wiki/Reno,_Nevada" TargetMode="External"/><Relationship Id="rId1142" Type="http://schemas.openxmlformats.org/officeDocument/2006/relationships/hyperlink" Target="https://en.wikipedia.org/wiki/Nevada" TargetMode="External"/><Relationship Id="rId554" Type="http://schemas.openxmlformats.org/officeDocument/2006/relationships/hyperlink" Target="https://en.wikipedia.org/wiki/Duke_City_Gladiators" TargetMode="External"/><Relationship Id="rId1143" Type="http://schemas.openxmlformats.org/officeDocument/2006/relationships/hyperlink" Target="https://en.wikipedia.org/wiki/File:Santa_Ana_Star_Center.jpg" TargetMode="External"/><Relationship Id="rId553" Type="http://schemas.openxmlformats.org/officeDocument/2006/relationships/hyperlink" Target="https://en.wikipedia.org/wiki/New_Mexico" TargetMode="External"/><Relationship Id="rId1144" Type="http://schemas.openxmlformats.org/officeDocument/2006/relationships/hyperlink" Target="https://en.wikipedia.org/wiki/Rio_Rancho_Events_Center" TargetMode="External"/><Relationship Id="rId552" Type="http://schemas.openxmlformats.org/officeDocument/2006/relationships/hyperlink" Target="https://en.wikipedia.org/wiki/Albuquerque" TargetMode="External"/><Relationship Id="rId1145" Type="http://schemas.openxmlformats.org/officeDocument/2006/relationships/hyperlink" Target="https://en.wikipedia.org/wiki/Rio_Rancho,_New_Mexico" TargetMode="External"/><Relationship Id="rId551" Type="http://schemas.openxmlformats.org/officeDocument/2006/relationships/hyperlink" Target="https://en.wikipedia.org/wiki/Tingley_Coliseum" TargetMode="External"/><Relationship Id="rId1146" Type="http://schemas.openxmlformats.org/officeDocument/2006/relationships/hyperlink" Target="https://en.wikipedia.org/wiki/New_Mexico" TargetMode="External"/><Relationship Id="rId2090" Type="http://schemas.openxmlformats.org/officeDocument/2006/relationships/hyperlink" Target="https://en.wikipedia.org/wiki/Delaware_Blue_Coats" TargetMode="External"/><Relationship Id="rId2091" Type="http://schemas.openxmlformats.org/officeDocument/2006/relationships/hyperlink" Target="https://en.wikipedia.org/wiki/Delaware_Valley" TargetMode="External"/><Relationship Id="rId2092" Type="http://schemas.openxmlformats.org/officeDocument/2006/relationships/hyperlink" Target="https://en.wikipedia.org/wiki/Great_Park_Ice_%26_FivePoint_Arena" TargetMode="External"/><Relationship Id="rId2093" Type="http://schemas.openxmlformats.org/officeDocument/2006/relationships/hyperlink" Target="https://en.wikipedia.org/wiki/Irvine,_California" TargetMode="External"/><Relationship Id="rId2094" Type="http://schemas.openxmlformats.org/officeDocument/2006/relationships/hyperlink" Target="https://en.wikipedia.org/wiki/California" TargetMode="External"/><Relationship Id="rId2095" Type="http://schemas.openxmlformats.org/officeDocument/2006/relationships/hyperlink" Target="https://en.wikipedia.org/wiki/Greater_Los_Angeles" TargetMode="External"/><Relationship Id="rId2096" Type="http://schemas.openxmlformats.org/officeDocument/2006/relationships/hyperlink" Target="https://en.wikipedia.org/wiki/Lucas_County_Recreation_Center" TargetMode="External"/><Relationship Id="rId2097" Type="http://schemas.openxmlformats.org/officeDocument/2006/relationships/hyperlink" Target="https://en.wikipedia.org/wiki/Maumee,_Ohio" TargetMode="External"/><Relationship Id="rId2098" Type="http://schemas.openxmlformats.org/officeDocument/2006/relationships/hyperlink" Target="https://en.wikipedia.org/wiki/Ohio" TargetMode="External"/><Relationship Id="rId2099" Type="http://schemas.openxmlformats.org/officeDocument/2006/relationships/hyperlink" Target="https://en.wikipedia.org/w/index.php?title=Garfield_County_Fair&amp;action=edit&amp;redlink=1" TargetMode="External"/><Relationship Id="rId2060" Type="http://schemas.openxmlformats.org/officeDocument/2006/relationships/hyperlink" Target="https://en.wikipedia.org/wiki/Maine" TargetMode="External"/><Relationship Id="rId2061" Type="http://schemas.openxmlformats.org/officeDocument/2006/relationships/hyperlink" Target="https://en.wikipedia.org/wiki/Maine_Celtics" TargetMode="External"/><Relationship Id="rId2062" Type="http://schemas.openxmlformats.org/officeDocument/2006/relationships/hyperlink" Target="https://en.wikipedia.org/wiki/La_Porte_Civic_Auditorium" TargetMode="External"/><Relationship Id="rId2063" Type="http://schemas.openxmlformats.org/officeDocument/2006/relationships/hyperlink" Target="https://en.wikipedia.org/wiki/La_Porte,_Indiana" TargetMode="External"/><Relationship Id="rId2064" Type="http://schemas.openxmlformats.org/officeDocument/2006/relationships/hyperlink" Target="https://en.wikipedia.org/wiki/Indiana" TargetMode="External"/><Relationship Id="rId2065" Type="http://schemas.openxmlformats.org/officeDocument/2006/relationships/hyperlink" Target="https://en.wikipedia.org/wiki/Volusia_County_Fair_and_Expo_Center" TargetMode="External"/><Relationship Id="rId2066" Type="http://schemas.openxmlformats.org/officeDocument/2006/relationships/hyperlink" Target="https://en.wikipedia.org/wiki/DeLand,_Florida" TargetMode="External"/><Relationship Id="rId2067" Type="http://schemas.openxmlformats.org/officeDocument/2006/relationships/hyperlink" Target="https://en.wikipedia.org/wiki/Florida" TargetMode="External"/><Relationship Id="rId2068" Type="http://schemas.openxmlformats.org/officeDocument/2006/relationships/hyperlink" Target="https://en.wikipedia.org/w/index.php?title=JFK_Memorial_Coliseum&amp;action=edit&amp;redlink=1" TargetMode="External"/><Relationship Id="rId2069" Type="http://schemas.openxmlformats.org/officeDocument/2006/relationships/hyperlink" Target="https://en.wikipedia.org/wiki/Manchester,_New_Hampshire" TargetMode="External"/><Relationship Id="rId2050" Type="http://schemas.openxmlformats.org/officeDocument/2006/relationships/hyperlink" Target="https://en.wikipedia.org/wiki/Bryan,_Texas" TargetMode="External"/><Relationship Id="rId2051" Type="http://schemas.openxmlformats.org/officeDocument/2006/relationships/hyperlink" Target="https://en.wikipedia.org/wiki/Texas" TargetMode="External"/><Relationship Id="rId495" Type="http://schemas.openxmlformats.org/officeDocument/2006/relationships/hyperlink" Target="https://en.wikipedia.org/wiki/File:Garrett_Coliseum_Feb_2010_01.jpg" TargetMode="External"/><Relationship Id="rId2052" Type="http://schemas.openxmlformats.org/officeDocument/2006/relationships/hyperlink" Target="https://en.wikipedia.org/wiki/File:McMorran_Place_Tower_Port_Huron.jpg" TargetMode="External"/><Relationship Id="rId494" Type="http://schemas.openxmlformats.org/officeDocument/2006/relationships/hyperlink" Target="https://en.wikipedia.org/wiki/Utah_Grizzlies" TargetMode="External"/><Relationship Id="rId2053" Type="http://schemas.openxmlformats.org/officeDocument/2006/relationships/hyperlink" Target="https://en.wikipedia.org/wiki/McMorran_Arena" TargetMode="External"/><Relationship Id="rId493" Type="http://schemas.openxmlformats.org/officeDocument/2006/relationships/hyperlink" Target="https://en.wikipedia.org/wiki/Utah" TargetMode="External"/><Relationship Id="rId2054" Type="http://schemas.openxmlformats.org/officeDocument/2006/relationships/hyperlink" Target="https://en.wikipedia.org/wiki/Port_Huron,_Michigan" TargetMode="External"/><Relationship Id="rId492" Type="http://schemas.openxmlformats.org/officeDocument/2006/relationships/hyperlink" Target="https://en.wikipedia.org/wiki/West_Valley_City,_Utah" TargetMode="External"/><Relationship Id="rId2055" Type="http://schemas.openxmlformats.org/officeDocument/2006/relationships/hyperlink" Target="https://en.wikipedia.org/wiki/Michigan" TargetMode="External"/><Relationship Id="rId499" Type="http://schemas.openxmlformats.org/officeDocument/2006/relationships/hyperlink" Target="https://en.wikipedia.org/wiki/File:Bojangles%27_Coliseum.jpg" TargetMode="External"/><Relationship Id="rId2056" Type="http://schemas.openxmlformats.org/officeDocument/2006/relationships/hyperlink" Target="https://en.wikipedia.org/wiki/Port_Huron_Prowlers" TargetMode="External"/><Relationship Id="rId498" Type="http://schemas.openxmlformats.org/officeDocument/2006/relationships/hyperlink" Target="https://en.wikipedia.org/wiki/Alabama" TargetMode="External"/><Relationship Id="rId2057" Type="http://schemas.openxmlformats.org/officeDocument/2006/relationships/hyperlink" Target="https://en.wikipedia.org/wiki/File:Sea_Dogs_vs._RubberDucks_-_August_16,_2015_crop.png" TargetMode="External"/><Relationship Id="rId497" Type="http://schemas.openxmlformats.org/officeDocument/2006/relationships/hyperlink" Target="https://en.wikipedia.org/wiki/Montgomery,_Alabama" TargetMode="External"/><Relationship Id="rId2058" Type="http://schemas.openxmlformats.org/officeDocument/2006/relationships/hyperlink" Target="https://en.wikipedia.org/wiki/Portland_Exposition_Building" TargetMode="External"/><Relationship Id="rId496" Type="http://schemas.openxmlformats.org/officeDocument/2006/relationships/hyperlink" Target="https://en.wikipedia.org/wiki/Garrett_Coliseum" TargetMode="External"/><Relationship Id="rId2059" Type="http://schemas.openxmlformats.org/officeDocument/2006/relationships/hyperlink" Target="https://en.wikipedia.org/wiki/Portland,_Maine" TargetMode="External"/><Relationship Id="rId2080" Type="http://schemas.openxmlformats.org/officeDocument/2006/relationships/hyperlink" Target="https://en.wikipedia.org/wiki/Lafayette,_Indiana" TargetMode="External"/><Relationship Id="rId2081" Type="http://schemas.openxmlformats.org/officeDocument/2006/relationships/hyperlink" Target="https://en.wikipedia.org/wiki/Indiana" TargetMode="External"/><Relationship Id="rId2082" Type="http://schemas.openxmlformats.org/officeDocument/2006/relationships/hyperlink" Target="https://en.wikipedia.org/wiki/Kaiser_Permanente_Arena" TargetMode="External"/><Relationship Id="rId2083" Type="http://schemas.openxmlformats.org/officeDocument/2006/relationships/hyperlink" Target="https://en.wikipedia.org/wiki/Santa_Cruz,_California" TargetMode="External"/><Relationship Id="rId2084" Type="http://schemas.openxmlformats.org/officeDocument/2006/relationships/hyperlink" Target="https://en.wikipedia.org/wiki/California" TargetMode="External"/><Relationship Id="rId2085" Type="http://schemas.openxmlformats.org/officeDocument/2006/relationships/hyperlink" Target="https://en.wikipedia.org/wiki/Santa_Cruz_Warriors" TargetMode="External"/><Relationship Id="rId2086" Type="http://schemas.openxmlformats.org/officeDocument/2006/relationships/hyperlink" Target="https://en.wikipedia.org/wiki/Bay_Area" TargetMode="External"/><Relationship Id="rId2087" Type="http://schemas.openxmlformats.org/officeDocument/2006/relationships/hyperlink" Target="https://en.wikipedia.org/wiki/Chase_Fieldhouse" TargetMode="External"/><Relationship Id="rId2088" Type="http://schemas.openxmlformats.org/officeDocument/2006/relationships/hyperlink" Target="https://en.wikipedia.org/wiki/Wilmington,_Delaware" TargetMode="External"/><Relationship Id="rId2089" Type="http://schemas.openxmlformats.org/officeDocument/2006/relationships/hyperlink" Target="https://en.wikipedia.org/wiki/Delaware" TargetMode="External"/><Relationship Id="rId2070" Type="http://schemas.openxmlformats.org/officeDocument/2006/relationships/hyperlink" Target="https://en.wikipedia.org/wiki/New_Hampshire" TargetMode="External"/><Relationship Id="rId2071" Type="http://schemas.openxmlformats.org/officeDocument/2006/relationships/hyperlink" Target="https://en.wikipedia.org/wiki/O%27Reilly_Family_Event_Center" TargetMode="External"/><Relationship Id="rId2072" Type="http://schemas.openxmlformats.org/officeDocument/2006/relationships/hyperlink" Target="https://en.wikipedia.org/wiki/Springfield,_Missouri" TargetMode="External"/><Relationship Id="rId2073" Type="http://schemas.openxmlformats.org/officeDocument/2006/relationships/hyperlink" Target="https://en.wikipedia.org/wiki/Missouri" TargetMode="External"/><Relationship Id="rId2074" Type="http://schemas.openxmlformats.org/officeDocument/2006/relationships/hyperlink" Target="https://en.wikipedia.org/wiki/Drury_Panthers" TargetMode="External"/><Relationship Id="rId2075" Type="http://schemas.openxmlformats.org/officeDocument/2006/relationships/hyperlink" Target="https://en.wikipedia.org/w/index.php?title=Dobson_Arena&amp;action=edit&amp;redlink=1" TargetMode="External"/><Relationship Id="rId2076" Type="http://schemas.openxmlformats.org/officeDocument/2006/relationships/hyperlink" Target="https://en.wikipedia.org/wiki/Vail,_Colorado" TargetMode="External"/><Relationship Id="rId2077" Type="http://schemas.openxmlformats.org/officeDocument/2006/relationships/hyperlink" Target="https://en.wikipedia.org/wiki/Colorado" TargetMode="External"/><Relationship Id="rId2078" Type="http://schemas.openxmlformats.org/officeDocument/2006/relationships/hyperlink" Target="https://en.wikipedia.org/w/index.php?title=Vail_Yeti&amp;action=edit&amp;redlink=1" TargetMode="External"/><Relationship Id="rId2079" Type="http://schemas.openxmlformats.org/officeDocument/2006/relationships/hyperlink" Target="https://en.wikipedia.org/w/index.php?title=Tippecanoe_County_Fair&amp;action=edit&amp;redlink=1" TargetMode="External"/><Relationship Id="rId1610" Type="http://schemas.openxmlformats.org/officeDocument/2006/relationships/hyperlink" Target="https://en.wikipedia.org/wiki/Elmira,_New_York" TargetMode="External"/><Relationship Id="rId1611" Type="http://schemas.openxmlformats.org/officeDocument/2006/relationships/hyperlink" Target="https://en.wikipedia.org/wiki/New_York_(state)" TargetMode="External"/><Relationship Id="rId1612" Type="http://schemas.openxmlformats.org/officeDocument/2006/relationships/hyperlink" Target="https://en.wikipedia.org/wiki/Elmira_Enforcers" TargetMode="External"/><Relationship Id="rId1613" Type="http://schemas.openxmlformats.org/officeDocument/2006/relationships/hyperlink" Target="https://en.wikipedia.org/wiki/Hale_Arena" TargetMode="External"/><Relationship Id="rId1614" Type="http://schemas.openxmlformats.org/officeDocument/2006/relationships/hyperlink" Target="https://en.wikipedia.org/wiki/Kansas_City,_Missouri" TargetMode="External"/><Relationship Id="rId1615" Type="http://schemas.openxmlformats.org/officeDocument/2006/relationships/hyperlink" Target="https://en.wikipedia.org/wiki/Missouri" TargetMode="External"/><Relationship Id="rId1616" Type="http://schemas.openxmlformats.org/officeDocument/2006/relationships/hyperlink" Target="https://en.wikipedia.org/wiki/Houma_Terrebonne_Civic_Center" TargetMode="External"/><Relationship Id="rId907" Type="http://schemas.openxmlformats.org/officeDocument/2006/relationships/hyperlink" Target="https://en.wikipedia.org/wiki/Tucson_Roadrunners" TargetMode="External"/><Relationship Id="rId1617" Type="http://schemas.openxmlformats.org/officeDocument/2006/relationships/hyperlink" Target="https://en.wikipedia.org/wiki/Houma,_Louisiana" TargetMode="External"/><Relationship Id="rId906" Type="http://schemas.openxmlformats.org/officeDocument/2006/relationships/hyperlink" Target="https://en.wikipedia.org/wiki/Arizona" TargetMode="External"/><Relationship Id="rId1618" Type="http://schemas.openxmlformats.org/officeDocument/2006/relationships/hyperlink" Target="https://en.wikipedia.org/wiki/Louisiana" TargetMode="External"/><Relationship Id="rId905" Type="http://schemas.openxmlformats.org/officeDocument/2006/relationships/hyperlink" Target="https://en.wikipedia.org/wiki/Tucson,_Arizona" TargetMode="External"/><Relationship Id="rId1619" Type="http://schemas.openxmlformats.org/officeDocument/2006/relationships/hyperlink" Target="https://en.wikipedia.org/wiki/Houston_County_Farm_Center" TargetMode="External"/><Relationship Id="rId904" Type="http://schemas.openxmlformats.org/officeDocument/2006/relationships/hyperlink" Target="https://en.wikipedia.org/wiki/Tucson_Convention_Center" TargetMode="External"/><Relationship Id="rId909" Type="http://schemas.openxmlformats.org/officeDocument/2006/relationships/hyperlink" Target="https://en.wikipedia.org/wiki/Bank_of_Springfield_Center" TargetMode="External"/><Relationship Id="rId908" Type="http://schemas.openxmlformats.org/officeDocument/2006/relationships/hyperlink" Target="https://en.wikipedia.org/wiki/File:Bank_of_Springfield_Center_2017.jpg" TargetMode="External"/><Relationship Id="rId903" Type="http://schemas.openxmlformats.org/officeDocument/2006/relationships/hyperlink" Target="https://en.wikipedia.org/wiki/File:TucsonConvCenter.png" TargetMode="External"/><Relationship Id="rId902" Type="http://schemas.openxmlformats.org/officeDocument/2006/relationships/hyperlink" Target="https://en.wikipedia.org/wiki/Iowa" TargetMode="External"/><Relationship Id="rId901" Type="http://schemas.openxmlformats.org/officeDocument/2006/relationships/hyperlink" Target="https://en.wikipedia.org/wiki/Sioux_City" TargetMode="External"/><Relationship Id="rId900" Type="http://schemas.openxmlformats.org/officeDocument/2006/relationships/hyperlink" Target="https://en.wikipedia.org/w/index.php?title=Seaboard_Triumph_Expo_Center&amp;action=edit&amp;redlink=1" TargetMode="External"/><Relationship Id="rId1600" Type="http://schemas.openxmlformats.org/officeDocument/2006/relationships/hyperlink" Target="https://en.wikipedia.org/wiki/Greeley,_Colorado" TargetMode="External"/><Relationship Id="rId1601" Type="http://schemas.openxmlformats.org/officeDocument/2006/relationships/hyperlink" Target="https://en.wikipedia.org/wiki/Colorado" TargetMode="External"/><Relationship Id="rId1602" Type="http://schemas.openxmlformats.org/officeDocument/2006/relationships/hyperlink" Target="https://en.wikipedia.org/wiki/Viaero_Event_Center" TargetMode="External"/><Relationship Id="rId1603" Type="http://schemas.openxmlformats.org/officeDocument/2006/relationships/hyperlink" Target="https://en.wikipedia.org/wiki/Kearney,_Nebraska" TargetMode="External"/><Relationship Id="rId1604" Type="http://schemas.openxmlformats.org/officeDocument/2006/relationships/hyperlink" Target="https://en.wikipedia.org/wiki/Nebraska" TargetMode="External"/><Relationship Id="rId1605" Type="http://schemas.openxmlformats.org/officeDocument/2006/relationships/hyperlink" Target="https://en.wikipedia.org/wiki/Tri-City_Storm" TargetMode="External"/><Relationship Id="rId1606" Type="http://schemas.openxmlformats.org/officeDocument/2006/relationships/hyperlink" Target="https://en.wikipedia.org/wiki/Black_River_Coliseum" TargetMode="External"/><Relationship Id="rId1607" Type="http://schemas.openxmlformats.org/officeDocument/2006/relationships/hyperlink" Target="https://en.wikipedia.org/wiki/Poplar_Bluff,_Missouri" TargetMode="External"/><Relationship Id="rId1608" Type="http://schemas.openxmlformats.org/officeDocument/2006/relationships/hyperlink" Target="https://en.wikipedia.org/wiki/Missouri" TargetMode="External"/><Relationship Id="rId1609" Type="http://schemas.openxmlformats.org/officeDocument/2006/relationships/hyperlink" Target="https://en.wikipedia.org/wiki/First_Arena" TargetMode="External"/><Relationship Id="rId1631" Type="http://schemas.openxmlformats.org/officeDocument/2006/relationships/hyperlink" Target="https://en.wikipedia.org/wiki/Pennsylvania" TargetMode="External"/><Relationship Id="rId1632" Type="http://schemas.openxmlformats.org/officeDocument/2006/relationships/hyperlink" Target="https://en.wikipedia.org/wiki/Taylor_County_Expo_Center" TargetMode="External"/><Relationship Id="rId1633" Type="http://schemas.openxmlformats.org/officeDocument/2006/relationships/hyperlink" Target="https://en.wikipedia.org/wiki/Abilene,_Texas" TargetMode="External"/><Relationship Id="rId1634" Type="http://schemas.openxmlformats.org/officeDocument/2006/relationships/hyperlink" Target="https://en.wikipedia.org/wiki/Texas" TargetMode="External"/><Relationship Id="rId1635" Type="http://schemas.openxmlformats.org/officeDocument/2006/relationships/hyperlink" Target="https://en.wikipedia.org/wiki/File:Westchester_Couny_Center_December_3,_2013.jpg" TargetMode="External"/><Relationship Id="rId1636" Type="http://schemas.openxmlformats.org/officeDocument/2006/relationships/hyperlink" Target="https://en.wikipedia.org/wiki/Westchester_County_Center" TargetMode="External"/><Relationship Id="rId1637" Type="http://schemas.openxmlformats.org/officeDocument/2006/relationships/hyperlink" Target="https://en.wikipedia.org/wiki/White_Plains,_New_York" TargetMode="External"/><Relationship Id="rId1638" Type="http://schemas.openxmlformats.org/officeDocument/2006/relationships/hyperlink" Target="https://en.wikipedia.org/wiki/New_York_(state)" TargetMode="External"/><Relationship Id="rId929" Type="http://schemas.openxmlformats.org/officeDocument/2006/relationships/hyperlink" Target="https://en.wikipedia.org/wiki/Anchorage,_Alaska" TargetMode="External"/><Relationship Id="rId1639" Type="http://schemas.openxmlformats.org/officeDocument/2006/relationships/hyperlink" Target="https://en.wikipedia.org/wiki/Westchester_Knicks" TargetMode="External"/><Relationship Id="rId928" Type="http://schemas.openxmlformats.org/officeDocument/2006/relationships/hyperlink" Target="https://en.wikipedia.org/wiki/Sullivan_Arena" TargetMode="External"/><Relationship Id="rId927" Type="http://schemas.openxmlformats.org/officeDocument/2006/relationships/hyperlink" Target="https://en.wikipedia.org/wiki/File:Sullivan_Arena_Exterior.jpg" TargetMode="External"/><Relationship Id="rId926" Type="http://schemas.openxmlformats.org/officeDocument/2006/relationships/hyperlink" Target="https://en.wikipedia.org/wiki/Washington_(state)" TargetMode="External"/><Relationship Id="rId921" Type="http://schemas.openxmlformats.org/officeDocument/2006/relationships/hyperlink" Target="https://en.wikipedia.org/wiki/Cedar_Park,_Texas" TargetMode="External"/><Relationship Id="rId920" Type="http://schemas.openxmlformats.org/officeDocument/2006/relationships/hyperlink" Target="https://en.wikipedia.org/wiki/H-E-B_Center" TargetMode="External"/><Relationship Id="rId925" Type="http://schemas.openxmlformats.org/officeDocument/2006/relationships/hyperlink" Target="https://en.wikipedia.org/wiki/Bremerton,_Washington" TargetMode="External"/><Relationship Id="rId924" Type="http://schemas.openxmlformats.org/officeDocument/2006/relationships/hyperlink" Target="https://en.wikipedia.org/w/index.php?title=Kitsap_Sun_Pavilion&amp;action=edit&amp;redlink=1" TargetMode="External"/><Relationship Id="rId923" Type="http://schemas.openxmlformats.org/officeDocument/2006/relationships/hyperlink" Target="https://en.wikipedia.org/wiki/Texas_Stars" TargetMode="External"/><Relationship Id="rId922" Type="http://schemas.openxmlformats.org/officeDocument/2006/relationships/hyperlink" Target="https://en.wikipedia.org/wiki/Texas" TargetMode="External"/><Relationship Id="rId1630" Type="http://schemas.openxmlformats.org/officeDocument/2006/relationships/hyperlink" Target="https://en.wikipedia.org/wiki/Belle_Vernon,_Pennsylvania" TargetMode="External"/><Relationship Id="rId1620" Type="http://schemas.openxmlformats.org/officeDocument/2006/relationships/hyperlink" Target="https://en.wikipedia.org/wiki/Dothan,_Alabama" TargetMode="External"/><Relationship Id="rId1621" Type="http://schemas.openxmlformats.org/officeDocument/2006/relationships/hyperlink" Target="https://en.wikipedia.org/wiki/Alabama" TargetMode="External"/><Relationship Id="rId1622" Type="http://schemas.openxmlformats.org/officeDocument/2006/relationships/hyperlink" Target="https://en.wikipedia.org/wiki/Minot_Municipal_Auditorium" TargetMode="External"/><Relationship Id="rId1623" Type="http://schemas.openxmlformats.org/officeDocument/2006/relationships/hyperlink" Target="https://en.wikipedia.org/wiki/Minot,_North_Dakota" TargetMode="External"/><Relationship Id="rId1624" Type="http://schemas.openxmlformats.org/officeDocument/2006/relationships/hyperlink" Target="https://en.wikipedia.org/wiki/North_Dakota" TargetMode="External"/><Relationship Id="rId1625" Type="http://schemas.openxmlformats.org/officeDocument/2006/relationships/hyperlink" Target="https://en.wikipedia.org/wiki/File:Roland_E._Powell_Convention_Center.jpg" TargetMode="External"/><Relationship Id="rId1626" Type="http://schemas.openxmlformats.org/officeDocument/2006/relationships/hyperlink" Target="https://en.wikipedia.org/wiki/Roland_E._Powell_Convention_Center" TargetMode="External"/><Relationship Id="rId1627" Type="http://schemas.openxmlformats.org/officeDocument/2006/relationships/hyperlink" Target="https://en.wikipedia.org/wiki/Ocean_City,_Maryland" TargetMode="External"/><Relationship Id="rId918" Type="http://schemas.openxmlformats.org/officeDocument/2006/relationships/hyperlink" Target="https://en.wikipedia.org/wiki/Hawaii" TargetMode="External"/><Relationship Id="rId1628" Type="http://schemas.openxmlformats.org/officeDocument/2006/relationships/hyperlink" Target="https://en.wikipedia.org/wiki/Maryland" TargetMode="External"/><Relationship Id="rId917" Type="http://schemas.openxmlformats.org/officeDocument/2006/relationships/hyperlink" Target="https://en.wikipedia.org/wiki/Honolulu" TargetMode="External"/><Relationship Id="rId1629" Type="http://schemas.openxmlformats.org/officeDocument/2006/relationships/hyperlink" Target="https://en.wikipedia.org/wiki/Rostraver_Ice_Garden" TargetMode="External"/><Relationship Id="rId916" Type="http://schemas.openxmlformats.org/officeDocument/2006/relationships/hyperlink" Target="https://en.wikipedia.org/wiki/Neal_Blaisdell_Center" TargetMode="External"/><Relationship Id="rId915" Type="http://schemas.openxmlformats.org/officeDocument/2006/relationships/hyperlink" Target="https://en.wikipedia.org/wiki/File:Blaisdell_Arena_-_Honolulu_10-Feb-2010.jpg" TargetMode="External"/><Relationship Id="rId919" Type="http://schemas.openxmlformats.org/officeDocument/2006/relationships/hyperlink" Target="https://en.wikipedia.org/wiki/File:Cedar_park_center_2014.jpg" TargetMode="External"/><Relationship Id="rId910" Type="http://schemas.openxmlformats.org/officeDocument/2006/relationships/hyperlink" Target="https://en.wikipedia.org/wiki/Springfield,_Illinois" TargetMode="External"/><Relationship Id="rId914" Type="http://schemas.openxmlformats.org/officeDocument/2006/relationships/hyperlink" Target="https://en.wikipedia.org/wiki/Oklahoma" TargetMode="External"/><Relationship Id="rId913" Type="http://schemas.openxmlformats.org/officeDocument/2006/relationships/hyperlink" Target="https://en.wikipedia.org/wiki/Tulsa,_Oklahoma" TargetMode="External"/><Relationship Id="rId912" Type="http://schemas.openxmlformats.org/officeDocument/2006/relationships/hyperlink" Target="https://en.wikipedia.org/wiki/Cox_Business_Convention_Center" TargetMode="External"/><Relationship Id="rId911" Type="http://schemas.openxmlformats.org/officeDocument/2006/relationships/hyperlink" Target="https://en.wikipedia.org/wiki/Illinois" TargetMode="External"/><Relationship Id="rId1213" Type="http://schemas.openxmlformats.org/officeDocument/2006/relationships/hyperlink" Target="https://en.wikipedia.org/wiki/Chicagoland" TargetMode="External"/><Relationship Id="rId1697" Type="http://schemas.openxmlformats.org/officeDocument/2006/relationships/hyperlink" Target="https://en.wikipedia.org/wiki/Lake_Tahoe_ECHL_team" TargetMode="External"/><Relationship Id="rId1214" Type="http://schemas.openxmlformats.org/officeDocument/2006/relationships/hyperlink" Target="https://en.wikipedia.org/wiki/Cable_Dahmer_Arena" TargetMode="External"/><Relationship Id="rId1698" Type="http://schemas.openxmlformats.org/officeDocument/2006/relationships/hyperlink" Target="https://en.wikipedia.org/wiki/File:GentileCenterOUTSIDE.jpg" TargetMode="External"/><Relationship Id="rId1215" Type="http://schemas.openxmlformats.org/officeDocument/2006/relationships/hyperlink" Target="https://en.wikipedia.org/wiki/Independence,_Missouri" TargetMode="External"/><Relationship Id="rId1699" Type="http://schemas.openxmlformats.org/officeDocument/2006/relationships/hyperlink" Target="https://en.wikipedia.org/wiki/Joseph_J._Gentile_Arena" TargetMode="External"/><Relationship Id="rId1216" Type="http://schemas.openxmlformats.org/officeDocument/2006/relationships/hyperlink" Target="https://en.wikipedia.org/wiki/Missouri" TargetMode="External"/><Relationship Id="rId1217" Type="http://schemas.openxmlformats.org/officeDocument/2006/relationships/hyperlink" Target="https://en.wikipedia.org/wiki/Kansas_City_Mavericks" TargetMode="External"/><Relationship Id="rId1218" Type="http://schemas.openxmlformats.org/officeDocument/2006/relationships/hyperlink" Target="https://en.wikipedia.org/wiki/The_Hippodrome" TargetMode="External"/><Relationship Id="rId1219" Type="http://schemas.openxmlformats.org/officeDocument/2006/relationships/hyperlink" Target="https://en.wikipedia.org/wiki/Waterloo,_Iowa" TargetMode="External"/><Relationship Id="rId866" Type="http://schemas.openxmlformats.org/officeDocument/2006/relationships/hyperlink" Target="https://en.wikipedia.org/wiki/Maine" TargetMode="External"/><Relationship Id="rId865" Type="http://schemas.openxmlformats.org/officeDocument/2006/relationships/hyperlink" Target="https://en.wikipedia.org/wiki/Portland,_Maine" TargetMode="External"/><Relationship Id="rId864" Type="http://schemas.openxmlformats.org/officeDocument/2006/relationships/hyperlink" Target="https://en.wikipedia.org/wiki/Cross_Insurance_Arena" TargetMode="External"/><Relationship Id="rId863" Type="http://schemas.openxmlformats.org/officeDocument/2006/relationships/hyperlink" Target="https://en.wikipedia.org/wiki/Tennessee" TargetMode="External"/><Relationship Id="rId869" Type="http://schemas.openxmlformats.org/officeDocument/2006/relationships/hyperlink" Target="https://en.wikipedia.org/wiki/Extraco_Events_Center" TargetMode="External"/><Relationship Id="rId868" Type="http://schemas.openxmlformats.org/officeDocument/2006/relationships/hyperlink" Target="https://en.wikipedia.org/wiki/File:Heart_O%27_Texas_Coliseum_2.jpg" TargetMode="External"/><Relationship Id="rId867" Type="http://schemas.openxmlformats.org/officeDocument/2006/relationships/hyperlink" Target="https://en.wikipedia.org/wiki/Maine_Mariners_(ECHL)" TargetMode="External"/><Relationship Id="rId1690" Type="http://schemas.openxmlformats.org/officeDocument/2006/relationships/hyperlink" Target="https://en.wikipedia.org/wiki/Athens,_Georgia" TargetMode="External"/><Relationship Id="rId1691" Type="http://schemas.openxmlformats.org/officeDocument/2006/relationships/hyperlink" Target="https://en.wikipedia.org/wiki/Georgia_(U.S._state)" TargetMode="External"/><Relationship Id="rId1692" Type="http://schemas.openxmlformats.org/officeDocument/2006/relationships/hyperlink" Target="https://en.wikipedia.org/wiki/Georgia_Bulldogs" TargetMode="External"/><Relationship Id="rId862" Type="http://schemas.openxmlformats.org/officeDocument/2006/relationships/hyperlink" Target="https://en.wikipedia.org/wiki/Sevierville" TargetMode="External"/><Relationship Id="rId1693" Type="http://schemas.openxmlformats.org/officeDocument/2006/relationships/hyperlink" Target="https://en.wikipedia.org/wiki/Metro_Atlanta" TargetMode="External"/><Relationship Id="rId861" Type="http://schemas.openxmlformats.org/officeDocument/2006/relationships/hyperlink" Target="https://en.wikipedia.org/w/index.php?title=Sevierville_Convention_Center&amp;action=edit&amp;redlink=1" TargetMode="External"/><Relationship Id="rId1210" Type="http://schemas.openxmlformats.org/officeDocument/2006/relationships/hyperlink" Target="https://en.wikipedia.org/wiki/Genesis_Convention_Center" TargetMode="External"/><Relationship Id="rId1694" Type="http://schemas.openxmlformats.org/officeDocument/2006/relationships/hyperlink" Target="https://en.wikipedia.org/wiki/Tahoe_Blue_Event_Center" TargetMode="External"/><Relationship Id="rId860" Type="http://schemas.openxmlformats.org/officeDocument/2006/relationships/hyperlink" Target="https://en.wikipedia.org/wiki/Oregon" TargetMode="External"/><Relationship Id="rId1211" Type="http://schemas.openxmlformats.org/officeDocument/2006/relationships/hyperlink" Target="https://en.wikipedia.org/wiki/Gary,_Indiana" TargetMode="External"/><Relationship Id="rId1695" Type="http://schemas.openxmlformats.org/officeDocument/2006/relationships/hyperlink" Target="https://en.wikipedia.org/wiki/Stateline,_Nevada" TargetMode="External"/><Relationship Id="rId1212" Type="http://schemas.openxmlformats.org/officeDocument/2006/relationships/hyperlink" Target="https://en.wikipedia.org/wiki/Indiana" TargetMode="External"/><Relationship Id="rId1696" Type="http://schemas.openxmlformats.org/officeDocument/2006/relationships/hyperlink" Target="https://en.wikipedia.org/wiki/Nevada" TargetMode="External"/><Relationship Id="rId1202" Type="http://schemas.openxmlformats.org/officeDocument/2006/relationships/hyperlink" Target="https://en.wikipedia.org/wiki/Visions_Veterans_Memorial_Arena" TargetMode="External"/><Relationship Id="rId1686" Type="http://schemas.openxmlformats.org/officeDocument/2006/relationships/hyperlink" Target="https://en.wikipedia.org/wiki/Villa_Park,_Illinois" TargetMode="External"/><Relationship Id="rId1203" Type="http://schemas.openxmlformats.org/officeDocument/2006/relationships/hyperlink" Target="https://en.wikipedia.org/wiki/Binghamton,_New_York" TargetMode="External"/><Relationship Id="rId1687" Type="http://schemas.openxmlformats.org/officeDocument/2006/relationships/hyperlink" Target="https://en.wikipedia.org/wiki/Illinois" TargetMode="External"/><Relationship Id="rId1204" Type="http://schemas.openxmlformats.org/officeDocument/2006/relationships/hyperlink" Target="https://en.wikipedia.org/wiki/New_York_(state)" TargetMode="External"/><Relationship Id="rId1688" Type="http://schemas.openxmlformats.org/officeDocument/2006/relationships/hyperlink" Target="https://en.wikipedia.org/wiki/Chicagoland" TargetMode="External"/><Relationship Id="rId1205" Type="http://schemas.openxmlformats.org/officeDocument/2006/relationships/hyperlink" Target="https://en.wikipedia.org/wiki/Binghamton_Black_Bears" TargetMode="External"/><Relationship Id="rId1689" Type="http://schemas.openxmlformats.org/officeDocument/2006/relationships/hyperlink" Target="https://en.wikipedia.org/wiki/Classic_Center" TargetMode="External"/><Relationship Id="rId1206" Type="http://schemas.openxmlformats.org/officeDocument/2006/relationships/hyperlink" Target="https://en.wikipedia.org/wiki/Appalachian_Wireless_Arena" TargetMode="External"/><Relationship Id="rId1207" Type="http://schemas.openxmlformats.org/officeDocument/2006/relationships/hyperlink" Target="https://en.wikipedia.org/wiki/Pikeville,_Kentucky" TargetMode="External"/><Relationship Id="rId1208" Type="http://schemas.openxmlformats.org/officeDocument/2006/relationships/hyperlink" Target="https://en.wikipedia.org/wiki/Kentucky" TargetMode="External"/><Relationship Id="rId1209" Type="http://schemas.openxmlformats.org/officeDocument/2006/relationships/hyperlink" Target="https://en.wikipedia.org/wiki/File:Genesis_Convention_Center_(13815066765).jpg" TargetMode="External"/><Relationship Id="rId855" Type="http://schemas.openxmlformats.org/officeDocument/2006/relationships/hyperlink" Target="https://en.wikipedia.org/wiki/Burton_Coliseum" TargetMode="External"/><Relationship Id="rId854" Type="http://schemas.openxmlformats.org/officeDocument/2006/relationships/hyperlink" Target="https://en.wikipedia.org/wiki/File:Burton_Complex.JPG" TargetMode="External"/><Relationship Id="rId853" Type="http://schemas.openxmlformats.org/officeDocument/2006/relationships/hyperlink" Target="https://en.wikipedia.org/wiki/Henderson_Silver_Knights" TargetMode="External"/><Relationship Id="rId852" Type="http://schemas.openxmlformats.org/officeDocument/2006/relationships/hyperlink" Target="https://en.wikipedia.org/wiki/Nevada" TargetMode="External"/><Relationship Id="rId859" Type="http://schemas.openxmlformats.org/officeDocument/2006/relationships/hyperlink" Target="https://en.wikipedia.org/wiki/Portland,_Oregon" TargetMode="External"/><Relationship Id="rId858" Type="http://schemas.openxmlformats.org/officeDocument/2006/relationships/hyperlink" Target="https://en.wikipedia.org/wiki/Portland_Expo_Center" TargetMode="External"/><Relationship Id="rId857" Type="http://schemas.openxmlformats.org/officeDocument/2006/relationships/hyperlink" Target="https://en.wikipedia.org/wiki/Louisiana" TargetMode="External"/><Relationship Id="rId856" Type="http://schemas.openxmlformats.org/officeDocument/2006/relationships/hyperlink" Target="https://en.wikipedia.org/wiki/Lake_Charles,_Louisiana" TargetMode="External"/><Relationship Id="rId1680" Type="http://schemas.openxmlformats.org/officeDocument/2006/relationships/hyperlink" Target="https://en.wikipedia.org/wiki/Maine" TargetMode="External"/><Relationship Id="rId1681" Type="http://schemas.openxmlformats.org/officeDocument/2006/relationships/hyperlink" Target="https://en.wikipedia.org/w/index.php?title=FireLake_Arena&amp;action=edit&amp;redlink=1" TargetMode="External"/><Relationship Id="rId851" Type="http://schemas.openxmlformats.org/officeDocument/2006/relationships/hyperlink" Target="https://en.wikipedia.org/wiki/Las_Vegas" TargetMode="External"/><Relationship Id="rId1682" Type="http://schemas.openxmlformats.org/officeDocument/2006/relationships/hyperlink" Target="https://en.wikipedia.org/wiki/Shawnee,_Oklahoma" TargetMode="External"/><Relationship Id="rId850" Type="http://schemas.openxmlformats.org/officeDocument/2006/relationships/hyperlink" Target="https://en.wikipedia.org/wiki/Orleans_Arena" TargetMode="External"/><Relationship Id="rId1683" Type="http://schemas.openxmlformats.org/officeDocument/2006/relationships/hyperlink" Target="https://en.wikipedia.org/wiki/Oklahoma" TargetMode="External"/><Relationship Id="rId1200" Type="http://schemas.openxmlformats.org/officeDocument/2006/relationships/hyperlink" Target="https://en.wikipedia.org/wiki/Dallas%E2%80%93Fort_Worth_metroplex" TargetMode="External"/><Relationship Id="rId1684" Type="http://schemas.openxmlformats.org/officeDocument/2006/relationships/hyperlink" Target="https://en.wikipedia.org/wiki/File:OdeumExpoCenter.jpg" TargetMode="External"/><Relationship Id="rId1201" Type="http://schemas.openxmlformats.org/officeDocument/2006/relationships/hyperlink" Target="https://en.wikipedia.org/wiki/File:Broomearena.jpg" TargetMode="External"/><Relationship Id="rId1685" Type="http://schemas.openxmlformats.org/officeDocument/2006/relationships/hyperlink" Target="https://en.wikipedia.org/wiki/Odeum_Expo_Center" TargetMode="External"/><Relationship Id="rId1235" Type="http://schemas.openxmlformats.org/officeDocument/2006/relationships/hyperlink" Target="https://en.wikipedia.org/w/index.php?title=Majestic_Valley_Arena&amp;action=edit&amp;redlink=1" TargetMode="External"/><Relationship Id="rId1236" Type="http://schemas.openxmlformats.org/officeDocument/2006/relationships/hyperlink" Target="https://en.wikipedia.org/wiki/Kalispell,_Montana" TargetMode="External"/><Relationship Id="rId1237" Type="http://schemas.openxmlformats.org/officeDocument/2006/relationships/hyperlink" Target="https://en.wikipedia.org/wiki/Montana" TargetMode="External"/><Relationship Id="rId1238" Type="http://schemas.openxmlformats.org/officeDocument/2006/relationships/hyperlink" Target="https://en.wikipedia.org/wiki/Hard_Rock_Live_at_Etess_Arena" TargetMode="External"/><Relationship Id="rId1239" Type="http://schemas.openxmlformats.org/officeDocument/2006/relationships/hyperlink" Target="https://en.wikipedia.org/wiki/Atlantic_City,_New_Jersey" TargetMode="External"/><Relationship Id="rId409" Type="http://schemas.openxmlformats.org/officeDocument/2006/relationships/hyperlink" Target="https://en.wikipedia.org/wiki/New_York_(state)" TargetMode="External"/><Relationship Id="rId404" Type="http://schemas.openxmlformats.org/officeDocument/2006/relationships/hyperlink" Target="https://en.wikipedia.org/wiki/Bossier_City,_Louisiana" TargetMode="External"/><Relationship Id="rId888" Type="http://schemas.openxmlformats.org/officeDocument/2006/relationships/hyperlink" Target="https://en.wikipedia.org/wiki/Colorado" TargetMode="External"/><Relationship Id="rId403" Type="http://schemas.openxmlformats.org/officeDocument/2006/relationships/hyperlink" Target="https://en.wikipedia.org/wiki/Brookshire_Grocery_Arena" TargetMode="External"/><Relationship Id="rId887" Type="http://schemas.openxmlformats.org/officeDocument/2006/relationships/hyperlink" Target="https://en.wikipedia.org/wiki/Colorado_Springs,_Colorado" TargetMode="External"/><Relationship Id="rId402" Type="http://schemas.openxmlformats.org/officeDocument/2006/relationships/hyperlink" Target="https://en.wikipedia.org/wiki/File:CenturyTel_Center.png" TargetMode="External"/><Relationship Id="rId886" Type="http://schemas.openxmlformats.org/officeDocument/2006/relationships/hyperlink" Target="https://en.wikipedia.org/wiki/Broadmoor_World_Arena_(1998)" TargetMode="External"/><Relationship Id="rId401" Type="http://schemas.openxmlformats.org/officeDocument/2006/relationships/hyperlink" Target="https://en.wikipedia.org/wiki/Dallas%E2%80%93Fort_Worth_metroplex" TargetMode="External"/><Relationship Id="rId885" Type="http://schemas.openxmlformats.org/officeDocument/2006/relationships/hyperlink" Target="https://en.wikipedia.org/wiki/File:The_Broadmoor_World_Arena.JPG" TargetMode="External"/><Relationship Id="rId408" Type="http://schemas.openxmlformats.org/officeDocument/2006/relationships/hyperlink" Target="https://en.wikipedia.org/wiki/Rochester,_New_York" TargetMode="External"/><Relationship Id="rId407" Type="http://schemas.openxmlformats.org/officeDocument/2006/relationships/hyperlink" Target="https://en.wikipedia.org/wiki/Blue_Cross_Arena" TargetMode="External"/><Relationship Id="rId406" Type="http://schemas.openxmlformats.org/officeDocument/2006/relationships/hyperlink" Target="https://en.wikipedia.org/wiki/File:Rochester_Blue_Cross_Arena_-_NW_Exterior.jpg" TargetMode="External"/><Relationship Id="rId405" Type="http://schemas.openxmlformats.org/officeDocument/2006/relationships/hyperlink" Target="https://en.wikipedia.org/wiki/Louisiana" TargetMode="External"/><Relationship Id="rId889" Type="http://schemas.openxmlformats.org/officeDocument/2006/relationships/hyperlink" Target="https://en.wikipedia.org/wiki/Colorado_College_Tigers_men%27s_ice_hockey" TargetMode="External"/><Relationship Id="rId880" Type="http://schemas.openxmlformats.org/officeDocument/2006/relationships/hyperlink" Target="https://en.wikipedia.org/wiki/File:Aerial_view_of_Von_Braun_Center.jpg" TargetMode="External"/><Relationship Id="rId1230" Type="http://schemas.openxmlformats.org/officeDocument/2006/relationships/hyperlink" Target="https://en.wikipedia.org/wiki/File:Scheel%27s_Arena.JPG" TargetMode="External"/><Relationship Id="rId400" Type="http://schemas.openxmlformats.org/officeDocument/2006/relationships/hyperlink" Target="https://en.wikipedia.org/wiki/Panther_City_Lacrosse_Club" TargetMode="External"/><Relationship Id="rId884" Type="http://schemas.openxmlformats.org/officeDocument/2006/relationships/hyperlink" Target="https://en.wikipedia.org/wiki/Huntsville_Havoc" TargetMode="External"/><Relationship Id="rId1231" Type="http://schemas.openxmlformats.org/officeDocument/2006/relationships/hyperlink" Target="https://en.wikipedia.org/wiki/Scheels_Arena" TargetMode="External"/><Relationship Id="rId883" Type="http://schemas.openxmlformats.org/officeDocument/2006/relationships/hyperlink" Target="https://en.wikipedia.org/wiki/Alabama" TargetMode="External"/><Relationship Id="rId1232" Type="http://schemas.openxmlformats.org/officeDocument/2006/relationships/hyperlink" Target="https://en.wikipedia.org/wiki/Fargo,_North_Dakota" TargetMode="External"/><Relationship Id="rId882" Type="http://schemas.openxmlformats.org/officeDocument/2006/relationships/hyperlink" Target="https://en.wikipedia.org/wiki/Huntsville,_Alabama" TargetMode="External"/><Relationship Id="rId1233" Type="http://schemas.openxmlformats.org/officeDocument/2006/relationships/hyperlink" Target="https://en.wikipedia.org/wiki/North_Dakota" TargetMode="External"/><Relationship Id="rId881" Type="http://schemas.openxmlformats.org/officeDocument/2006/relationships/hyperlink" Target="https://en.wikipedia.org/wiki/Von_Braun_Center" TargetMode="External"/><Relationship Id="rId1234" Type="http://schemas.openxmlformats.org/officeDocument/2006/relationships/hyperlink" Target="https://en.wikipedia.org/wiki/Fargo_Force" TargetMode="External"/><Relationship Id="rId1224" Type="http://schemas.openxmlformats.org/officeDocument/2006/relationships/hyperlink" Target="https://en.wikipedia.org/wiki/Oregon_State_Fairgrounds_Pavilion" TargetMode="External"/><Relationship Id="rId1225" Type="http://schemas.openxmlformats.org/officeDocument/2006/relationships/hyperlink" Target="https://en.wikipedia.org/wiki/Salem,_Oregon" TargetMode="External"/><Relationship Id="rId1226" Type="http://schemas.openxmlformats.org/officeDocument/2006/relationships/hyperlink" Target="https://en.wikipedia.org/wiki/Oregon" TargetMode="External"/><Relationship Id="rId1227" Type="http://schemas.openxmlformats.org/officeDocument/2006/relationships/hyperlink" Target="https://en.wikipedia.org/wiki/Celebration_Arena" TargetMode="External"/><Relationship Id="rId1228" Type="http://schemas.openxmlformats.org/officeDocument/2006/relationships/hyperlink" Target="https://en.wikipedia.org/wiki/Decatur,_Alabama" TargetMode="External"/><Relationship Id="rId1229" Type="http://schemas.openxmlformats.org/officeDocument/2006/relationships/hyperlink" Target="https://en.wikipedia.org/wiki/Alabama" TargetMode="External"/><Relationship Id="rId877" Type="http://schemas.openxmlformats.org/officeDocument/2006/relationships/hyperlink" Target="https://en.wikipedia.org/wiki/Pennsylvania" TargetMode="External"/><Relationship Id="rId876" Type="http://schemas.openxmlformats.org/officeDocument/2006/relationships/hyperlink" Target="https://en.wikipedia.org/wiki/Reading,_Pennsylvania" TargetMode="External"/><Relationship Id="rId875" Type="http://schemas.openxmlformats.org/officeDocument/2006/relationships/hyperlink" Target="https://en.wikipedia.org/wiki/Santander_Arena" TargetMode="External"/><Relationship Id="rId874" Type="http://schemas.openxmlformats.org/officeDocument/2006/relationships/hyperlink" Target="https://en.wikipedia.org/wiki/Iowa" TargetMode="External"/><Relationship Id="rId879" Type="http://schemas.openxmlformats.org/officeDocument/2006/relationships/hyperlink" Target="https://en.wikipedia.org/wiki/Delaware_Valley" TargetMode="External"/><Relationship Id="rId878" Type="http://schemas.openxmlformats.org/officeDocument/2006/relationships/hyperlink" Target="https://en.wikipedia.org/wiki/Reading_Royals" TargetMode="External"/><Relationship Id="rId873" Type="http://schemas.openxmlformats.org/officeDocument/2006/relationships/hyperlink" Target="https://en.wikipedia.org/wiki/Council_Bluffs,_Iowa" TargetMode="External"/><Relationship Id="rId1220" Type="http://schemas.openxmlformats.org/officeDocument/2006/relationships/hyperlink" Target="https://en.wikipedia.org/wiki/Iowa" TargetMode="External"/><Relationship Id="rId872" Type="http://schemas.openxmlformats.org/officeDocument/2006/relationships/hyperlink" Target="https://en.wikipedia.org/wiki/Mid-America_Center" TargetMode="External"/><Relationship Id="rId1221" Type="http://schemas.openxmlformats.org/officeDocument/2006/relationships/hyperlink" Target="https://en.wikipedia.org/wiki/Taft_Coliseum" TargetMode="External"/><Relationship Id="rId871" Type="http://schemas.openxmlformats.org/officeDocument/2006/relationships/hyperlink" Target="https://en.wikipedia.org/wiki/Texas" TargetMode="External"/><Relationship Id="rId1222" Type="http://schemas.openxmlformats.org/officeDocument/2006/relationships/hyperlink" Target="https://en.wikipedia.org/wiki/Columbus,_Ohio" TargetMode="External"/><Relationship Id="rId870" Type="http://schemas.openxmlformats.org/officeDocument/2006/relationships/hyperlink" Target="https://en.wikipedia.org/wiki/Waco,_Texas" TargetMode="External"/><Relationship Id="rId1223" Type="http://schemas.openxmlformats.org/officeDocument/2006/relationships/hyperlink" Target="https://en.wikipedia.org/wiki/Ohio" TargetMode="External"/><Relationship Id="rId1653" Type="http://schemas.openxmlformats.org/officeDocument/2006/relationships/hyperlink" Target="https://en.wikipedia.org/wiki/San_Bernardino" TargetMode="External"/><Relationship Id="rId1654" Type="http://schemas.openxmlformats.org/officeDocument/2006/relationships/hyperlink" Target="https://en.wikipedia.org/wiki/California" TargetMode="External"/><Relationship Id="rId1655" Type="http://schemas.openxmlformats.org/officeDocument/2006/relationships/hyperlink" Target="https://en.wikipedia.org/wiki/Greater_Los_Angeles" TargetMode="External"/><Relationship Id="rId1656" Type="http://schemas.openxmlformats.org/officeDocument/2006/relationships/hyperlink" Target="https://en.wikipedia.org/wiki/Gateway_Center_Arena" TargetMode="External"/><Relationship Id="rId1657" Type="http://schemas.openxmlformats.org/officeDocument/2006/relationships/hyperlink" Target="https://en.wikipedia.org/wiki/College_Park,_Georgia" TargetMode="External"/><Relationship Id="rId1658" Type="http://schemas.openxmlformats.org/officeDocument/2006/relationships/hyperlink" Target="https://en.wikipedia.org/wiki/Georgia_(U.S._state)" TargetMode="External"/><Relationship Id="rId1659" Type="http://schemas.openxmlformats.org/officeDocument/2006/relationships/hyperlink" Target="https://en.wikipedia.org/wiki/Atlanta_Dream" TargetMode="External"/><Relationship Id="rId829" Type="http://schemas.openxmlformats.org/officeDocument/2006/relationships/hyperlink" Target="https://en.wikipedia.org/wiki/Macon,_Georgia" TargetMode="External"/><Relationship Id="rId828" Type="http://schemas.openxmlformats.org/officeDocument/2006/relationships/hyperlink" Target="https://en.wikipedia.org/wiki/Macon_Coliseum" TargetMode="External"/><Relationship Id="rId827" Type="http://schemas.openxmlformats.org/officeDocument/2006/relationships/hyperlink" Target="https://en.wikipedia.org/wiki/Texas" TargetMode="External"/><Relationship Id="rId822" Type="http://schemas.openxmlformats.org/officeDocument/2006/relationships/hyperlink" Target="https://en.wikipedia.org/wiki/Luedecke_Arena" TargetMode="External"/><Relationship Id="rId821" Type="http://schemas.openxmlformats.org/officeDocument/2006/relationships/hyperlink" Target="https://en.wikipedia.org/wiki/File:Luedecke_Arena_Austin_Texas_2016.jpg" TargetMode="External"/><Relationship Id="rId820" Type="http://schemas.openxmlformats.org/officeDocument/2006/relationships/hyperlink" Target="https://en.wikipedia.org/wiki/Florida" TargetMode="External"/><Relationship Id="rId826" Type="http://schemas.openxmlformats.org/officeDocument/2006/relationships/hyperlink" Target="https://en.wikipedia.org/wiki/Abilene,_Texas" TargetMode="External"/><Relationship Id="rId825" Type="http://schemas.openxmlformats.org/officeDocument/2006/relationships/hyperlink" Target="https://en.wikipedia.org/wiki/Taylor_County_Expo_Center" TargetMode="External"/><Relationship Id="rId824" Type="http://schemas.openxmlformats.org/officeDocument/2006/relationships/hyperlink" Target="https://en.wikipedia.org/wiki/Texas" TargetMode="External"/><Relationship Id="rId823" Type="http://schemas.openxmlformats.org/officeDocument/2006/relationships/hyperlink" Target="https://en.wikipedia.org/wiki/Austin,_Texas" TargetMode="External"/><Relationship Id="rId1650" Type="http://schemas.openxmlformats.org/officeDocument/2006/relationships/hyperlink" Target="https://en.wikipedia.org/wiki/Del_Mar,_California" TargetMode="External"/><Relationship Id="rId1651" Type="http://schemas.openxmlformats.org/officeDocument/2006/relationships/hyperlink" Target="https://en.wikipedia.org/wiki/California" TargetMode="External"/><Relationship Id="rId1652" Type="http://schemas.openxmlformats.org/officeDocument/2006/relationships/hyperlink" Target="https://en.wikipedia.org/wiki/National_Orange_Show" TargetMode="External"/><Relationship Id="rId1642" Type="http://schemas.openxmlformats.org/officeDocument/2006/relationships/hyperlink" Target="https://en.wikipedia.org/wiki/Taylorsville,_Utah" TargetMode="External"/><Relationship Id="rId1643" Type="http://schemas.openxmlformats.org/officeDocument/2006/relationships/hyperlink" Target="https://en.wikipedia.org/wiki/Utah" TargetMode="External"/><Relationship Id="rId1644" Type="http://schemas.openxmlformats.org/officeDocument/2006/relationships/hyperlink" Target="https://en.wikipedia.org/wiki/Salt_Lake_City_Stars" TargetMode="External"/><Relationship Id="rId1645" Type="http://schemas.openxmlformats.org/officeDocument/2006/relationships/hyperlink" Target="https://en.wikipedia.org/wiki/File:Rochester_Main_Street_Armory_-_Exterior.jpg" TargetMode="External"/><Relationship Id="rId1646" Type="http://schemas.openxmlformats.org/officeDocument/2006/relationships/hyperlink" Target="https://en.wikipedia.org/wiki/Main_Street_Armory" TargetMode="External"/><Relationship Id="rId1647" Type="http://schemas.openxmlformats.org/officeDocument/2006/relationships/hyperlink" Target="https://en.wikipedia.org/wiki/Rochester,_New_York" TargetMode="External"/><Relationship Id="rId1648" Type="http://schemas.openxmlformats.org/officeDocument/2006/relationships/hyperlink" Target="https://en.wikipedia.org/wiki/New_York_(state)" TargetMode="External"/><Relationship Id="rId1649" Type="http://schemas.openxmlformats.org/officeDocument/2006/relationships/hyperlink" Target="https://en.wikipedia.org/wiki/Del_Mar_Fairgrounds" TargetMode="External"/><Relationship Id="rId819" Type="http://schemas.openxmlformats.org/officeDocument/2006/relationships/hyperlink" Target="https://en.wikipedia.org/wiki/Daytona_Beach,_Florida" TargetMode="External"/><Relationship Id="rId818" Type="http://schemas.openxmlformats.org/officeDocument/2006/relationships/hyperlink" Target="https://en.wikipedia.org/wiki/Ocean_Center" TargetMode="External"/><Relationship Id="rId817" Type="http://schemas.openxmlformats.org/officeDocument/2006/relationships/hyperlink" Target="https://en.wikipedia.org/wiki/File:DaytonaBeach-OceanCenter-wide.jpg" TargetMode="External"/><Relationship Id="rId816" Type="http://schemas.openxmlformats.org/officeDocument/2006/relationships/hyperlink" Target="https://en.wikipedia.org/wiki/Savannah_Ghost_Pirates" TargetMode="External"/><Relationship Id="rId811" Type="http://schemas.openxmlformats.org/officeDocument/2006/relationships/hyperlink" Target="https://en.wikipedia.org/wiki/Miami_Beach,_Florida" TargetMode="External"/><Relationship Id="rId810" Type="http://schemas.openxmlformats.org/officeDocument/2006/relationships/hyperlink" Target="https://en.wikipedia.org/wiki/Miami_Beach_Convention_Center" TargetMode="External"/><Relationship Id="rId815" Type="http://schemas.openxmlformats.org/officeDocument/2006/relationships/hyperlink" Target="https://en.wikipedia.org/wiki/Georgia_(U.S._state)" TargetMode="External"/><Relationship Id="rId814" Type="http://schemas.openxmlformats.org/officeDocument/2006/relationships/hyperlink" Target="https://en.wikipedia.org/wiki/Savannah,_Georgia" TargetMode="External"/><Relationship Id="rId813" Type="http://schemas.openxmlformats.org/officeDocument/2006/relationships/hyperlink" Target="https://en.wikipedia.org/wiki/Enmarket_Arena" TargetMode="External"/><Relationship Id="rId812" Type="http://schemas.openxmlformats.org/officeDocument/2006/relationships/hyperlink" Target="https://en.wikipedia.org/wiki/Florida" TargetMode="External"/><Relationship Id="rId1640" Type="http://schemas.openxmlformats.org/officeDocument/2006/relationships/hyperlink" Target="https://en.wikipedia.org/wiki/New_York_metropolitan_area" TargetMode="External"/><Relationship Id="rId1641" Type="http://schemas.openxmlformats.org/officeDocument/2006/relationships/hyperlink" Target="https://en.wikipedia.org/wiki/Lifetime_Activities_Center" TargetMode="External"/><Relationship Id="rId1675" Type="http://schemas.openxmlformats.org/officeDocument/2006/relationships/hyperlink" Target="https://en.wikipedia.org/wiki/Sarasota,_Florida" TargetMode="External"/><Relationship Id="rId1676" Type="http://schemas.openxmlformats.org/officeDocument/2006/relationships/hyperlink" Target="https://en.wikipedia.org/wiki/Florida" TargetMode="External"/><Relationship Id="rId1677" Type="http://schemas.openxmlformats.org/officeDocument/2006/relationships/hyperlink" Target="https://en.wikipedia.org/wiki/Tampa_Bay_area" TargetMode="External"/><Relationship Id="rId1678" Type="http://schemas.openxmlformats.org/officeDocument/2006/relationships/hyperlink" Target="https://en.wikipedia.org/w/index.php?title=Presque_Isle_Forum&amp;action=edit&amp;redlink=1" TargetMode="External"/><Relationship Id="rId1679" Type="http://schemas.openxmlformats.org/officeDocument/2006/relationships/hyperlink" Target="https://en.wikipedia.org/wiki/Presque_Isle,_Maine" TargetMode="External"/><Relationship Id="rId849" Type="http://schemas.openxmlformats.org/officeDocument/2006/relationships/hyperlink" Target="https://en.wikipedia.org/wiki/File:Orleans_Arena_December_2019.jpg" TargetMode="External"/><Relationship Id="rId844" Type="http://schemas.openxmlformats.org/officeDocument/2006/relationships/hyperlink" Target="https://en.wikipedia.org/wiki/California" TargetMode="External"/><Relationship Id="rId843" Type="http://schemas.openxmlformats.org/officeDocument/2006/relationships/hyperlink" Target="https://en.wikipedia.org/wiki/Anaheim,_California" TargetMode="External"/><Relationship Id="rId842" Type="http://schemas.openxmlformats.org/officeDocument/2006/relationships/hyperlink" Target="https://en.wikipedia.org/wiki/Anaheim_Convention_Center" TargetMode="External"/><Relationship Id="rId841" Type="http://schemas.openxmlformats.org/officeDocument/2006/relationships/hyperlink" Target="https://en.wikipedia.org/wiki/File:Anaheim_convention_center_2021.jpg" TargetMode="External"/><Relationship Id="rId848" Type="http://schemas.openxmlformats.org/officeDocument/2006/relationships/hyperlink" Target="https://en.wikipedia.org/wiki/New_Mexico" TargetMode="External"/><Relationship Id="rId847" Type="http://schemas.openxmlformats.org/officeDocument/2006/relationships/hyperlink" Target="https://en.wikipedia.org/wiki/Albuquerque" TargetMode="External"/><Relationship Id="rId846" Type="http://schemas.openxmlformats.org/officeDocument/2006/relationships/hyperlink" Target="https://en.wikipedia.org/wiki/Albuquerque_Convention_Center" TargetMode="External"/><Relationship Id="rId845" Type="http://schemas.openxmlformats.org/officeDocument/2006/relationships/hyperlink" Target="https://en.wikipedia.org/wiki/Greater_Los_Angeles" TargetMode="External"/><Relationship Id="rId1670" Type="http://schemas.openxmlformats.org/officeDocument/2006/relationships/hyperlink" Target="https://en.wikipedia.org/wiki/Tennessee" TargetMode="External"/><Relationship Id="rId840" Type="http://schemas.openxmlformats.org/officeDocument/2006/relationships/hyperlink" Target="https://en.wikipedia.org/wiki/Georgia_(U.S._state)" TargetMode="External"/><Relationship Id="rId1671" Type="http://schemas.openxmlformats.org/officeDocument/2006/relationships/hyperlink" Target="https://en.wikipedia.org/w/index.php?title=Aldrich_Arena&amp;action=edit&amp;redlink=1" TargetMode="External"/><Relationship Id="rId1672" Type="http://schemas.openxmlformats.org/officeDocument/2006/relationships/hyperlink" Target="https://en.wikipedia.org/wiki/Maplewood,_Minnesota" TargetMode="External"/><Relationship Id="rId1673" Type="http://schemas.openxmlformats.org/officeDocument/2006/relationships/hyperlink" Target="https://en.wikipedia.org/wiki/Minnesota" TargetMode="External"/><Relationship Id="rId1674" Type="http://schemas.openxmlformats.org/officeDocument/2006/relationships/hyperlink" Target="https://en.wikipedia.org/wiki/Robarts_Arena" TargetMode="External"/><Relationship Id="rId1664" Type="http://schemas.openxmlformats.org/officeDocument/2006/relationships/hyperlink" Target="https://en.wikipedia.org/wiki/Birmingham_Bulls_(SPHL)" TargetMode="External"/><Relationship Id="rId1665" Type="http://schemas.openxmlformats.org/officeDocument/2006/relationships/hyperlink" Target="https://en.wikipedia.org/wiki/Turning_Stone_Resort_Casino" TargetMode="External"/><Relationship Id="rId1666" Type="http://schemas.openxmlformats.org/officeDocument/2006/relationships/hyperlink" Target="https://en.wikipedia.org/wiki/Verona,_New_York" TargetMode="External"/><Relationship Id="rId1667" Type="http://schemas.openxmlformats.org/officeDocument/2006/relationships/hyperlink" Target="https://en.wikipedia.org/wiki/New_York_(U.S._state)" TargetMode="External"/><Relationship Id="rId1668" Type="http://schemas.openxmlformats.org/officeDocument/2006/relationships/hyperlink" Target="https://en.wikipedia.org/wiki/Camp_Jordan_Arena" TargetMode="External"/><Relationship Id="rId1669" Type="http://schemas.openxmlformats.org/officeDocument/2006/relationships/hyperlink" Target="https://en.wikipedia.org/wiki/Chattanooga,_Tennessee" TargetMode="External"/><Relationship Id="rId839" Type="http://schemas.openxmlformats.org/officeDocument/2006/relationships/hyperlink" Target="https://en.wikipedia.org/wiki/Augusta,_Georgia" TargetMode="External"/><Relationship Id="rId838" Type="http://schemas.openxmlformats.org/officeDocument/2006/relationships/hyperlink" Target="https://en.wikipedia.org/wiki/James_Brown_Arena" TargetMode="External"/><Relationship Id="rId833" Type="http://schemas.openxmlformats.org/officeDocument/2006/relationships/hyperlink" Target="https://en.wikipedia.org/wiki/Kay_Bailey_Hutchison_Convention_Center" TargetMode="External"/><Relationship Id="rId832" Type="http://schemas.openxmlformats.org/officeDocument/2006/relationships/hyperlink" Target="https://en.wikipedia.org/wiki/File:KayBaileyHutchisonConventionCenter.jpg" TargetMode="External"/><Relationship Id="rId831" Type="http://schemas.openxmlformats.org/officeDocument/2006/relationships/hyperlink" Target="https://en.wikipedia.org/wiki/Macon_Mayhem" TargetMode="External"/><Relationship Id="rId830" Type="http://schemas.openxmlformats.org/officeDocument/2006/relationships/hyperlink" Target="https://en.wikipedia.org/wiki/Georgia_(U.S._state)" TargetMode="External"/><Relationship Id="rId837" Type="http://schemas.openxmlformats.org/officeDocument/2006/relationships/hyperlink" Target="https://en.wikipedia.org/wiki/File:James_Brown_Arena,_Augusta_May_2017.jpg" TargetMode="External"/><Relationship Id="rId836" Type="http://schemas.openxmlformats.org/officeDocument/2006/relationships/hyperlink" Target="https://en.wikipedia.org/wiki/Dallas%E2%80%93Fort_Worth_metroplex" TargetMode="External"/><Relationship Id="rId835" Type="http://schemas.openxmlformats.org/officeDocument/2006/relationships/hyperlink" Target="https://en.wikipedia.org/wiki/Texas" TargetMode="External"/><Relationship Id="rId834" Type="http://schemas.openxmlformats.org/officeDocument/2006/relationships/hyperlink" Target="https://en.wikipedia.org/wiki/Dallas" TargetMode="External"/><Relationship Id="rId1660" Type="http://schemas.openxmlformats.org/officeDocument/2006/relationships/hyperlink" Target="https://en.wikipedia.org/wiki/Metro_Atlanta" TargetMode="External"/><Relationship Id="rId1661" Type="http://schemas.openxmlformats.org/officeDocument/2006/relationships/hyperlink" Target="https://en.wikipedia.org/wiki/Pelham_Civic_Center" TargetMode="External"/><Relationship Id="rId1662" Type="http://schemas.openxmlformats.org/officeDocument/2006/relationships/hyperlink" Target="https://en.wikipedia.org/wiki/Pelham,_Alabama" TargetMode="External"/><Relationship Id="rId1663" Type="http://schemas.openxmlformats.org/officeDocument/2006/relationships/hyperlink" Target="https://en.wikipedia.org/wiki/Alabama" TargetMode="External"/><Relationship Id="rId2148" Type="http://schemas.openxmlformats.org/officeDocument/2006/relationships/hyperlink" Target="https://en.wikipedia.org/wiki/New_York_(state)" TargetMode="External"/><Relationship Id="rId2149" Type="http://schemas.openxmlformats.org/officeDocument/2006/relationships/hyperlink" Target="https://en.wikipedia.org/wiki/File:Sharp_Gymnasium,_Houston_Baptist_University.JPG" TargetMode="External"/><Relationship Id="rId469" Type="http://schemas.openxmlformats.org/officeDocument/2006/relationships/hyperlink" Target="https://en.wikipedia.org/wiki/File:Ford_Idaho_Center.jpg" TargetMode="External"/><Relationship Id="rId468" Type="http://schemas.openxmlformats.org/officeDocument/2006/relationships/hyperlink" Target="https://en.wikipedia.org/wiki/Grand_Rapids_Griffins" TargetMode="External"/><Relationship Id="rId467" Type="http://schemas.openxmlformats.org/officeDocument/2006/relationships/hyperlink" Target="https://en.wikipedia.org/wiki/Michigan" TargetMode="External"/><Relationship Id="rId1290" Type="http://schemas.openxmlformats.org/officeDocument/2006/relationships/hyperlink" Target="https://en.wikipedia.org/wiki/Broadbent_Arena" TargetMode="External"/><Relationship Id="rId1291" Type="http://schemas.openxmlformats.org/officeDocument/2006/relationships/hyperlink" Target="https://en.wikipedia.org/wiki/Louisville,_Kentucky" TargetMode="External"/><Relationship Id="rId1292" Type="http://schemas.openxmlformats.org/officeDocument/2006/relationships/hyperlink" Target="https://en.wikipedia.org/wiki/Kentucky" TargetMode="External"/><Relationship Id="rId462" Type="http://schemas.openxmlformats.org/officeDocument/2006/relationships/hyperlink" Target="https://en.wikipedia.org/wiki/South_Carolina" TargetMode="External"/><Relationship Id="rId1293" Type="http://schemas.openxmlformats.org/officeDocument/2006/relationships/hyperlink" Target="https://en.wikipedia.org/wiki/Lamar_Dixon_Expo_Center" TargetMode="External"/><Relationship Id="rId2140" Type="http://schemas.openxmlformats.org/officeDocument/2006/relationships/hyperlink" Target="https://en.wikipedia.org/wiki/Aberdeen,_South_Dakota" TargetMode="External"/><Relationship Id="rId461" Type="http://schemas.openxmlformats.org/officeDocument/2006/relationships/hyperlink" Target="https://en.wikipedia.org/wiki/North_Charleston,_South_Carolina" TargetMode="External"/><Relationship Id="rId1294" Type="http://schemas.openxmlformats.org/officeDocument/2006/relationships/hyperlink" Target="https://en.wikipedia.org/wiki/Gonzales,_Louisiana" TargetMode="External"/><Relationship Id="rId2141" Type="http://schemas.openxmlformats.org/officeDocument/2006/relationships/hyperlink" Target="https://en.wikipedia.org/wiki/South_Dakota" TargetMode="External"/><Relationship Id="rId460" Type="http://schemas.openxmlformats.org/officeDocument/2006/relationships/hyperlink" Target="https://en.wikipedia.org/wiki/North_Charleston_Coliseum" TargetMode="External"/><Relationship Id="rId1295" Type="http://schemas.openxmlformats.org/officeDocument/2006/relationships/hyperlink" Target="https://en.wikipedia.org/wiki/Louisiana" TargetMode="External"/><Relationship Id="rId2142" Type="http://schemas.openxmlformats.org/officeDocument/2006/relationships/hyperlink" Target="https://en.wikipedia.org/wiki/Aberdeen_Wings" TargetMode="External"/><Relationship Id="rId1296" Type="http://schemas.openxmlformats.org/officeDocument/2006/relationships/hyperlink" Target="https://en.wikipedia.org/w/index.php?title=Farm_Bureau_Expo_Center&amp;action=edit&amp;redlink=1" TargetMode="External"/><Relationship Id="rId2143" Type="http://schemas.openxmlformats.org/officeDocument/2006/relationships/hyperlink" Target="https://en.wikipedia.org/w/index.php?title=SugArena&amp;action=edit&amp;redlink=1" TargetMode="External"/><Relationship Id="rId466" Type="http://schemas.openxmlformats.org/officeDocument/2006/relationships/hyperlink" Target="https://en.wikipedia.org/wiki/Grand_Rapids,_Michigan" TargetMode="External"/><Relationship Id="rId1297" Type="http://schemas.openxmlformats.org/officeDocument/2006/relationships/hyperlink" Target="https://en.wikipedia.org/wiki/Lebanon,_Tennessee" TargetMode="External"/><Relationship Id="rId2144" Type="http://schemas.openxmlformats.org/officeDocument/2006/relationships/hyperlink" Target="https://en.wikipedia.org/wiki/New_Iberia" TargetMode="External"/><Relationship Id="rId465" Type="http://schemas.openxmlformats.org/officeDocument/2006/relationships/hyperlink" Target="https://en.wikipedia.org/wiki/Van_Andel_Arena" TargetMode="External"/><Relationship Id="rId1298" Type="http://schemas.openxmlformats.org/officeDocument/2006/relationships/hyperlink" Target="https://en.wikipedia.org/wiki/Tennessee" TargetMode="External"/><Relationship Id="rId2145" Type="http://schemas.openxmlformats.org/officeDocument/2006/relationships/hyperlink" Target="https://en.wikipedia.org/wiki/Louisiana" TargetMode="External"/><Relationship Id="rId464" Type="http://schemas.openxmlformats.org/officeDocument/2006/relationships/hyperlink" Target="https://en.wikipedia.org/wiki/File:Vanandel.jpg" TargetMode="External"/><Relationship Id="rId1299" Type="http://schemas.openxmlformats.org/officeDocument/2006/relationships/hyperlink" Target="https://en.wikipedia.org/wiki/Jamestown_Civic_Center" TargetMode="External"/><Relationship Id="rId2146" Type="http://schemas.openxmlformats.org/officeDocument/2006/relationships/hyperlink" Target="https://en.wikipedia.org/wiki/John_F._Kennedy_Civic_Arena" TargetMode="External"/><Relationship Id="rId463" Type="http://schemas.openxmlformats.org/officeDocument/2006/relationships/hyperlink" Target="https://en.wikipedia.org/wiki/South_Carolina_Stingrays" TargetMode="External"/><Relationship Id="rId2147" Type="http://schemas.openxmlformats.org/officeDocument/2006/relationships/hyperlink" Target="https://en.wikipedia.org/wiki/Rome,_New_York" TargetMode="External"/><Relationship Id="rId2137" Type="http://schemas.openxmlformats.org/officeDocument/2006/relationships/hyperlink" Target="https://en.wikipedia.org/wiki/Mentor,_Ohio" TargetMode="External"/><Relationship Id="rId2138" Type="http://schemas.openxmlformats.org/officeDocument/2006/relationships/hyperlink" Target="https://en.wikipedia.org/wiki/Ohio" TargetMode="External"/><Relationship Id="rId2139" Type="http://schemas.openxmlformats.org/officeDocument/2006/relationships/hyperlink" Target="https://en.wikipedia.org/wiki/Odde_Ice_Center" TargetMode="External"/><Relationship Id="rId459" Type="http://schemas.openxmlformats.org/officeDocument/2006/relationships/hyperlink" Target="https://en.wikipedia.org/wiki/File:North_Charleston_Coliseum_Aug2010.jpg" TargetMode="External"/><Relationship Id="rId458" Type="http://schemas.openxmlformats.org/officeDocument/2006/relationships/hyperlink" Target="https://en.wikipedia.org/wiki/Virginia" TargetMode="External"/><Relationship Id="rId457" Type="http://schemas.openxmlformats.org/officeDocument/2006/relationships/hyperlink" Target="https://en.wikipedia.org/wiki/Richmond,_Virginia" TargetMode="External"/><Relationship Id="rId456" Type="http://schemas.openxmlformats.org/officeDocument/2006/relationships/hyperlink" Target="https://en.wikipedia.org/wiki/Richmond_Coliseum" TargetMode="External"/><Relationship Id="rId1280" Type="http://schemas.openxmlformats.org/officeDocument/2006/relationships/hyperlink" Target="https://en.wikipedia.org/wiki/Salisbury,_Maryland" TargetMode="External"/><Relationship Id="rId1281" Type="http://schemas.openxmlformats.org/officeDocument/2006/relationships/hyperlink" Target="https://en.wikipedia.org/wiki/Maryland" TargetMode="External"/><Relationship Id="rId451" Type="http://schemas.openxmlformats.org/officeDocument/2006/relationships/hyperlink" Target="https://en.wikipedia.org/wiki/Fort_Worth_Convention_Center" TargetMode="External"/><Relationship Id="rId1282" Type="http://schemas.openxmlformats.org/officeDocument/2006/relationships/hyperlink" Target="https://en.wikipedia.org/w/index.php?title=Claremore_Expo_Center&amp;action=edit&amp;redlink=1" TargetMode="External"/><Relationship Id="rId450" Type="http://schemas.openxmlformats.org/officeDocument/2006/relationships/hyperlink" Target="https://en.wikipedia.org/wiki/File:Forth_Worth_Convention_Center.jpg" TargetMode="External"/><Relationship Id="rId1283" Type="http://schemas.openxmlformats.org/officeDocument/2006/relationships/hyperlink" Target="https://en.wikipedia.org/wiki/Claremore,_Oklahoma" TargetMode="External"/><Relationship Id="rId2130" Type="http://schemas.openxmlformats.org/officeDocument/2006/relationships/hyperlink" Target="https://en.wikipedia.org/wiki/Minot" TargetMode="External"/><Relationship Id="rId1284" Type="http://schemas.openxmlformats.org/officeDocument/2006/relationships/hyperlink" Target="https://en.wikipedia.org/wiki/Oklahoma" TargetMode="External"/><Relationship Id="rId2131" Type="http://schemas.openxmlformats.org/officeDocument/2006/relationships/hyperlink" Target="https://en.wikipedia.org/wiki/North_Dakota" TargetMode="External"/><Relationship Id="rId1285" Type="http://schemas.openxmlformats.org/officeDocument/2006/relationships/hyperlink" Target="https://en.wikipedia.org/wiki/File:Amarillo-Texas-Civic-Center-Ballroom-Dec2005.jpg" TargetMode="External"/><Relationship Id="rId2132" Type="http://schemas.openxmlformats.org/officeDocument/2006/relationships/hyperlink" Target="https://en.wikipedia.org/wiki/Swinney_Recreation_Center" TargetMode="External"/><Relationship Id="rId455" Type="http://schemas.openxmlformats.org/officeDocument/2006/relationships/hyperlink" Target="https://en.wikipedia.org/wiki/File:Richmond_Coliseum.jpg" TargetMode="External"/><Relationship Id="rId1286" Type="http://schemas.openxmlformats.org/officeDocument/2006/relationships/hyperlink" Target="https://en.wikipedia.org/wiki/Amarillo_Civic_Center" TargetMode="External"/><Relationship Id="rId2133" Type="http://schemas.openxmlformats.org/officeDocument/2006/relationships/hyperlink" Target="https://en.wikipedia.org/wiki/Kansas_City,_Missouri" TargetMode="External"/><Relationship Id="rId454" Type="http://schemas.openxmlformats.org/officeDocument/2006/relationships/hyperlink" Target="https://en.wikipedia.org/wiki/Dallas%E2%80%93Fort_Worth_metroplex" TargetMode="External"/><Relationship Id="rId1287" Type="http://schemas.openxmlformats.org/officeDocument/2006/relationships/hyperlink" Target="https://en.wikipedia.org/wiki/Amarillo,_Texas" TargetMode="External"/><Relationship Id="rId2134" Type="http://schemas.openxmlformats.org/officeDocument/2006/relationships/hyperlink" Target="https://en.wikipedia.org/wiki/Missouri" TargetMode="External"/><Relationship Id="rId453" Type="http://schemas.openxmlformats.org/officeDocument/2006/relationships/hyperlink" Target="https://en.wikipedia.org/wiki/Texas" TargetMode="External"/><Relationship Id="rId1288" Type="http://schemas.openxmlformats.org/officeDocument/2006/relationships/hyperlink" Target="https://en.wikipedia.org/wiki/Texas" TargetMode="External"/><Relationship Id="rId2135" Type="http://schemas.openxmlformats.org/officeDocument/2006/relationships/hyperlink" Target="https://en.wikipedia.org/wiki/Kansas_City_Roos" TargetMode="External"/><Relationship Id="rId452" Type="http://schemas.openxmlformats.org/officeDocument/2006/relationships/hyperlink" Target="https://en.wikipedia.org/wiki/Fort_Worth,_Texas" TargetMode="External"/><Relationship Id="rId1289" Type="http://schemas.openxmlformats.org/officeDocument/2006/relationships/hyperlink" Target="https://en.wikipedia.org/wiki/File:BroadbentArena1.jpg" TargetMode="External"/><Relationship Id="rId2136" Type="http://schemas.openxmlformats.org/officeDocument/2006/relationships/hyperlink" Target="https://en.wikipedia.org/w/index.php?title=Mentor_Civic_Arena&amp;action=edit&amp;redlink=1" TargetMode="External"/><Relationship Id="rId491" Type="http://schemas.openxmlformats.org/officeDocument/2006/relationships/hyperlink" Target="https://en.wikipedia.org/wiki/Maverik_Center" TargetMode="External"/><Relationship Id="rId490" Type="http://schemas.openxmlformats.org/officeDocument/2006/relationships/hyperlink" Target="https://en.wikipedia.org/wiki/File:E_Center_outside_2002.jpg" TargetMode="External"/><Relationship Id="rId489" Type="http://schemas.openxmlformats.org/officeDocument/2006/relationships/hyperlink" Target="https://en.wikipedia.org/wiki/Portland_Winterhawks" TargetMode="External"/><Relationship Id="rId2160" Type="http://schemas.openxmlformats.org/officeDocument/2006/relationships/hyperlink" Target="https://en.wikipedia.org/wiki/Indy_Fuel" TargetMode="External"/><Relationship Id="rId2161" Type="http://schemas.openxmlformats.org/officeDocument/2006/relationships/hyperlink" Target="https://en.wikipedia.org/wiki/Noblesville_Event_Center" TargetMode="External"/><Relationship Id="rId484" Type="http://schemas.openxmlformats.org/officeDocument/2006/relationships/hyperlink" Target="https://en.wikipedia.org/wiki/Sioux_Falls_Storm" TargetMode="External"/><Relationship Id="rId2162" Type="http://schemas.openxmlformats.org/officeDocument/2006/relationships/hyperlink" Target="https://en.wikipedia.org/wiki/Noblesville,_Indiana" TargetMode="External"/><Relationship Id="rId483" Type="http://schemas.openxmlformats.org/officeDocument/2006/relationships/hyperlink" Target="https://en.wikipedia.org/wiki/South_Dakota" TargetMode="External"/><Relationship Id="rId2163" Type="http://schemas.openxmlformats.org/officeDocument/2006/relationships/hyperlink" Target="https://en.wikipedia.org/wiki/Indiana_Mad_Ants" TargetMode="External"/><Relationship Id="rId482" Type="http://schemas.openxmlformats.org/officeDocument/2006/relationships/hyperlink" Target="https://en.wikipedia.org/wiki/Sioux_Falls,_South_Dakota" TargetMode="External"/><Relationship Id="rId2164" Type="http://schemas.openxmlformats.org/officeDocument/2006/relationships/hyperlink" Target="https://en.wikipedia.org/wiki/76_Place_at_Market_East" TargetMode="External"/><Relationship Id="rId481" Type="http://schemas.openxmlformats.org/officeDocument/2006/relationships/hyperlink" Target="https://en.wikipedia.org/wiki/Denny_Sanford_Premier_Center" TargetMode="External"/><Relationship Id="rId2165" Type="http://schemas.openxmlformats.org/officeDocument/2006/relationships/hyperlink" Target="https://en.wikipedia.org/wiki/Philadelphia,_Pennsylvania" TargetMode="External"/><Relationship Id="rId488" Type="http://schemas.openxmlformats.org/officeDocument/2006/relationships/hyperlink" Target="https://en.wikipedia.org/wiki/Oregon" TargetMode="External"/><Relationship Id="rId2166" Type="http://schemas.openxmlformats.org/officeDocument/2006/relationships/hyperlink" Target="https://en.wikipedia.org/wiki/Philadelphia_76ers" TargetMode="External"/><Relationship Id="rId487" Type="http://schemas.openxmlformats.org/officeDocument/2006/relationships/hyperlink" Target="https://en.wikipedia.org/wiki/Portland,_Oregon" TargetMode="External"/><Relationship Id="rId2167" Type="http://schemas.openxmlformats.org/officeDocument/2006/relationships/hyperlink" Target="https://en.wikipedia.org/wiki/Midway_Arena" TargetMode="External"/><Relationship Id="rId486" Type="http://schemas.openxmlformats.org/officeDocument/2006/relationships/hyperlink" Target="https://en.wikipedia.org/wiki/Veterans_Memorial_Coliseum_(Portland,_Oregon)" TargetMode="External"/><Relationship Id="rId2168" Type="http://schemas.openxmlformats.org/officeDocument/2006/relationships/hyperlink" Target="https://en.wikipedia.org/wiki/San_Diego,_California" TargetMode="External"/><Relationship Id="rId485" Type="http://schemas.openxmlformats.org/officeDocument/2006/relationships/hyperlink" Target="https://en.wikipedia.org/wiki/File:Memorial_Coliseum_Portland_entrance_canopy_2013.jpg" TargetMode="External"/><Relationship Id="rId2169" Type="http://schemas.openxmlformats.org/officeDocument/2006/relationships/hyperlink" Target="https://en.wikipedia.org/w/index.php?title=List_of_indoor_arenas_in_the_United_States&amp;action=edit&amp;section=3" TargetMode="External"/><Relationship Id="rId2159" Type="http://schemas.openxmlformats.org/officeDocument/2006/relationships/hyperlink" Target="https://en.wikipedia.org/wiki/Fishers,_Indiana" TargetMode="External"/><Relationship Id="rId480" Type="http://schemas.openxmlformats.org/officeDocument/2006/relationships/hyperlink" Target="https://en.wikipedia.org/wiki/File:Premier_Center_Side_05-11-15.jpg" TargetMode="External"/><Relationship Id="rId479" Type="http://schemas.openxmlformats.org/officeDocument/2006/relationships/hyperlink" Target="https://en.wikipedia.org/wiki/Metro_Atlanta" TargetMode="External"/><Relationship Id="rId478" Type="http://schemas.openxmlformats.org/officeDocument/2006/relationships/hyperlink" Target="https://en.wikipedia.org/wiki/Atlanta_Gladiators" TargetMode="External"/><Relationship Id="rId2150" Type="http://schemas.openxmlformats.org/officeDocument/2006/relationships/hyperlink" Target="https://en.wikipedia.org/wiki/Sharp_Gym" TargetMode="External"/><Relationship Id="rId473" Type="http://schemas.openxmlformats.org/officeDocument/2006/relationships/hyperlink" Target="https://en.wikipedia.org/wiki/Idaho_Horsemen" TargetMode="External"/><Relationship Id="rId2151" Type="http://schemas.openxmlformats.org/officeDocument/2006/relationships/hyperlink" Target="https://en.wikipedia.org/wiki/Houston,_Texas" TargetMode="External"/><Relationship Id="rId472" Type="http://schemas.openxmlformats.org/officeDocument/2006/relationships/hyperlink" Target="https://en.wikipedia.org/wiki/Idaho" TargetMode="External"/><Relationship Id="rId2152" Type="http://schemas.openxmlformats.org/officeDocument/2006/relationships/hyperlink" Target="https://en.wikipedia.org/wiki/Texas" TargetMode="External"/><Relationship Id="rId471" Type="http://schemas.openxmlformats.org/officeDocument/2006/relationships/hyperlink" Target="https://en.wikipedia.org/wiki/Nampa,_Idaho" TargetMode="External"/><Relationship Id="rId2153" Type="http://schemas.openxmlformats.org/officeDocument/2006/relationships/hyperlink" Target="https://en.wikipedia.org/wiki/Houston_Christian_Huskies" TargetMode="External"/><Relationship Id="rId470" Type="http://schemas.openxmlformats.org/officeDocument/2006/relationships/hyperlink" Target="https://en.wikipedia.org/wiki/Ford_Idaho_Center" TargetMode="External"/><Relationship Id="rId2154" Type="http://schemas.openxmlformats.org/officeDocument/2006/relationships/hyperlink" Target="https://en.wikipedia.org/w/index.php?title=List_of_indoor_arenas_in_the_United_States&amp;action=edit&amp;section=2" TargetMode="External"/><Relationship Id="rId477" Type="http://schemas.openxmlformats.org/officeDocument/2006/relationships/hyperlink" Target="https://en.wikipedia.org/wiki/Georgia_(U.S._state)" TargetMode="External"/><Relationship Id="rId2155" Type="http://schemas.openxmlformats.org/officeDocument/2006/relationships/hyperlink" Target="https://en.wikipedia.org/wiki/Classic_Center_Arena" TargetMode="External"/><Relationship Id="rId476" Type="http://schemas.openxmlformats.org/officeDocument/2006/relationships/hyperlink" Target="https://en.wikipedia.org/wiki/Duluth,_Georgia" TargetMode="External"/><Relationship Id="rId2156" Type="http://schemas.openxmlformats.org/officeDocument/2006/relationships/hyperlink" Target="https://en.wikipedia.org/wiki/Athens,_Georgia" TargetMode="External"/><Relationship Id="rId475" Type="http://schemas.openxmlformats.org/officeDocument/2006/relationships/hyperlink" Target="https://en.wikipedia.org/wiki/Gas_South_Arena" TargetMode="External"/><Relationship Id="rId2157" Type="http://schemas.openxmlformats.org/officeDocument/2006/relationships/hyperlink" Target="https://en.wikipedia.org/wiki/Georgia_Bulldogs" TargetMode="External"/><Relationship Id="rId474" Type="http://schemas.openxmlformats.org/officeDocument/2006/relationships/hyperlink" Target="https://en.wikipedia.org/wiki/File:ArenaatGwinnettCenterSat.png" TargetMode="External"/><Relationship Id="rId2158" Type="http://schemas.openxmlformats.org/officeDocument/2006/relationships/hyperlink" Target="https://en.wikipedia.org/wiki/Fishers_Event_Center" TargetMode="External"/><Relationship Id="rId1257" Type="http://schemas.openxmlformats.org/officeDocument/2006/relationships/hyperlink" Target="https://en.wikipedia.org/wiki/Battelle_Hall" TargetMode="External"/><Relationship Id="rId2104" Type="http://schemas.openxmlformats.org/officeDocument/2006/relationships/hyperlink" Target="https://en.wikipedia.org/wiki/North_Carolina" TargetMode="External"/><Relationship Id="rId1258" Type="http://schemas.openxmlformats.org/officeDocument/2006/relationships/hyperlink" Target="https://en.wikipedia.org/wiki/Columbus,_Ohio" TargetMode="External"/><Relationship Id="rId2105" Type="http://schemas.openxmlformats.org/officeDocument/2006/relationships/hyperlink" Target="https://en.wikipedia.org/wiki/File:AlarioCenterOct09B.jpg" TargetMode="External"/><Relationship Id="rId1259" Type="http://schemas.openxmlformats.org/officeDocument/2006/relationships/hyperlink" Target="https://en.wikipedia.org/wiki/Ohio" TargetMode="External"/><Relationship Id="rId2106" Type="http://schemas.openxmlformats.org/officeDocument/2006/relationships/hyperlink" Target="https://en.wikipedia.org/wiki/Alario_Center" TargetMode="External"/><Relationship Id="rId2107" Type="http://schemas.openxmlformats.org/officeDocument/2006/relationships/hyperlink" Target="https://en.wikipedia.org/wiki/Westwego,_Louisiana" TargetMode="External"/><Relationship Id="rId2108" Type="http://schemas.openxmlformats.org/officeDocument/2006/relationships/hyperlink" Target="https://en.wikipedia.org/wiki/Louisiana" TargetMode="External"/><Relationship Id="rId2109" Type="http://schemas.openxmlformats.org/officeDocument/2006/relationships/hyperlink" Target="https://en.wikipedia.org/wiki/Greater_New_Orleans" TargetMode="External"/><Relationship Id="rId426" Type="http://schemas.openxmlformats.org/officeDocument/2006/relationships/hyperlink" Target="https://en.wikipedia.org/wiki/Delaware_Valley" TargetMode="External"/><Relationship Id="rId425" Type="http://schemas.openxmlformats.org/officeDocument/2006/relationships/hyperlink" Target="https://en.wikipedia.org/wiki/New_Jersey" TargetMode="External"/><Relationship Id="rId424" Type="http://schemas.openxmlformats.org/officeDocument/2006/relationships/hyperlink" Target="https://en.wikipedia.org/wiki/Atlantic_City,_New_Jersey" TargetMode="External"/><Relationship Id="rId423" Type="http://schemas.openxmlformats.org/officeDocument/2006/relationships/hyperlink" Target="https://en.wikipedia.org/wiki/Boardwalk_Hall" TargetMode="External"/><Relationship Id="rId429" Type="http://schemas.openxmlformats.org/officeDocument/2006/relationships/hyperlink" Target="https://en.wikipedia.org/wiki/Hampton,_Virginia" TargetMode="External"/><Relationship Id="rId428" Type="http://schemas.openxmlformats.org/officeDocument/2006/relationships/hyperlink" Target="https://en.wikipedia.org/wiki/Hampton_Coliseum" TargetMode="External"/><Relationship Id="rId427" Type="http://schemas.openxmlformats.org/officeDocument/2006/relationships/hyperlink" Target="https://en.wikipedia.org/wiki/File:Hampton_coliseum.jpg" TargetMode="External"/><Relationship Id="rId1250" Type="http://schemas.openxmlformats.org/officeDocument/2006/relationships/hyperlink" Target="https://en.wikipedia.org/wiki/Dallas%E2%80%93Fort_Worth_metroplex" TargetMode="External"/><Relationship Id="rId1251" Type="http://schemas.openxmlformats.org/officeDocument/2006/relationships/hyperlink" Target="https://en.wikipedia.org/wiki/Lufkin,_Texas" TargetMode="External"/><Relationship Id="rId1252" Type="http://schemas.openxmlformats.org/officeDocument/2006/relationships/hyperlink" Target="https://en.wikipedia.org/wiki/Texas" TargetMode="External"/><Relationship Id="rId422" Type="http://schemas.openxmlformats.org/officeDocument/2006/relationships/hyperlink" Target="https://en.wikipedia.org/wiki/File:2014_Boardwalk_Hall_02.JPG" TargetMode="External"/><Relationship Id="rId1253" Type="http://schemas.openxmlformats.org/officeDocument/2006/relationships/hyperlink" Target="https://en.wikipedia.org/w/index.php?title=Lea_County_Event_Center&amp;action=edit&amp;redlink=1" TargetMode="External"/><Relationship Id="rId2100" Type="http://schemas.openxmlformats.org/officeDocument/2006/relationships/hyperlink" Target="https://en.wikipedia.org/wiki/Rifle,_Colorado" TargetMode="External"/><Relationship Id="rId421" Type="http://schemas.openxmlformats.org/officeDocument/2006/relationships/hyperlink" Target="https://en.wikipedia.org/wiki/Greater_Boston" TargetMode="External"/><Relationship Id="rId1254" Type="http://schemas.openxmlformats.org/officeDocument/2006/relationships/hyperlink" Target="https://en.wikipedia.org/wiki/Hobbs,_New_Mexico" TargetMode="External"/><Relationship Id="rId2101" Type="http://schemas.openxmlformats.org/officeDocument/2006/relationships/hyperlink" Target="https://en.wikipedia.org/wiki/Colorado" TargetMode="External"/><Relationship Id="rId420" Type="http://schemas.openxmlformats.org/officeDocument/2006/relationships/hyperlink" Target="https://en.wikipedia.org/wiki/Providence_Bruins" TargetMode="External"/><Relationship Id="rId1255" Type="http://schemas.openxmlformats.org/officeDocument/2006/relationships/hyperlink" Target="https://en.wikipedia.org/wiki/New_Mexico" TargetMode="External"/><Relationship Id="rId2102" Type="http://schemas.openxmlformats.org/officeDocument/2006/relationships/hyperlink" Target="https://en.wikipedia.org/w/index.php?title=Hickory_Metro_Convention_Center&amp;action=edit&amp;redlink=1" TargetMode="External"/><Relationship Id="rId1256" Type="http://schemas.openxmlformats.org/officeDocument/2006/relationships/hyperlink" Target="https://en.wikipedia.org/wiki/File:Battelle_Hall.jpg" TargetMode="External"/><Relationship Id="rId2103" Type="http://schemas.openxmlformats.org/officeDocument/2006/relationships/hyperlink" Target="https://en.wikipedia.org/wiki/Hickory,_North_Carolina" TargetMode="External"/><Relationship Id="rId1246" Type="http://schemas.openxmlformats.org/officeDocument/2006/relationships/hyperlink" Target="https://en.wikipedia.org/wiki/Comerica_Center" TargetMode="External"/><Relationship Id="rId1247" Type="http://schemas.openxmlformats.org/officeDocument/2006/relationships/hyperlink" Target="https://en.wikipedia.org/wiki/Frisco,_Texas" TargetMode="External"/><Relationship Id="rId1248" Type="http://schemas.openxmlformats.org/officeDocument/2006/relationships/hyperlink" Target="https://en.wikipedia.org/wiki/Texas" TargetMode="External"/><Relationship Id="rId1249" Type="http://schemas.openxmlformats.org/officeDocument/2006/relationships/hyperlink" Target="https://en.wikipedia.org/wiki/Texas_Legends" TargetMode="External"/><Relationship Id="rId415" Type="http://schemas.openxmlformats.org/officeDocument/2006/relationships/hyperlink" Target="https://en.wikipedia.org/wiki/Washington%E2%80%93Baltimore_metropolitan_area" TargetMode="External"/><Relationship Id="rId899" Type="http://schemas.openxmlformats.org/officeDocument/2006/relationships/hyperlink" Target="https://en.wikipedia.org/wiki/New_York_(U.S._state)" TargetMode="External"/><Relationship Id="rId414" Type="http://schemas.openxmlformats.org/officeDocument/2006/relationships/hyperlink" Target="https://en.wikipedia.org/wiki/Maryland" TargetMode="External"/><Relationship Id="rId898" Type="http://schemas.openxmlformats.org/officeDocument/2006/relationships/hyperlink" Target="https://en.wikipedia.org/wiki/Geddes,_New_York" TargetMode="External"/><Relationship Id="rId413" Type="http://schemas.openxmlformats.org/officeDocument/2006/relationships/hyperlink" Target="https://en.wikipedia.org/wiki/Baltimore" TargetMode="External"/><Relationship Id="rId897" Type="http://schemas.openxmlformats.org/officeDocument/2006/relationships/hyperlink" Target="https://en.wikipedia.org/wiki/Empire_Expo_Center" TargetMode="External"/><Relationship Id="rId412" Type="http://schemas.openxmlformats.org/officeDocument/2006/relationships/hyperlink" Target="https://en.wikipedia.org/wiki/CFG_Bank_Arena" TargetMode="External"/><Relationship Id="rId896" Type="http://schemas.openxmlformats.org/officeDocument/2006/relationships/hyperlink" Target="https://en.wikipedia.org/wiki/Ohio" TargetMode="External"/><Relationship Id="rId419" Type="http://schemas.openxmlformats.org/officeDocument/2006/relationships/hyperlink" Target="https://en.wikipedia.org/wiki/Rhode_Island" TargetMode="External"/><Relationship Id="rId418" Type="http://schemas.openxmlformats.org/officeDocument/2006/relationships/hyperlink" Target="https://en.wikipedia.org/wiki/Providence,_Rhode_Island" TargetMode="External"/><Relationship Id="rId417" Type="http://schemas.openxmlformats.org/officeDocument/2006/relationships/hyperlink" Target="https://en.wikipedia.org/wiki/Amica_Mutual_Pavilion" TargetMode="External"/><Relationship Id="rId416" Type="http://schemas.openxmlformats.org/officeDocument/2006/relationships/hyperlink" Target="https://en.wikipedia.org/wiki/File:DunkinDonutsCenter1.jpg" TargetMode="External"/><Relationship Id="rId891" Type="http://schemas.openxmlformats.org/officeDocument/2006/relationships/hyperlink" Target="https://en.wikipedia.org/wiki/Edinburg,_Texas" TargetMode="External"/><Relationship Id="rId890" Type="http://schemas.openxmlformats.org/officeDocument/2006/relationships/hyperlink" Target="https://en.wikipedia.org/wiki/Bert_Ogden_Arena" TargetMode="External"/><Relationship Id="rId1240" Type="http://schemas.openxmlformats.org/officeDocument/2006/relationships/hyperlink" Target="https://en.wikipedia.org/wiki/New_Jersey" TargetMode="External"/><Relationship Id="rId1241" Type="http://schemas.openxmlformats.org/officeDocument/2006/relationships/hyperlink" Target="https://en.wikipedia.org/wiki/Delaware_Valley" TargetMode="External"/><Relationship Id="rId411" Type="http://schemas.openxmlformats.org/officeDocument/2006/relationships/hyperlink" Target="https://en.wikipedia.org/wiki/File:Mariner_Center_Baltimore.JPG" TargetMode="External"/><Relationship Id="rId895" Type="http://schemas.openxmlformats.org/officeDocument/2006/relationships/hyperlink" Target="https://en.wikipedia.org/wiki/Toledo,_Ohio" TargetMode="External"/><Relationship Id="rId1242" Type="http://schemas.openxmlformats.org/officeDocument/2006/relationships/hyperlink" Target="https://en.wikipedia.org/wiki/Moody_Gardens" TargetMode="External"/><Relationship Id="rId410" Type="http://schemas.openxmlformats.org/officeDocument/2006/relationships/hyperlink" Target="https://en.wikipedia.org/wiki/Rochester_Americans" TargetMode="External"/><Relationship Id="rId894" Type="http://schemas.openxmlformats.org/officeDocument/2006/relationships/hyperlink" Target="https://en.wikipedia.org/wiki/SeaGate_Convention_Centre" TargetMode="External"/><Relationship Id="rId1243" Type="http://schemas.openxmlformats.org/officeDocument/2006/relationships/hyperlink" Target="https://en.wikipedia.org/wiki/Galveston,_Texas" TargetMode="External"/><Relationship Id="rId893" Type="http://schemas.openxmlformats.org/officeDocument/2006/relationships/hyperlink" Target="https://en.wikipedia.org/wiki/Rio_Grande_Valley_Vipers" TargetMode="External"/><Relationship Id="rId1244" Type="http://schemas.openxmlformats.org/officeDocument/2006/relationships/hyperlink" Target="https://en.wikipedia.org/wiki/Texas" TargetMode="External"/><Relationship Id="rId892" Type="http://schemas.openxmlformats.org/officeDocument/2006/relationships/hyperlink" Target="https://en.wikipedia.org/wiki/Texas" TargetMode="External"/><Relationship Id="rId1245" Type="http://schemas.openxmlformats.org/officeDocument/2006/relationships/hyperlink" Target="https://en.wikipedia.org/wiki/Greater_Houston" TargetMode="External"/><Relationship Id="rId1279" Type="http://schemas.openxmlformats.org/officeDocument/2006/relationships/hyperlink" Target="https://en.wikipedia.org/wiki/Wicomico_Youth_and_Civic_Center" TargetMode="External"/><Relationship Id="rId2126" Type="http://schemas.openxmlformats.org/officeDocument/2006/relationships/hyperlink" Target="https://en.wikipedia.org/wiki/Dave_Torrey_Arena" TargetMode="External"/><Relationship Id="rId2127" Type="http://schemas.openxmlformats.org/officeDocument/2006/relationships/hyperlink" Target="https://en.wikipedia.org/wiki/St._Cloud,_Minnesota" TargetMode="External"/><Relationship Id="rId2128" Type="http://schemas.openxmlformats.org/officeDocument/2006/relationships/hyperlink" Target="https://en.wikipedia.org/wiki/Minnesota" TargetMode="External"/><Relationship Id="rId2129" Type="http://schemas.openxmlformats.org/officeDocument/2006/relationships/hyperlink" Target="https://en.wikipedia.org/wiki/Maysa_Arena" TargetMode="External"/><Relationship Id="rId448" Type="http://schemas.openxmlformats.org/officeDocument/2006/relationships/hyperlink" Target="https://en.wikipedia.org/wiki/North_Carolina" TargetMode="External"/><Relationship Id="rId447" Type="http://schemas.openxmlformats.org/officeDocument/2006/relationships/hyperlink" Target="https://en.wikipedia.org/wiki/Fayetteville,_North_Carolina" TargetMode="External"/><Relationship Id="rId446" Type="http://schemas.openxmlformats.org/officeDocument/2006/relationships/hyperlink" Target="https://en.wikipedia.org/wiki/Cumberland_County_Crown_Coliseum" TargetMode="External"/><Relationship Id="rId445" Type="http://schemas.openxmlformats.org/officeDocument/2006/relationships/hyperlink" Target="https://en.wikipedia.org/wiki/West_Virginia" TargetMode="External"/><Relationship Id="rId449" Type="http://schemas.openxmlformats.org/officeDocument/2006/relationships/hyperlink" Target="https://en.wikipedia.org/wiki/Fayetteville_Marksmen" TargetMode="External"/><Relationship Id="rId1270" Type="http://schemas.openxmlformats.org/officeDocument/2006/relationships/hyperlink" Target="https://en.wikipedia.org/wiki/Hidalgo,_Texas" TargetMode="External"/><Relationship Id="rId440" Type="http://schemas.openxmlformats.org/officeDocument/2006/relationships/hyperlink" Target="https://en.wikipedia.org/wiki/Long_Beach,_California" TargetMode="External"/><Relationship Id="rId1271" Type="http://schemas.openxmlformats.org/officeDocument/2006/relationships/hyperlink" Target="https://en.wikipedia.org/wiki/Texas" TargetMode="External"/><Relationship Id="rId1272" Type="http://schemas.openxmlformats.org/officeDocument/2006/relationships/hyperlink" Target="https://en.wikipedia.org/wiki/Dixie_Center" TargetMode="External"/><Relationship Id="rId1273" Type="http://schemas.openxmlformats.org/officeDocument/2006/relationships/hyperlink" Target="https://en.wikipedia.org/wiki/St._George,_Utah" TargetMode="External"/><Relationship Id="rId2120" Type="http://schemas.openxmlformats.org/officeDocument/2006/relationships/hyperlink" Target="https://en.wikipedia.org/wiki/Mandan,_North_Dakota" TargetMode="External"/><Relationship Id="rId1274" Type="http://schemas.openxmlformats.org/officeDocument/2006/relationships/hyperlink" Target="https://en.wikipedia.org/wiki/Utah" TargetMode="External"/><Relationship Id="rId2121" Type="http://schemas.openxmlformats.org/officeDocument/2006/relationships/hyperlink" Target="https://en.wikipedia.org/wiki/North_Dakota" TargetMode="External"/><Relationship Id="rId444" Type="http://schemas.openxmlformats.org/officeDocument/2006/relationships/hyperlink" Target="https://en.wikipedia.org/wiki/Charleston,_West_Virginia" TargetMode="External"/><Relationship Id="rId1275" Type="http://schemas.openxmlformats.org/officeDocument/2006/relationships/hyperlink" Target="https://en.wikipedia.org/wiki/File:Augusta_Civic_Center_(2950187123).jpg" TargetMode="External"/><Relationship Id="rId2122" Type="http://schemas.openxmlformats.org/officeDocument/2006/relationships/hyperlink" Target="https://en.wikipedia.org/wiki/Greensboro_Coliseum_Complex" TargetMode="External"/><Relationship Id="rId443" Type="http://schemas.openxmlformats.org/officeDocument/2006/relationships/hyperlink" Target="https://en.wikipedia.org/wiki/Charleston_Civic_Center" TargetMode="External"/><Relationship Id="rId1276" Type="http://schemas.openxmlformats.org/officeDocument/2006/relationships/hyperlink" Target="https://en.wikipedia.org/wiki/Augusta_Civic_Center" TargetMode="External"/><Relationship Id="rId2123" Type="http://schemas.openxmlformats.org/officeDocument/2006/relationships/hyperlink" Target="https://en.wikipedia.org/wiki/Greensboro,_North_Carolina" TargetMode="External"/><Relationship Id="rId442" Type="http://schemas.openxmlformats.org/officeDocument/2006/relationships/hyperlink" Target="https://en.wikipedia.org/wiki/Greater_Los_Angeles" TargetMode="External"/><Relationship Id="rId1277" Type="http://schemas.openxmlformats.org/officeDocument/2006/relationships/hyperlink" Target="https://en.wikipedia.org/wiki/Augusta,_Maine" TargetMode="External"/><Relationship Id="rId2124" Type="http://schemas.openxmlformats.org/officeDocument/2006/relationships/hyperlink" Target="https://en.wikipedia.org/wiki/North_Carolina" TargetMode="External"/><Relationship Id="rId441" Type="http://schemas.openxmlformats.org/officeDocument/2006/relationships/hyperlink" Target="https://en.wikipedia.org/wiki/California" TargetMode="External"/><Relationship Id="rId1278" Type="http://schemas.openxmlformats.org/officeDocument/2006/relationships/hyperlink" Target="https://en.wikipedia.org/wiki/Maine" TargetMode="External"/><Relationship Id="rId2125" Type="http://schemas.openxmlformats.org/officeDocument/2006/relationships/hyperlink" Target="https://en.wikipedia.org/wiki/Greensboro_Swarm" TargetMode="External"/><Relationship Id="rId1268" Type="http://schemas.openxmlformats.org/officeDocument/2006/relationships/hyperlink" Target="https://en.wikipedia.org/wiki/File:Payne_Arena_Hidalgo_Texas_2021.jpg" TargetMode="External"/><Relationship Id="rId2115" Type="http://schemas.openxmlformats.org/officeDocument/2006/relationships/hyperlink" Target="https://en.wikipedia.org/wiki/California" TargetMode="External"/><Relationship Id="rId1269" Type="http://schemas.openxmlformats.org/officeDocument/2006/relationships/hyperlink" Target="https://en.wikipedia.org/wiki/Payne_Arena" TargetMode="External"/><Relationship Id="rId2116" Type="http://schemas.openxmlformats.org/officeDocument/2006/relationships/hyperlink" Target="https://en.wikipedia.org/wiki/Big_Dipper_Ice_Arena" TargetMode="External"/><Relationship Id="rId2117" Type="http://schemas.openxmlformats.org/officeDocument/2006/relationships/hyperlink" Target="https://en.wikipedia.org/wiki/Fairbanks,_Alaska" TargetMode="External"/><Relationship Id="rId2118" Type="http://schemas.openxmlformats.org/officeDocument/2006/relationships/hyperlink" Target="https://en.wikipedia.org/wiki/Alaska" TargetMode="External"/><Relationship Id="rId2119" Type="http://schemas.openxmlformats.org/officeDocument/2006/relationships/hyperlink" Target="https://en.wikipedia.org/wiki/Prairie_Knights_Casino" TargetMode="External"/><Relationship Id="rId437" Type="http://schemas.openxmlformats.org/officeDocument/2006/relationships/hyperlink" Target="https://en.wikipedia.org/wiki/Hampton_Roads" TargetMode="External"/><Relationship Id="rId436" Type="http://schemas.openxmlformats.org/officeDocument/2006/relationships/hyperlink" Target="https://en.wikipedia.org/wiki/Norfolk_Admirals_(ECHL)" TargetMode="External"/><Relationship Id="rId435" Type="http://schemas.openxmlformats.org/officeDocument/2006/relationships/hyperlink" Target="https://en.wikipedia.org/wiki/Virginia" TargetMode="External"/><Relationship Id="rId434" Type="http://schemas.openxmlformats.org/officeDocument/2006/relationships/hyperlink" Target="https://en.wikipedia.org/wiki/Norfolk,_Virginia" TargetMode="External"/><Relationship Id="rId439" Type="http://schemas.openxmlformats.org/officeDocument/2006/relationships/hyperlink" Target="https://en.wikipedia.org/wiki/Long_Beach_Arena" TargetMode="External"/><Relationship Id="rId438" Type="http://schemas.openxmlformats.org/officeDocument/2006/relationships/hyperlink" Target="https://en.wikipedia.org/wiki/File:LBarena.jpg" TargetMode="External"/><Relationship Id="rId1260" Type="http://schemas.openxmlformats.org/officeDocument/2006/relationships/hyperlink" Target="https://en.wikipedia.org/wiki/Salem_Civic_Center" TargetMode="External"/><Relationship Id="rId1261" Type="http://schemas.openxmlformats.org/officeDocument/2006/relationships/hyperlink" Target="https://en.wikipedia.org/wiki/Salem,_Virginia" TargetMode="External"/><Relationship Id="rId1262" Type="http://schemas.openxmlformats.org/officeDocument/2006/relationships/hyperlink" Target="https://en.wikipedia.org/wiki/Virginia" TargetMode="External"/><Relationship Id="rId1263" Type="http://schemas.openxmlformats.org/officeDocument/2006/relationships/hyperlink" Target="https://en.wikipedia.org/wiki/File:Qwest_Arena_(440514225)_(cropped).jpg" TargetMode="External"/><Relationship Id="rId2110" Type="http://schemas.openxmlformats.org/officeDocument/2006/relationships/hyperlink" Target="https://en.wikipedia.org/wiki/Lahaina_Civic_Center" TargetMode="External"/><Relationship Id="rId433" Type="http://schemas.openxmlformats.org/officeDocument/2006/relationships/hyperlink" Target="https://en.wikipedia.org/wiki/Norfolk_Scope" TargetMode="External"/><Relationship Id="rId1264" Type="http://schemas.openxmlformats.org/officeDocument/2006/relationships/hyperlink" Target="https://en.wikipedia.org/wiki/Idaho_Central_Arena" TargetMode="External"/><Relationship Id="rId2111" Type="http://schemas.openxmlformats.org/officeDocument/2006/relationships/hyperlink" Target="https://en.wikipedia.org/wiki/Lahaina" TargetMode="External"/><Relationship Id="rId432" Type="http://schemas.openxmlformats.org/officeDocument/2006/relationships/hyperlink" Target="https://en.wikipedia.org/wiki/File:Norfolk_Scope2.JPG" TargetMode="External"/><Relationship Id="rId1265" Type="http://schemas.openxmlformats.org/officeDocument/2006/relationships/hyperlink" Target="https://en.wikipedia.org/wiki/Boise,_Idaho" TargetMode="External"/><Relationship Id="rId2112" Type="http://schemas.openxmlformats.org/officeDocument/2006/relationships/hyperlink" Target="https://en.wikipedia.org/wiki/Hawaii" TargetMode="External"/><Relationship Id="rId431" Type="http://schemas.openxmlformats.org/officeDocument/2006/relationships/hyperlink" Target="https://en.wikipedia.org/wiki/Hampton_Roads" TargetMode="External"/><Relationship Id="rId1266" Type="http://schemas.openxmlformats.org/officeDocument/2006/relationships/hyperlink" Target="https://en.wikipedia.org/wiki/Idaho" TargetMode="External"/><Relationship Id="rId2113" Type="http://schemas.openxmlformats.org/officeDocument/2006/relationships/hyperlink" Target="https://en.wikipedia.org/wiki/Eureka_Municipal_Auditorium" TargetMode="External"/><Relationship Id="rId430" Type="http://schemas.openxmlformats.org/officeDocument/2006/relationships/hyperlink" Target="https://en.wikipedia.org/wiki/Virginia" TargetMode="External"/><Relationship Id="rId1267" Type="http://schemas.openxmlformats.org/officeDocument/2006/relationships/hyperlink" Target="https://en.wikipedia.org/wiki/Idaho_Steelheads" TargetMode="External"/><Relationship Id="rId2114" Type="http://schemas.openxmlformats.org/officeDocument/2006/relationships/hyperlink" Target="https://en.wikipedia.org/wiki/Eureka,_California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Seating_capacity" TargetMode="External"/><Relationship Id="rId2" Type="http://schemas.openxmlformats.org/officeDocument/2006/relationships/hyperlink" Target="https://en.wikipedia.org/wiki/Domed_stadium" TargetMode="External"/><Relationship Id="rId3" Type="http://schemas.openxmlformats.org/officeDocument/2006/relationships/hyperlink" Target="https://en.wikipedia.org/wiki/JMA_Wireless_Dome" TargetMode="External"/><Relationship Id="rId4" Type="http://schemas.openxmlformats.org/officeDocument/2006/relationships/hyperlink" Target="https://en.wikipedia.org/wiki/List_of_indoor_arenas_in_the_United_States" TargetMode="External"/><Relationship Id="rId9" Type="http://schemas.openxmlformats.org/officeDocument/2006/relationships/hyperlink" Target="https://en.wikipedia.org/wiki/Dean_Smith_Center" TargetMode="External"/><Relationship Id="rId5" Type="http://schemas.openxmlformats.org/officeDocument/2006/relationships/hyperlink" Target="https://en.wikipedia.org/wiki/JMA_Wireless_Dome" TargetMode="External"/><Relationship Id="rId6" Type="http://schemas.openxmlformats.org/officeDocument/2006/relationships/hyperlink" Target="https://en.wikipedia.org/wiki/Syracuse,_New_York" TargetMode="External"/><Relationship Id="rId7" Type="http://schemas.openxmlformats.org/officeDocument/2006/relationships/hyperlink" Target="https://en.wikipedia.org/wiki/New_York_(state)" TargetMode="External"/><Relationship Id="rId8" Type="http://schemas.openxmlformats.org/officeDocument/2006/relationships/hyperlink" Target="https://en.wikipedia.org/wiki/Syracuse_Orange" TargetMode="External"/><Relationship Id="rId373" Type="http://schemas.openxmlformats.org/officeDocument/2006/relationships/drawing" Target="../drawings/drawing4.xml"/><Relationship Id="rId372" Type="http://schemas.openxmlformats.org/officeDocument/2006/relationships/hyperlink" Target="https://en.wikipedia.org/wiki/Minot_State_Beavers" TargetMode="External"/><Relationship Id="rId371" Type="http://schemas.openxmlformats.org/officeDocument/2006/relationships/hyperlink" Target="https://en.wikipedia.org/wiki/North_Dakota" TargetMode="External"/><Relationship Id="rId40" Type="http://schemas.openxmlformats.org/officeDocument/2006/relationships/hyperlink" Target="https://en.wikipedia.org/wiki/Maryland_Terrapins" TargetMode="External"/><Relationship Id="rId42" Type="http://schemas.openxmlformats.org/officeDocument/2006/relationships/hyperlink" Target="https://en.wikipedia.org/wiki/Madison,_Wisconsin" TargetMode="External"/><Relationship Id="rId41" Type="http://schemas.openxmlformats.org/officeDocument/2006/relationships/hyperlink" Target="https://en.wikipedia.org/wiki/Kohl_Center" TargetMode="External"/><Relationship Id="rId44" Type="http://schemas.openxmlformats.org/officeDocument/2006/relationships/hyperlink" Target="https://en.wikipedia.org/wiki/Wisconsin_Badgers" TargetMode="External"/><Relationship Id="rId43" Type="http://schemas.openxmlformats.org/officeDocument/2006/relationships/hyperlink" Target="https://en.wikipedia.org/wiki/Wisconsin" TargetMode="External"/><Relationship Id="rId46" Type="http://schemas.openxmlformats.org/officeDocument/2006/relationships/hyperlink" Target="https://en.wikipedia.org/wiki/Bloomington,_Indiana" TargetMode="External"/><Relationship Id="rId45" Type="http://schemas.openxmlformats.org/officeDocument/2006/relationships/hyperlink" Target="https://en.wikipedia.org/wiki/Simon_Skjodt_Assembly_Hall" TargetMode="External"/><Relationship Id="rId48" Type="http://schemas.openxmlformats.org/officeDocument/2006/relationships/hyperlink" Target="https://en.wikipedia.org/wiki/Indiana_Hoosiers" TargetMode="External"/><Relationship Id="rId47" Type="http://schemas.openxmlformats.org/officeDocument/2006/relationships/hyperlink" Target="https://en.wikipedia.org/wiki/Indiana" TargetMode="External"/><Relationship Id="rId49" Type="http://schemas.openxmlformats.org/officeDocument/2006/relationships/hyperlink" Target="https://en.wikipedia.org/wiki/Allen_Fieldhouse" TargetMode="External"/><Relationship Id="rId31" Type="http://schemas.openxmlformats.org/officeDocument/2006/relationships/hyperlink" Target="https://en.wikipedia.org/wiki/Utah" TargetMode="External"/><Relationship Id="rId30" Type="http://schemas.openxmlformats.org/officeDocument/2006/relationships/hyperlink" Target="https://en.wikipedia.org/wiki/Provo,_Utah" TargetMode="External"/><Relationship Id="rId33" Type="http://schemas.openxmlformats.org/officeDocument/2006/relationships/hyperlink" Target="https://en.wikipedia.org/wiki/Value_City_Arena" TargetMode="External"/><Relationship Id="rId32" Type="http://schemas.openxmlformats.org/officeDocument/2006/relationships/hyperlink" Target="https://en.wikipedia.org/wiki/BYU_Cougars" TargetMode="External"/><Relationship Id="rId35" Type="http://schemas.openxmlformats.org/officeDocument/2006/relationships/hyperlink" Target="https://en.wikipedia.org/wiki/Ohio" TargetMode="External"/><Relationship Id="rId34" Type="http://schemas.openxmlformats.org/officeDocument/2006/relationships/hyperlink" Target="https://en.wikipedia.org/wiki/Columbus,_Ohio" TargetMode="External"/><Relationship Id="rId37" Type="http://schemas.openxmlformats.org/officeDocument/2006/relationships/hyperlink" Target="https://en.wikipedia.org/wiki/Xfinity_Center_(College_Park,_Maryland)" TargetMode="External"/><Relationship Id="rId36" Type="http://schemas.openxmlformats.org/officeDocument/2006/relationships/hyperlink" Target="https://en.wikipedia.org/wiki/Ohio_State_Buckeyes" TargetMode="External"/><Relationship Id="rId39" Type="http://schemas.openxmlformats.org/officeDocument/2006/relationships/hyperlink" Target="https://en.wikipedia.org/wiki/Maryland" TargetMode="External"/><Relationship Id="rId38" Type="http://schemas.openxmlformats.org/officeDocument/2006/relationships/hyperlink" Target="https://en.wikipedia.org/wiki/College_Park,_Maryland" TargetMode="External"/><Relationship Id="rId20" Type="http://schemas.openxmlformats.org/officeDocument/2006/relationships/hyperlink" Target="https://en.wikipedia.org/wiki/UNLV_Runnin%27_Rebels_basketball" TargetMode="External"/><Relationship Id="rId22" Type="http://schemas.openxmlformats.org/officeDocument/2006/relationships/hyperlink" Target="https://en.wikipedia.org/wiki/Fayetteville,_Arkansas" TargetMode="External"/><Relationship Id="rId21" Type="http://schemas.openxmlformats.org/officeDocument/2006/relationships/hyperlink" Target="https://en.wikipedia.org/wiki/Bud_Walton_Arena" TargetMode="External"/><Relationship Id="rId24" Type="http://schemas.openxmlformats.org/officeDocument/2006/relationships/hyperlink" Target="https://en.wikipedia.org/wiki/Arkansas_Razorbacks" TargetMode="External"/><Relationship Id="rId23" Type="http://schemas.openxmlformats.org/officeDocument/2006/relationships/hyperlink" Target="https://en.wikipedia.org/wiki/Arkansas" TargetMode="External"/><Relationship Id="rId26" Type="http://schemas.openxmlformats.org/officeDocument/2006/relationships/hyperlink" Target="https://en.wikipedia.org/wiki/Columbia,_South_Carolina" TargetMode="External"/><Relationship Id="rId25" Type="http://schemas.openxmlformats.org/officeDocument/2006/relationships/hyperlink" Target="https://en.wikipedia.org/wiki/Colonial_Life_Arena" TargetMode="External"/><Relationship Id="rId28" Type="http://schemas.openxmlformats.org/officeDocument/2006/relationships/hyperlink" Target="https://en.wikipedia.org/wiki/South_Carolina_Gamecocks" TargetMode="External"/><Relationship Id="rId27" Type="http://schemas.openxmlformats.org/officeDocument/2006/relationships/hyperlink" Target="https://en.wikipedia.org/wiki/South_Carolina" TargetMode="External"/><Relationship Id="rId29" Type="http://schemas.openxmlformats.org/officeDocument/2006/relationships/hyperlink" Target="https://en.wikipedia.org/wiki/Marriott_Center" TargetMode="External"/><Relationship Id="rId11" Type="http://schemas.openxmlformats.org/officeDocument/2006/relationships/hyperlink" Target="https://en.wikipedia.org/wiki/North_Carolina" TargetMode="External"/><Relationship Id="rId10" Type="http://schemas.openxmlformats.org/officeDocument/2006/relationships/hyperlink" Target="https://en.wikipedia.org/wiki/Chapel_Hill,_North_Carolina" TargetMode="External"/><Relationship Id="rId13" Type="http://schemas.openxmlformats.org/officeDocument/2006/relationships/hyperlink" Target="https://en.wikipedia.org/wiki/Thompson%E2%80%93Boling_Arena" TargetMode="External"/><Relationship Id="rId12" Type="http://schemas.openxmlformats.org/officeDocument/2006/relationships/hyperlink" Target="https://en.wikipedia.org/wiki/North_Carolina_Tar_Heels_men%27s_basketball" TargetMode="External"/><Relationship Id="rId15" Type="http://schemas.openxmlformats.org/officeDocument/2006/relationships/hyperlink" Target="https://en.wikipedia.org/wiki/Tennessee" TargetMode="External"/><Relationship Id="rId14" Type="http://schemas.openxmlformats.org/officeDocument/2006/relationships/hyperlink" Target="https://en.wikipedia.org/wiki/Knoxville,_Tennessee" TargetMode="External"/><Relationship Id="rId17" Type="http://schemas.openxmlformats.org/officeDocument/2006/relationships/hyperlink" Target="https://en.wikipedia.org/wiki/Thomas_%26_Mack_Center" TargetMode="External"/><Relationship Id="rId16" Type="http://schemas.openxmlformats.org/officeDocument/2006/relationships/hyperlink" Target="https://en.wikipedia.org/wiki/Tennessee_Volunteers" TargetMode="External"/><Relationship Id="rId19" Type="http://schemas.openxmlformats.org/officeDocument/2006/relationships/hyperlink" Target="https://en.wikipedia.org/wiki/Nevada" TargetMode="External"/><Relationship Id="rId18" Type="http://schemas.openxmlformats.org/officeDocument/2006/relationships/hyperlink" Target="https://en.wikipedia.org/wiki/Paradise,_Nevada" TargetMode="External"/><Relationship Id="rId84" Type="http://schemas.openxmlformats.org/officeDocument/2006/relationships/hyperlink" Target="https://en.wikipedia.org/wiki/Missouri_Tigers" TargetMode="External"/><Relationship Id="rId83" Type="http://schemas.openxmlformats.org/officeDocument/2006/relationships/hyperlink" Target="https://en.wikipedia.org/wiki/Missouri" TargetMode="External"/><Relationship Id="rId86" Type="http://schemas.openxmlformats.org/officeDocument/2006/relationships/hyperlink" Target="https://en.wikipedia.org/wiki/Laramie,_Wyoming" TargetMode="External"/><Relationship Id="rId85" Type="http://schemas.openxmlformats.org/officeDocument/2006/relationships/hyperlink" Target="https://en.wikipedia.org/wiki/Arena-Auditorium" TargetMode="External"/><Relationship Id="rId88" Type="http://schemas.openxmlformats.org/officeDocument/2006/relationships/hyperlink" Target="https://en.wikipedia.org/wiki/Wyoming_Cowboys_and_Cowgirls" TargetMode="External"/><Relationship Id="rId87" Type="http://schemas.openxmlformats.org/officeDocument/2006/relationships/hyperlink" Target="https://en.wikipedia.org/wiki/Wyoming" TargetMode="External"/><Relationship Id="rId89" Type="http://schemas.openxmlformats.org/officeDocument/2006/relationships/hyperlink" Target="https://en.wikipedia.org/wiki/Jon_M._Huntsman_Center" TargetMode="External"/><Relationship Id="rId80" Type="http://schemas.openxmlformats.org/officeDocument/2006/relationships/hyperlink" Target="https://en.wikipedia.org/wiki/Texas_Tech_Red_Raiders" TargetMode="External"/><Relationship Id="rId82" Type="http://schemas.openxmlformats.org/officeDocument/2006/relationships/hyperlink" Target="https://en.wikipedia.org/wiki/Columbia,_Missouri" TargetMode="External"/><Relationship Id="rId81" Type="http://schemas.openxmlformats.org/officeDocument/2006/relationships/hyperlink" Target="https://en.wikipedia.org/wiki/Mizzou_Arena" TargetMode="External"/><Relationship Id="rId73" Type="http://schemas.openxmlformats.org/officeDocument/2006/relationships/hyperlink" Target="https://en.wikipedia.org/wiki/Bryce_Jordan_Center" TargetMode="External"/><Relationship Id="rId72" Type="http://schemas.openxmlformats.org/officeDocument/2006/relationships/hyperlink" Target="https://en.wikipedia.org/wiki/Alabama_Crimson_Tide" TargetMode="External"/><Relationship Id="rId75" Type="http://schemas.openxmlformats.org/officeDocument/2006/relationships/hyperlink" Target="https://en.wikipedia.org/wiki/Pennsylvania" TargetMode="External"/><Relationship Id="rId74" Type="http://schemas.openxmlformats.org/officeDocument/2006/relationships/hyperlink" Target="https://en.wikipedia.org/wiki/University_Park,_Pennsylvania" TargetMode="External"/><Relationship Id="rId77" Type="http://schemas.openxmlformats.org/officeDocument/2006/relationships/hyperlink" Target="https://en.wikipedia.org/wiki/United_Supermarkets_Arena" TargetMode="External"/><Relationship Id="rId76" Type="http://schemas.openxmlformats.org/officeDocument/2006/relationships/hyperlink" Target="https://en.wikipedia.org/wiki/Penn_State_Nittany_Lions" TargetMode="External"/><Relationship Id="rId79" Type="http://schemas.openxmlformats.org/officeDocument/2006/relationships/hyperlink" Target="https://en.wikipedia.org/wiki/Texas" TargetMode="External"/><Relationship Id="rId78" Type="http://schemas.openxmlformats.org/officeDocument/2006/relationships/hyperlink" Target="https://en.wikipedia.org/wiki/Lubbock,_Texas" TargetMode="External"/><Relationship Id="rId71" Type="http://schemas.openxmlformats.org/officeDocument/2006/relationships/hyperlink" Target="https://en.wikipedia.org/wiki/Alabama" TargetMode="External"/><Relationship Id="rId70" Type="http://schemas.openxmlformats.org/officeDocument/2006/relationships/hyperlink" Target="https://en.wikipedia.org/wiki/Tuscaloosa,_Alabama" TargetMode="External"/><Relationship Id="rId62" Type="http://schemas.openxmlformats.org/officeDocument/2006/relationships/hyperlink" Target="https://en.wikipedia.org/wiki/Albuquerque,_New_Mexico" TargetMode="External"/><Relationship Id="rId61" Type="http://schemas.openxmlformats.org/officeDocument/2006/relationships/hyperlink" Target="https://en.wikipedia.org/wiki/The_Pit_(arena)" TargetMode="External"/><Relationship Id="rId64" Type="http://schemas.openxmlformats.org/officeDocument/2006/relationships/hyperlink" Target="https://en.wikipedia.org/wiki/New_Mexico_Lobos" TargetMode="External"/><Relationship Id="rId63" Type="http://schemas.openxmlformats.org/officeDocument/2006/relationships/hyperlink" Target="https://en.wikipedia.org/wiki/New_Mexico" TargetMode="External"/><Relationship Id="rId66" Type="http://schemas.openxmlformats.org/officeDocument/2006/relationships/hyperlink" Target="https://en.wikipedia.org/wiki/Iowa_City,_Iowa" TargetMode="External"/><Relationship Id="rId65" Type="http://schemas.openxmlformats.org/officeDocument/2006/relationships/hyperlink" Target="https://en.wikipedia.org/wiki/Carver%E2%80%93Hawkeye_Arena" TargetMode="External"/><Relationship Id="rId68" Type="http://schemas.openxmlformats.org/officeDocument/2006/relationships/hyperlink" Target="https://en.wikipedia.org/wiki/Iowa_Hawkeyes" TargetMode="External"/><Relationship Id="rId67" Type="http://schemas.openxmlformats.org/officeDocument/2006/relationships/hyperlink" Target="https://en.wikipedia.org/wiki/Iowa" TargetMode="External"/><Relationship Id="rId60" Type="http://schemas.openxmlformats.org/officeDocument/2006/relationships/hyperlink" Target="https://en.wikipedia.org/wiki/Illinois_Fighting_Illini" TargetMode="External"/><Relationship Id="rId69" Type="http://schemas.openxmlformats.org/officeDocument/2006/relationships/hyperlink" Target="https://en.wikipedia.org/wiki/Coleman_Coliseum" TargetMode="External"/><Relationship Id="rId51" Type="http://schemas.openxmlformats.org/officeDocument/2006/relationships/hyperlink" Target="https://en.wikipedia.org/wiki/Kansas" TargetMode="External"/><Relationship Id="rId50" Type="http://schemas.openxmlformats.org/officeDocument/2006/relationships/hyperlink" Target="https://en.wikipedia.org/wiki/Lawrence,_Kansas" TargetMode="External"/><Relationship Id="rId53" Type="http://schemas.openxmlformats.org/officeDocument/2006/relationships/hyperlink" Target="https://en.wikipedia.org/wiki/Save_Mart_Center" TargetMode="External"/><Relationship Id="rId52" Type="http://schemas.openxmlformats.org/officeDocument/2006/relationships/hyperlink" Target="https://en.wikipedia.org/wiki/Kansas_Jayhawks" TargetMode="External"/><Relationship Id="rId55" Type="http://schemas.openxmlformats.org/officeDocument/2006/relationships/hyperlink" Target="https://en.wikipedia.org/wiki/California" TargetMode="External"/><Relationship Id="rId54" Type="http://schemas.openxmlformats.org/officeDocument/2006/relationships/hyperlink" Target="https://en.wikipedia.org/wiki/Fresno,_California" TargetMode="External"/><Relationship Id="rId57" Type="http://schemas.openxmlformats.org/officeDocument/2006/relationships/hyperlink" Target="https://en.wikipedia.org/wiki/State_Farm_Center" TargetMode="External"/><Relationship Id="rId56" Type="http://schemas.openxmlformats.org/officeDocument/2006/relationships/hyperlink" Target="https://en.wikipedia.org/wiki/Fresno_State_Bulldogs" TargetMode="External"/><Relationship Id="rId59" Type="http://schemas.openxmlformats.org/officeDocument/2006/relationships/hyperlink" Target="https://en.wikipedia.org/wiki/Illinois" TargetMode="External"/><Relationship Id="rId58" Type="http://schemas.openxmlformats.org/officeDocument/2006/relationships/hyperlink" Target="https://en.wikipedia.org/wiki/Champaign,_Illinois" TargetMode="External"/><Relationship Id="rId349" Type="http://schemas.openxmlformats.org/officeDocument/2006/relationships/hyperlink" Target="https://en.wikipedia.org/wiki/Alaska_Airlines_Arena_at_Hec_Edmundson_Pavilion" TargetMode="External"/><Relationship Id="rId348" Type="http://schemas.openxmlformats.org/officeDocument/2006/relationships/hyperlink" Target="https://en.wikipedia.org/wiki/South_Alabama_Jaguars" TargetMode="External"/><Relationship Id="rId347" Type="http://schemas.openxmlformats.org/officeDocument/2006/relationships/hyperlink" Target="https://en.wikipedia.org/wiki/Alabama" TargetMode="External"/><Relationship Id="rId346" Type="http://schemas.openxmlformats.org/officeDocument/2006/relationships/hyperlink" Target="https://en.wikipedia.org/wiki/Mobile,_Alabama" TargetMode="External"/><Relationship Id="rId341" Type="http://schemas.openxmlformats.org/officeDocument/2006/relationships/hyperlink" Target="https://en.wikipedia.org/wiki/Cassell_Coliseum" TargetMode="External"/><Relationship Id="rId340" Type="http://schemas.openxmlformats.org/officeDocument/2006/relationships/hyperlink" Target="https://en.wikipedia.org/wiki/UConn_Huskies" TargetMode="External"/><Relationship Id="rId345" Type="http://schemas.openxmlformats.org/officeDocument/2006/relationships/hyperlink" Target="https://en.wikipedia.org/wiki/Mitchell_Center" TargetMode="External"/><Relationship Id="rId344" Type="http://schemas.openxmlformats.org/officeDocument/2006/relationships/hyperlink" Target="https://en.wikipedia.org/wiki/Virginia_Tech_Hokies" TargetMode="External"/><Relationship Id="rId343" Type="http://schemas.openxmlformats.org/officeDocument/2006/relationships/hyperlink" Target="https://en.wikipedia.org/wiki/Virginia" TargetMode="External"/><Relationship Id="rId342" Type="http://schemas.openxmlformats.org/officeDocument/2006/relationships/hyperlink" Target="https://en.wikipedia.org/wiki/Blacksburg,_Virginia" TargetMode="External"/><Relationship Id="rId338" Type="http://schemas.openxmlformats.org/officeDocument/2006/relationships/hyperlink" Target="https://en.wikipedia.org/wiki/Storrs,_Connecticut" TargetMode="External"/><Relationship Id="rId337" Type="http://schemas.openxmlformats.org/officeDocument/2006/relationships/hyperlink" Target="https://en.wikipedia.org/wiki/Harry_A._Gampel_Pavilion" TargetMode="External"/><Relationship Id="rId336" Type="http://schemas.openxmlformats.org/officeDocument/2006/relationships/hyperlink" Target="https://en.wikipedia.org/wiki/Indiana_State_Sycamores" TargetMode="External"/><Relationship Id="rId335" Type="http://schemas.openxmlformats.org/officeDocument/2006/relationships/hyperlink" Target="https://en.wikipedia.org/wiki/Indiana" TargetMode="External"/><Relationship Id="rId339" Type="http://schemas.openxmlformats.org/officeDocument/2006/relationships/hyperlink" Target="https://en.wikipedia.org/wiki/Connecticut" TargetMode="External"/><Relationship Id="rId330" Type="http://schemas.openxmlformats.org/officeDocument/2006/relationships/hyperlink" Target="https://en.wikipedia.org/wiki/Philadelphia" TargetMode="External"/><Relationship Id="rId334" Type="http://schemas.openxmlformats.org/officeDocument/2006/relationships/hyperlink" Target="https://en.wikipedia.org/wiki/Terre_Haute,_Indiana" TargetMode="External"/><Relationship Id="rId333" Type="http://schemas.openxmlformats.org/officeDocument/2006/relationships/hyperlink" Target="https://en.wikipedia.org/wiki/Hulman_Center" TargetMode="External"/><Relationship Id="rId332" Type="http://schemas.openxmlformats.org/officeDocument/2006/relationships/hyperlink" Target="https://en.wikipedia.org/wiki/Temple_Owls" TargetMode="External"/><Relationship Id="rId331" Type="http://schemas.openxmlformats.org/officeDocument/2006/relationships/hyperlink" Target="https://en.wikipedia.org/wiki/Pennsylvania" TargetMode="External"/><Relationship Id="rId370" Type="http://schemas.openxmlformats.org/officeDocument/2006/relationships/hyperlink" Target="https://en.wikipedia.org/wiki/Minot,_North_Dakota" TargetMode="External"/><Relationship Id="rId369" Type="http://schemas.openxmlformats.org/officeDocument/2006/relationships/hyperlink" Target="https://en.wikipedia.org/wiki/MSU_Dome" TargetMode="External"/><Relationship Id="rId368" Type="http://schemas.openxmlformats.org/officeDocument/2006/relationships/hyperlink" Target="https://en.wikipedia.org/wiki/Northern_Illinois_Huskies" TargetMode="External"/><Relationship Id="rId363" Type="http://schemas.openxmlformats.org/officeDocument/2006/relationships/hyperlink" Target="https://en.wikipedia.org/wiki/Minnesota" TargetMode="External"/><Relationship Id="rId362" Type="http://schemas.openxmlformats.org/officeDocument/2006/relationships/hyperlink" Target="https://en.wikipedia.org/wiki/Minneapolis" TargetMode="External"/><Relationship Id="rId361" Type="http://schemas.openxmlformats.org/officeDocument/2006/relationships/hyperlink" Target="https://en.wikipedia.org/wiki/3M_Arena_at_Mariucci" TargetMode="External"/><Relationship Id="rId360" Type="http://schemas.openxmlformats.org/officeDocument/2006/relationships/hyperlink" Target="https://en.wikipedia.org/wiki/George_Mason_Patriots" TargetMode="External"/><Relationship Id="rId367" Type="http://schemas.openxmlformats.org/officeDocument/2006/relationships/hyperlink" Target="https://en.wikipedia.org/wiki/Illinois" TargetMode="External"/><Relationship Id="rId366" Type="http://schemas.openxmlformats.org/officeDocument/2006/relationships/hyperlink" Target="https://en.wikipedia.org/wiki/DeKalb,_Illinois" TargetMode="External"/><Relationship Id="rId365" Type="http://schemas.openxmlformats.org/officeDocument/2006/relationships/hyperlink" Target="https://en.wikipedia.org/wiki/Convocation_Center_(Northern_Illinois_University)" TargetMode="External"/><Relationship Id="rId364" Type="http://schemas.openxmlformats.org/officeDocument/2006/relationships/hyperlink" Target="https://en.wikipedia.org/wiki/Minnesota_Golden_Gophers" TargetMode="External"/><Relationship Id="rId95" Type="http://schemas.openxmlformats.org/officeDocument/2006/relationships/hyperlink" Target="https://en.wikipedia.org/wiki/Texas" TargetMode="External"/><Relationship Id="rId94" Type="http://schemas.openxmlformats.org/officeDocument/2006/relationships/hyperlink" Target="https://en.wikipedia.org/wiki/Austin,_Texas" TargetMode="External"/><Relationship Id="rId97" Type="http://schemas.openxmlformats.org/officeDocument/2006/relationships/hyperlink" Target="https://en.wikipedia.org/wiki/Mackey_Arena" TargetMode="External"/><Relationship Id="rId96" Type="http://schemas.openxmlformats.org/officeDocument/2006/relationships/hyperlink" Target="https://en.wikipedia.org/wiki/Texas_Longhorns" TargetMode="External"/><Relationship Id="rId99" Type="http://schemas.openxmlformats.org/officeDocument/2006/relationships/hyperlink" Target="https://en.wikipedia.org/wiki/Indiana" TargetMode="External"/><Relationship Id="rId98" Type="http://schemas.openxmlformats.org/officeDocument/2006/relationships/hyperlink" Target="https://en.wikipedia.org/wiki/West_Lafayette,_Indiana" TargetMode="External"/><Relationship Id="rId91" Type="http://schemas.openxmlformats.org/officeDocument/2006/relationships/hyperlink" Target="https://en.wikipedia.org/wiki/Utah" TargetMode="External"/><Relationship Id="rId90" Type="http://schemas.openxmlformats.org/officeDocument/2006/relationships/hyperlink" Target="https://en.wikipedia.org/wiki/Salt_Lake_City" TargetMode="External"/><Relationship Id="rId93" Type="http://schemas.openxmlformats.org/officeDocument/2006/relationships/hyperlink" Target="https://en.wikipedia.org/wiki/Moody_Center" TargetMode="External"/><Relationship Id="rId92" Type="http://schemas.openxmlformats.org/officeDocument/2006/relationships/hyperlink" Target="https://en.wikipedia.org/wiki/Utah_Utes" TargetMode="External"/><Relationship Id="rId359" Type="http://schemas.openxmlformats.org/officeDocument/2006/relationships/hyperlink" Target="https://en.wikipedia.org/wiki/Virginia" TargetMode="External"/><Relationship Id="rId358" Type="http://schemas.openxmlformats.org/officeDocument/2006/relationships/hyperlink" Target="https://en.wikipedia.org/wiki/Fairfax,_Virginia" TargetMode="External"/><Relationship Id="rId357" Type="http://schemas.openxmlformats.org/officeDocument/2006/relationships/hyperlink" Target="https://en.wikipedia.org/wiki/EagleBank_Arena" TargetMode="External"/><Relationship Id="rId352" Type="http://schemas.openxmlformats.org/officeDocument/2006/relationships/hyperlink" Target="https://en.wikipedia.org/wiki/Washington_Huskies" TargetMode="External"/><Relationship Id="rId351" Type="http://schemas.openxmlformats.org/officeDocument/2006/relationships/hyperlink" Target="https://en.wikipedia.org/wiki/Washington_(state)" TargetMode="External"/><Relationship Id="rId350" Type="http://schemas.openxmlformats.org/officeDocument/2006/relationships/hyperlink" Target="https://en.wikipedia.org/wiki/Seattle" TargetMode="External"/><Relationship Id="rId356" Type="http://schemas.openxmlformats.org/officeDocument/2006/relationships/hyperlink" Target="https://en.wikipedia.org/wiki/Texas_State_Bobcats" TargetMode="External"/><Relationship Id="rId355" Type="http://schemas.openxmlformats.org/officeDocument/2006/relationships/hyperlink" Target="https://en.wikipedia.org/wiki/Texas" TargetMode="External"/><Relationship Id="rId354" Type="http://schemas.openxmlformats.org/officeDocument/2006/relationships/hyperlink" Target="https://en.wikipedia.org/wiki/San_Marcos,_Texas" TargetMode="External"/><Relationship Id="rId353" Type="http://schemas.openxmlformats.org/officeDocument/2006/relationships/hyperlink" Target="https://en.wikipedia.org/wiki/Strahan_Arena" TargetMode="External"/><Relationship Id="rId305" Type="http://schemas.openxmlformats.org/officeDocument/2006/relationships/hyperlink" Target="https://en.wikipedia.org/wiki/Ferrell_Center" TargetMode="External"/><Relationship Id="rId304" Type="http://schemas.openxmlformats.org/officeDocument/2006/relationships/hyperlink" Target="https://en.wikipedia.org/wiki/South_Florida_Bulls" TargetMode="External"/><Relationship Id="rId303" Type="http://schemas.openxmlformats.org/officeDocument/2006/relationships/hyperlink" Target="https://en.wikipedia.org/wiki/Florida" TargetMode="External"/><Relationship Id="rId302" Type="http://schemas.openxmlformats.org/officeDocument/2006/relationships/hyperlink" Target="https://en.wikipedia.org/wiki/Tampa,_Florida" TargetMode="External"/><Relationship Id="rId309" Type="http://schemas.openxmlformats.org/officeDocument/2006/relationships/hyperlink" Target="https://en.wikipedia.org/wiki/Stan_Sheriff_Center" TargetMode="External"/><Relationship Id="rId308" Type="http://schemas.openxmlformats.org/officeDocument/2006/relationships/hyperlink" Target="https://en.wikipedia.org/wiki/Baylor_Bears" TargetMode="External"/><Relationship Id="rId307" Type="http://schemas.openxmlformats.org/officeDocument/2006/relationships/hyperlink" Target="https://en.wikipedia.org/wiki/Texas" TargetMode="External"/><Relationship Id="rId306" Type="http://schemas.openxmlformats.org/officeDocument/2006/relationships/hyperlink" Target="https://en.wikipedia.org/wiki/Waco,_Texas" TargetMode="External"/><Relationship Id="rId301" Type="http://schemas.openxmlformats.org/officeDocument/2006/relationships/hyperlink" Target="https://en.wikipedia.org/wiki/Yuengling_Center" TargetMode="External"/><Relationship Id="rId300" Type="http://schemas.openxmlformats.org/officeDocument/2006/relationships/hyperlink" Target="https://en.wikipedia.org/wiki/Florida_Gators" TargetMode="External"/><Relationship Id="rId327" Type="http://schemas.openxmlformats.org/officeDocument/2006/relationships/hyperlink" Target="https://en.wikipedia.org/wiki/Illinois" TargetMode="External"/><Relationship Id="rId326" Type="http://schemas.openxmlformats.org/officeDocument/2006/relationships/hyperlink" Target="https://en.wikipedia.org/wiki/Normal,_Illinois" TargetMode="External"/><Relationship Id="rId325" Type="http://schemas.openxmlformats.org/officeDocument/2006/relationships/hyperlink" Target="https://en.wikipedia.org/wiki/CEFCU_Arena" TargetMode="External"/><Relationship Id="rId324" Type="http://schemas.openxmlformats.org/officeDocument/2006/relationships/hyperlink" Target="https://en.wikipedia.org/wiki/Xavier_Musketeers" TargetMode="External"/><Relationship Id="rId329" Type="http://schemas.openxmlformats.org/officeDocument/2006/relationships/hyperlink" Target="https://en.wikipedia.org/wiki/Liacouras_Center" TargetMode="External"/><Relationship Id="rId328" Type="http://schemas.openxmlformats.org/officeDocument/2006/relationships/hyperlink" Target="https://en.wikipedia.org/wiki/Illinois_State_Redbirds" TargetMode="External"/><Relationship Id="rId323" Type="http://schemas.openxmlformats.org/officeDocument/2006/relationships/hyperlink" Target="https://en.wikipedia.org/wiki/Ohio" TargetMode="External"/><Relationship Id="rId322" Type="http://schemas.openxmlformats.org/officeDocument/2006/relationships/hyperlink" Target="https://en.wikipedia.org/wiki/Cincinnati" TargetMode="External"/><Relationship Id="rId321" Type="http://schemas.openxmlformats.org/officeDocument/2006/relationships/hyperlink" Target="https://en.wikipedia.org/wiki/Cintas_Center" TargetMode="External"/><Relationship Id="rId320" Type="http://schemas.openxmlformats.org/officeDocument/2006/relationships/hyperlink" Target="https://en.wikipedia.org/wiki/USC_Trojans" TargetMode="External"/><Relationship Id="rId316" Type="http://schemas.openxmlformats.org/officeDocument/2006/relationships/hyperlink" Target="https://en.wikipedia.org/wiki/Utah_State_Aggies" TargetMode="External"/><Relationship Id="rId315" Type="http://schemas.openxmlformats.org/officeDocument/2006/relationships/hyperlink" Target="https://en.wikipedia.org/wiki/Utah" TargetMode="External"/><Relationship Id="rId314" Type="http://schemas.openxmlformats.org/officeDocument/2006/relationships/hyperlink" Target="https://en.wikipedia.org/wiki/Logan,_Utah" TargetMode="External"/><Relationship Id="rId313" Type="http://schemas.openxmlformats.org/officeDocument/2006/relationships/hyperlink" Target="https://en.wikipedia.org/wiki/Smith_Spectrum" TargetMode="External"/><Relationship Id="rId319" Type="http://schemas.openxmlformats.org/officeDocument/2006/relationships/hyperlink" Target="https://en.wikipedia.org/wiki/California" TargetMode="External"/><Relationship Id="rId318" Type="http://schemas.openxmlformats.org/officeDocument/2006/relationships/hyperlink" Target="https://en.wikipedia.org/wiki/Los_Angeles" TargetMode="External"/><Relationship Id="rId317" Type="http://schemas.openxmlformats.org/officeDocument/2006/relationships/hyperlink" Target="https://en.wikipedia.org/wiki/Galen_Center" TargetMode="External"/><Relationship Id="rId312" Type="http://schemas.openxmlformats.org/officeDocument/2006/relationships/hyperlink" Target="https://en.wikipedia.org/wiki/Hawaii_Rainbow_Warriors" TargetMode="External"/><Relationship Id="rId311" Type="http://schemas.openxmlformats.org/officeDocument/2006/relationships/hyperlink" Target="https://en.wikipedia.org/wiki/Hawaii" TargetMode="External"/><Relationship Id="rId310" Type="http://schemas.openxmlformats.org/officeDocument/2006/relationships/hyperlink" Target="https://en.wikipedia.org/wiki/Honolulu" TargetMode="External"/><Relationship Id="rId297" Type="http://schemas.openxmlformats.org/officeDocument/2006/relationships/hyperlink" Target="https://en.wikipedia.org/wiki/O%27Connell_Center" TargetMode="External"/><Relationship Id="rId296" Type="http://schemas.openxmlformats.org/officeDocument/2006/relationships/hyperlink" Target="https://en.wikipedia.org/wiki/Tennessee_State_Tigers" TargetMode="External"/><Relationship Id="rId295" Type="http://schemas.openxmlformats.org/officeDocument/2006/relationships/hyperlink" Target="https://en.wikipedia.org/wiki/Tennessee" TargetMode="External"/><Relationship Id="rId294" Type="http://schemas.openxmlformats.org/officeDocument/2006/relationships/hyperlink" Target="https://en.wikipedia.org/wiki/Nashville,_Tennessee" TargetMode="External"/><Relationship Id="rId299" Type="http://schemas.openxmlformats.org/officeDocument/2006/relationships/hyperlink" Target="https://en.wikipedia.org/wiki/Florida" TargetMode="External"/><Relationship Id="rId298" Type="http://schemas.openxmlformats.org/officeDocument/2006/relationships/hyperlink" Target="https://en.wikipedia.org/wiki/Gainesville,_Florida" TargetMode="External"/><Relationship Id="rId271" Type="http://schemas.openxmlformats.org/officeDocument/2006/relationships/hyperlink" Target="https://en.wikipedia.org/wiki/Missouri" TargetMode="External"/><Relationship Id="rId270" Type="http://schemas.openxmlformats.org/officeDocument/2006/relationships/hyperlink" Target="https://en.wikipedia.org/wiki/St._Louis" TargetMode="External"/><Relationship Id="rId269" Type="http://schemas.openxmlformats.org/officeDocument/2006/relationships/hyperlink" Target="https://en.wikipedia.org/wiki/Chaifetz_Arena" TargetMode="External"/><Relationship Id="rId264" Type="http://schemas.openxmlformats.org/officeDocument/2006/relationships/hyperlink" Target="https://en.wikipedia.org/wiki/Chattanooga_Mocs" TargetMode="External"/><Relationship Id="rId263" Type="http://schemas.openxmlformats.org/officeDocument/2006/relationships/hyperlink" Target="https://en.wikipedia.org/wiki/Tennessee" TargetMode="External"/><Relationship Id="rId262" Type="http://schemas.openxmlformats.org/officeDocument/2006/relationships/hyperlink" Target="https://en.wikipedia.org/wiki/Chattanooga,_Tennessee" TargetMode="External"/><Relationship Id="rId261" Type="http://schemas.openxmlformats.org/officeDocument/2006/relationships/hyperlink" Target="https://en.wikipedia.org/wiki/McKenzie_Arena" TargetMode="External"/><Relationship Id="rId268" Type="http://schemas.openxmlformats.org/officeDocument/2006/relationships/hyperlink" Target="https://en.wikipedia.org/wiki/Lamar_Cardinals" TargetMode="External"/><Relationship Id="rId267" Type="http://schemas.openxmlformats.org/officeDocument/2006/relationships/hyperlink" Target="https://en.wikipedia.org/wiki/Texas" TargetMode="External"/><Relationship Id="rId266" Type="http://schemas.openxmlformats.org/officeDocument/2006/relationships/hyperlink" Target="https://en.wikipedia.org/wiki/Beaumont,_Texas" TargetMode="External"/><Relationship Id="rId265" Type="http://schemas.openxmlformats.org/officeDocument/2006/relationships/hyperlink" Target="https://en.wikipedia.org/wiki/Montagne_Center" TargetMode="External"/><Relationship Id="rId260" Type="http://schemas.openxmlformats.org/officeDocument/2006/relationships/hyperlink" Target="https://en.wikipedia.org/wiki/Missouri_State_Bears" TargetMode="External"/><Relationship Id="rId259" Type="http://schemas.openxmlformats.org/officeDocument/2006/relationships/hyperlink" Target="https://en.wikipedia.org/wiki/Missouri" TargetMode="External"/><Relationship Id="rId258" Type="http://schemas.openxmlformats.org/officeDocument/2006/relationships/hyperlink" Target="https://en.wikipedia.org/wiki/Springfield,_Missouri" TargetMode="External"/><Relationship Id="rId253" Type="http://schemas.openxmlformats.org/officeDocument/2006/relationships/hyperlink" Target="https://en.wikipedia.org/wiki/CU_Events_Center" TargetMode="External"/><Relationship Id="rId252" Type="http://schemas.openxmlformats.org/officeDocument/2006/relationships/hyperlink" Target="https://en.wikipedia.org/wiki/Northern_Arizona_Lumberjacks" TargetMode="External"/><Relationship Id="rId251" Type="http://schemas.openxmlformats.org/officeDocument/2006/relationships/hyperlink" Target="https://en.wikipedia.org/wiki/Arizona" TargetMode="External"/><Relationship Id="rId250" Type="http://schemas.openxmlformats.org/officeDocument/2006/relationships/hyperlink" Target="https://en.wikipedia.org/wiki/Flagstaff,_Arizona" TargetMode="External"/><Relationship Id="rId257" Type="http://schemas.openxmlformats.org/officeDocument/2006/relationships/hyperlink" Target="https://en.wikipedia.org/wiki/Great_Southern_Bank_Arena" TargetMode="External"/><Relationship Id="rId256" Type="http://schemas.openxmlformats.org/officeDocument/2006/relationships/hyperlink" Target="https://en.wikipedia.org/wiki/Colorado_Buffaloes" TargetMode="External"/><Relationship Id="rId255" Type="http://schemas.openxmlformats.org/officeDocument/2006/relationships/hyperlink" Target="https://en.wikipedia.org/wiki/Colorado" TargetMode="External"/><Relationship Id="rId254" Type="http://schemas.openxmlformats.org/officeDocument/2006/relationships/hyperlink" Target="https://en.wikipedia.org/wiki/Boulder,_Colorado" TargetMode="External"/><Relationship Id="rId293" Type="http://schemas.openxmlformats.org/officeDocument/2006/relationships/hyperlink" Target="https://en.wikipedia.org/wiki/Gentry_Complex" TargetMode="External"/><Relationship Id="rId292" Type="http://schemas.openxmlformats.org/officeDocument/2006/relationships/hyperlink" Target="https://en.wikipedia.org/wiki/Wichita_State_Shockers" TargetMode="External"/><Relationship Id="rId291" Type="http://schemas.openxmlformats.org/officeDocument/2006/relationships/hyperlink" Target="https://en.wikipedia.org/wiki/Kansas" TargetMode="External"/><Relationship Id="rId290" Type="http://schemas.openxmlformats.org/officeDocument/2006/relationships/hyperlink" Target="https://en.wikipedia.org/wiki/Wichita,_Kansas" TargetMode="External"/><Relationship Id="rId286" Type="http://schemas.openxmlformats.org/officeDocument/2006/relationships/hyperlink" Target="https://en.wikipedia.org/wiki/Athens,_Georgia" TargetMode="External"/><Relationship Id="rId285" Type="http://schemas.openxmlformats.org/officeDocument/2006/relationships/hyperlink" Target="https://en.wikipedia.org/wiki/Stegeman_Coliseum" TargetMode="External"/><Relationship Id="rId284" Type="http://schemas.openxmlformats.org/officeDocument/2006/relationships/hyperlink" Target="https://en.wikipedia.org/wiki/Oral_Roberts_Golden_Eagles" TargetMode="External"/><Relationship Id="rId283" Type="http://schemas.openxmlformats.org/officeDocument/2006/relationships/hyperlink" Target="https://en.wikipedia.org/wiki/Oklahoma" TargetMode="External"/><Relationship Id="rId289" Type="http://schemas.openxmlformats.org/officeDocument/2006/relationships/hyperlink" Target="https://en.wikipedia.org/wiki/Charles_Koch_Arena" TargetMode="External"/><Relationship Id="rId288" Type="http://schemas.openxmlformats.org/officeDocument/2006/relationships/hyperlink" Target="https://en.wikipedia.org/wiki/Georgia_Bulldogs" TargetMode="External"/><Relationship Id="rId287" Type="http://schemas.openxmlformats.org/officeDocument/2006/relationships/hyperlink" Target="https://en.wikipedia.org/wiki/Georgia_(U.S._state)" TargetMode="External"/><Relationship Id="rId282" Type="http://schemas.openxmlformats.org/officeDocument/2006/relationships/hyperlink" Target="https://en.wikipedia.org/wiki/Tulsa,_Oklahoma" TargetMode="External"/><Relationship Id="rId281" Type="http://schemas.openxmlformats.org/officeDocument/2006/relationships/hyperlink" Target="https://en.wikipedia.org/wiki/Mabee_Center" TargetMode="External"/><Relationship Id="rId280" Type="http://schemas.openxmlformats.org/officeDocument/2006/relationships/hyperlink" Target="https://en.wikipedia.org/wiki/Arkansas_State_Red_Wolves" TargetMode="External"/><Relationship Id="rId275" Type="http://schemas.openxmlformats.org/officeDocument/2006/relationships/hyperlink" Target="https://en.wikipedia.org/wiki/Mississippi" TargetMode="External"/><Relationship Id="rId274" Type="http://schemas.openxmlformats.org/officeDocument/2006/relationships/hyperlink" Target="https://en.wikipedia.org/wiki/Starkville,_Mississippi" TargetMode="External"/><Relationship Id="rId273" Type="http://schemas.openxmlformats.org/officeDocument/2006/relationships/hyperlink" Target="https://en.wikipedia.org/wiki/Humphrey_Coliseum" TargetMode="External"/><Relationship Id="rId272" Type="http://schemas.openxmlformats.org/officeDocument/2006/relationships/hyperlink" Target="https://en.wikipedia.org/wiki/Saint_Louis_Billikens" TargetMode="External"/><Relationship Id="rId279" Type="http://schemas.openxmlformats.org/officeDocument/2006/relationships/hyperlink" Target="https://en.wikipedia.org/wiki/Arkansas" TargetMode="External"/><Relationship Id="rId278" Type="http://schemas.openxmlformats.org/officeDocument/2006/relationships/hyperlink" Target="https://en.wikipedia.org/wiki/Jonesboro,_Arkansas" TargetMode="External"/><Relationship Id="rId277" Type="http://schemas.openxmlformats.org/officeDocument/2006/relationships/hyperlink" Target="https://en.wikipedia.org/wiki/First_National_Bank_Arena" TargetMode="External"/><Relationship Id="rId276" Type="http://schemas.openxmlformats.org/officeDocument/2006/relationships/hyperlink" Target="https://en.wikipedia.org/wiki/Mississippi_State_Bulldogs" TargetMode="External"/><Relationship Id="rId228" Type="http://schemas.openxmlformats.org/officeDocument/2006/relationships/hyperlink" Target="https://en.wikipedia.org/wiki/Nevada_Wolf_Pack" TargetMode="External"/><Relationship Id="rId227" Type="http://schemas.openxmlformats.org/officeDocument/2006/relationships/hyperlink" Target="https://en.wikipedia.org/wiki/Nevada" TargetMode="External"/><Relationship Id="rId226" Type="http://schemas.openxmlformats.org/officeDocument/2006/relationships/hyperlink" Target="https://en.wikipedia.org/wiki/Reno,_Nevada" TargetMode="External"/><Relationship Id="rId225" Type="http://schemas.openxmlformats.org/officeDocument/2006/relationships/hyperlink" Target="https://en.wikipedia.org/wiki/Lawlor_Events_Center" TargetMode="External"/><Relationship Id="rId229" Type="http://schemas.openxmlformats.org/officeDocument/2006/relationships/hyperlink" Target="https://en.wikipedia.org/wiki/Lloyd_Noble_Center" TargetMode="External"/><Relationship Id="rId220" Type="http://schemas.openxmlformats.org/officeDocument/2006/relationships/hyperlink" Target="https://en.wikipedia.org/wiki/Washington_State_Cougars" TargetMode="External"/><Relationship Id="rId224" Type="http://schemas.openxmlformats.org/officeDocument/2006/relationships/hyperlink" Target="https://en.wikipedia.org/wiki/North_Dakota_Fighting_Hawks" TargetMode="External"/><Relationship Id="rId223" Type="http://schemas.openxmlformats.org/officeDocument/2006/relationships/hyperlink" Target="https://en.wikipedia.org/wiki/North_Dakota" TargetMode="External"/><Relationship Id="rId222" Type="http://schemas.openxmlformats.org/officeDocument/2006/relationships/hyperlink" Target="https://en.wikipedia.org/wiki/Grand_Forks,_North_Dakota" TargetMode="External"/><Relationship Id="rId221" Type="http://schemas.openxmlformats.org/officeDocument/2006/relationships/hyperlink" Target="https://en.wikipedia.org/wiki/Ralph_Engelstad_Arena" TargetMode="External"/><Relationship Id="rId217" Type="http://schemas.openxmlformats.org/officeDocument/2006/relationships/hyperlink" Target="https://en.wikipedia.org/wiki/Beasley_Coliseum" TargetMode="External"/><Relationship Id="rId216" Type="http://schemas.openxmlformats.org/officeDocument/2006/relationships/hyperlink" Target="https://en.wikipedia.org/wiki/California_Golden_Bears" TargetMode="External"/><Relationship Id="rId215" Type="http://schemas.openxmlformats.org/officeDocument/2006/relationships/hyperlink" Target="https://en.wikipedia.org/wiki/California" TargetMode="External"/><Relationship Id="rId214" Type="http://schemas.openxmlformats.org/officeDocument/2006/relationships/hyperlink" Target="https://en.wikipedia.org/wiki/Berkeley,_California" TargetMode="External"/><Relationship Id="rId219" Type="http://schemas.openxmlformats.org/officeDocument/2006/relationships/hyperlink" Target="https://en.wikipedia.org/wiki/Washington_(state)" TargetMode="External"/><Relationship Id="rId218" Type="http://schemas.openxmlformats.org/officeDocument/2006/relationships/hyperlink" Target="https://en.wikipedia.org/wiki/Pullman,_Washington" TargetMode="External"/><Relationship Id="rId213" Type="http://schemas.openxmlformats.org/officeDocument/2006/relationships/hyperlink" Target="https://en.wikipedia.org/wiki/Haas_Pavilion" TargetMode="External"/><Relationship Id="rId212" Type="http://schemas.openxmlformats.org/officeDocument/2006/relationships/hyperlink" Target="https://en.wikipedia.org/wiki/Cincinnati_Bearcats" TargetMode="External"/><Relationship Id="rId211" Type="http://schemas.openxmlformats.org/officeDocument/2006/relationships/hyperlink" Target="https://en.wikipedia.org/wiki/Ohio" TargetMode="External"/><Relationship Id="rId210" Type="http://schemas.openxmlformats.org/officeDocument/2006/relationships/hyperlink" Target="https://en.wikipedia.org/wiki/Cincinnati" TargetMode="External"/><Relationship Id="rId249" Type="http://schemas.openxmlformats.org/officeDocument/2006/relationships/hyperlink" Target="https://en.wikipedia.org/wiki/Walkup_Skydome" TargetMode="External"/><Relationship Id="rId248" Type="http://schemas.openxmlformats.org/officeDocument/2006/relationships/hyperlink" Target="https://en.wikipedia.org/wiki/William_%26_Mary_Tribe" TargetMode="External"/><Relationship Id="rId247" Type="http://schemas.openxmlformats.org/officeDocument/2006/relationships/hyperlink" Target="https://en.wikipedia.org/wiki/Virginia" TargetMode="External"/><Relationship Id="rId242" Type="http://schemas.openxmlformats.org/officeDocument/2006/relationships/hyperlink" Target="https://en.wikipedia.org/wiki/Muncie,_Indiana" TargetMode="External"/><Relationship Id="rId241" Type="http://schemas.openxmlformats.org/officeDocument/2006/relationships/hyperlink" Target="https://en.wikipedia.org/wiki/Worthen_Arena" TargetMode="External"/><Relationship Id="rId240" Type="http://schemas.openxmlformats.org/officeDocument/2006/relationships/hyperlink" Target="https://en.wikipedia.org/wiki/Weber_State_Wildcats" TargetMode="External"/><Relationship Id="rId246" Type="http://schemas.openxmlformats.org/officeDocument/2006/relationships/hyperlink" Target="https://en.wikipedia.org/wiki/Williamsburg,_Virginia" TargetMode="External"/><Relationship Id="rId245" Type="http://schemas.openxmlformats.org/officeDocument/2006/relationships/hyperlink" Target="https://en.wikipedia.org/wiki/Kaplan_Arena" TargetMode="External"/><Relationship Id="rId244" Type="http://schemas.openxmlformats.org/officeDocument/2006/relationships/hyperlink" Target="https://en.wikipedia.org/wiki/Ball_State_Cardinals" TargetMode="External"/><Relationship Id="rId243" Type="http://schemas.openxmlformats.org/officeDocument/2006/relationships/hyperlink" Target="https://en.wikipedia.org/wiki/Indiana" TargetMode="External"/><Relationship Id="rId239" Type="http://schemas.openxmlformats.org/officeDocument/2006/relationships/hyperlink" Target="https://en.wikipedia.org/wiki/Utah" TargetMode="External"/><Relationship Id="rId238" Type="http://schemas.openxmlformats.org/officeDocument/2006/relationships/hyperlink" Target="https://en.wikipedia.org/wiki/Ogden,_Utah" TargetMode="External"/><Relationship Id="rId237" Type="http://schemas.openxmlformats.org/officeDocument/2006/relationships/hyperlink" Target="https://en.wikipedia.org/wiki/Dee_Events_Center" TargetMode="External"/><Relationship Id="rId236" Type="http://schemas.openxmlformats.org/officeDocument/2006/relationships/hyperlink" Target="https://en.wikipedia.org/wiki/Middle_Tennessee_Blue_Raiders" TargetMode="External"/><Relationship Id="rId231" Type="http://schemas.openxmlformats.org/officeDocument/2006/relationships/hyperlink" Target="https://en.wikipedia.org/wiki/Oklahoma" TargetMode="External"/><Relationship Id="rId230" Type="http://schemas.openxmlformats.org/officeDocument/2006/relationships/hyperlink" Target="https://en.wikipedia.org/wiki/Norman,_Oklahoma" TargetMode="External"/><Relationship Id="rId235" Type="http://schemas.openxmlformats.org/officeDocument/2006/relationships/hyperlink" Target="https://en.wikipedia.org/wiki/Tennessee" TargetMode="External"/><Relationship Id="rId234" Type="http://schemas.openxmlformats.org/officeDocument/2006/relationships/hyperlink" Target="https://en.wikipedia.org/wiki/Murfreesboro,_Tennessee" TargetMode="External"/><Relationship Id="rId233" Type="http://schemas.openxmlformats.org/officeDocument/2006/relationships/hyperlink" Target="https://en.wikipedia.org/wiki/Murphy_Center" TargetMode="External"/><Relationship Id="rId232" Type="http://schemas.openxmlformats.org/officeDocument/2006/relationships/hyperlink" Target="https://en.wikipedia.org/wiki/Oklahoma_Sooners" TargetMode="External"/><Relationship Id="rId206" Type="http://schemas.openxmlformats.org/officeDocument/2006/relationships/hyperlink" Target="https://en.wikipedia.org/wiki/El_Paso,_Texas" TargetMode="External"/><Relationship Id="rId205" Type="http://schemas.openxmlformats.org/officeDocument/2006/relationships/hyperlink" Target="https://en.wikipedia.org/wiki/Don_Haskins_Center" TargetMode="External"/><Relationship Id="rId204" Type="http://schemas.openxmlformats.org/officeDocument/2006/relationships/hyperlink" Target="https://en.wikipedia.org/wiki/Oregon_Ducks" TargetMode="External"/><Relationship Id="rId203" Type="http://schemas.openxmlformats.org/officeDocument/2006/relationships/hyperlink" Target="https://en.wikipedia.org/wiki/Oregon" TargetMode="External"/><Relationship Id="rId209" Type="http://schemas.openxmlformats.org/officeDocument/2006/relationships/hyperlink" Target="https://en.wikipedia.org/wiki/Fifth_Third_Arena" TargetMode="External"/><Relationship Id="rId208" Type="http://schemas.openxmlformats.org/officeDocument/2006/relationships/hyperlink" Target="https://en.wikipedia.org/wiki/UTEP_Miners" TargetMode="External"/><Relationship Id="rId207" Type="http://schemas.openxmlformats.org/officeDocument/2006/relationships/hyperlink" Target="https://en.wikipedia.org/wiki/Texas" TargetMode="External"/><Relationship Id="rId202" Type="http://schemas.openxmlformats.org/officeDocument/2006/relationships/hyperlink" Target="https://en.wikipedia.org/wiki/Eugene,_Oregon" TargetMode="External"/><Relationship Id="rId201" Type="http://schemas.openxmlformats.org/officeDocument/2006/relationships/hyperlink" Target="https://en.wikipedia.org/wiki/Matthew_Knight_Arena" TargetMode="External"/><Relationship Id="rId200" Type="http://schemas.openxmlformats.org/officeDocument/2006/relationships/hyperlink" Target="https://en.wikipedia.org/wiki/San_Diego_State_Aztecs" TargetMode="External"/><Relationship Id="rId190" Type="http://schemas.openxmlformats.org/officeDocument/2006/relationships/hyperlink" Target="https://en.wikipedia.org/wiki/Tallahassee,_Florida" TargetMode="External"/><Relationship Id="rId194" Type="http://schemas.openxmlformats.org/officeDocument/2006/relationships/hyperlink" Target="https://en.wikipedia.org/wiki/Las_Cruces,_New_Mexico" TargetMode="External"/><Relationship Id="rId193" Type="http://schemas.openxmlformats.org/officeDocument/2006/relationships/hyperlink" Target="https://en.wikipedia.org/wiki/Pan_American_Center" TargetMode="External"/><Relationship Id="rId192" Type="http://schemas.openxmlformats.org/officeDocument/2006/relationships/hyperlink" Target="https://en.wikipedia.org/wiki/Florida_State_Seminoles" TargetMode="External"/><Relationship Id="rId191" Type="http://schemas.openxmlformats.org/officeDocument/2006/relationships/hyperlink" Target="https://en.wikipedia.org/wiki/Florida" TargetMode="External"/><Relationship Id="rId187" Type="http://schemas.openxmlformats.org/officeDocument/2006/relationships/hyperlink" Target="https://en.wikipedia.org/wiki/Pennsylvania" TargetMode="External"/><Relationship Id="rId186" Type="http://schemas.openxmlformats.org/officeDocument/2006/relationships/hyperlink" Target="https://en.wikipedia.org/wiki/Pittsburgh" TargetMode="External"/><Relationship Id="rId185" Type="http://schemas.openxmlformats.org/officeDocument/2006/relationships/hyperlink" Target="https://en.wikipedia.org/wiki/Petersen_Events_Center" TargetMode="External"/><Relationship Id="rId184" Type="http://schemas.openxmlformats.org/officeDocument/2006/relationships/hyperlink" Target="https://en.wikipedia.org/wiki/Kansas_State_Wildcats" TargetMode="External"/><Relationship Id="rId189" Type="http://schemas.openxmlformats.org/officeDocument/2006/relationships/hyperlink" Target="https://en.wikipedia.org/wiki/Donald_L._Tucker_Civic_Center" TargetMode="External"/><Relationship Id="rId188" Type="http://schemas.openxmlformats.org/officeDocument/2006/relationships/hyperlink" Target="https://en.wikipedia.org/wiki/Pittsburgh_Panthers" TargetMode="External"/><Relationship Id="rId183" Type="http://schemas.openxmlformats.org/officeDocument/2006/relationships/hyperlink" Target="https://en.wikipedia.org/wiki/Kansas" TargetMode="External"/><Relationship Id="rId182" Type="http://schemas.openxmlformats.org/officeDocument/2006/relationships/hyperlink" Target="https://en.wikipedia.org/wiki/Manhattan,_Kansas" TargetMode="External"/><Relationship Id="rId181" Type="http://schemas.openxmlformats.org/officeDocument/2006/relationships/hyperlink" Target="https://en.wikipedia.org/wiki/Bramlage_Coliseum" TargetMode="External"/><Relationship Id="rId180" Type="http://schemas.openxmlformats.org/officeDocument/2006/relationships/hyperlink" Target="https://en.wikipedia.org/wiki/Michigan_Wolverines" TargetMode="External"/><Relationship Id="rId176" Type="http://schemas.openxmlformats.org/officeDocument/2006/relationships/hyperlink" Target="https://en.wikipedia.org/wiki/Texas_A%26M_Aggies" TargetMode="External"/><Relationship Id="rId175" Type="http://schemas.openxmlformats.org/officeDocument/2006/relationships/hyperlink" Target="https://en.wikipedia.org/wiki/Texas" TargetMode="External"/><Relationship Id="rId174" Type="http://schemas.openxmlformats.org/officeDocument/2006/relationships/hyperlink" Target="https://en.wikipedia.org/wiki/College_Station,_Texas" TargetMode="External"/><Relationship Id="rId173" Type="http://schemas.openxmlformats.org/officeDocument/2006/relationships/hyperlink" Target="https://en.wikipedia.org/wiki/Reed_Arena" TargetMode="External"/><Relationship Id="rId179" Type="http://schemas.openxmlformats.org/officeDocument/2006/relationships/hyperlink" Target="https://en.wikipedia.org/wiki/Michigan" TargetMode="External"/><Relationship Id="rId178" Type="http://schemas.openxmlformats.org/officeDocument/2006/relationships/hyperlink" Target="https://en.wikipedia.org/wiki/Ann_Arbor,_Michigan" TargetMode="External"/><Relationship Id="rId177" Type="http://schemas.openxmlformats.org/officeDocument/2006/relationships/hyperlink" Target="https://en.wikipedia.org/wiki/Crisler_Center" TargetMode="External"/><Relationship Id="rId198" Type="http://schemas.openxmlformats.org/officeDocument/2006/relationships/hyperlink" Target="https://en.wikipedia.org/wiki/San_Diego" TargetMode="External"/><Relationship Id="rId197" Type="http://schemas.openxmlformats.org/officeDocument/2006/relationships/hyperlink" Target="https://en.wikipedia.org/wiki/Viejas_Arena" TargetMode="External"/><Relationship Id="rId196" Type="http://schemas.openxmlformats.org/officeDocument/2006/relationships/hyperlink" Target="https://en.wikipedia.org/wiki/New_Mexico_State_Aggies" TargetMode="External"/><Relationship Id="rId195" Type="http://schemas.openxmlformats.org/officeDocument/2006/relationships/hyperlink" Target="https://en.wikipedia.org/wiki/New_Mexico" TargetMode="External"/><Relationship Id="rId199" Type="http://schemas.openxmlformats.org/officeDocument/2006/relationships/hyperlink" Target="https://en.wikipedia.org/wiki/California" TargetMode="External"/><Relationship Id="rId150" Type="http://schemas.openxmlformats.org/officeDocument/2006/relationships/hyperlink" Target="https://en.wikipedia.org/wiki/Lafayette,_Louisiana" TargetMode="External"/><Relationship Id="rId149" Type="http://schemas.openxmlformats.org/officeDocument/2006/relationships/hyperlink" Target="https://en.wikipedia.org/wiki/Cajundome" TargetMode="External"/><Relationship Id="rId148" Type="http://schemas.openxmlformats.org/officeDocument/2006/relationships/hyperlink" Target="https://en.wikipedia.org/wiki/Cleveland_State_Vikings" TargetMode="External"/><Relationship Id="rId143" Type="http://schemas.openxmlformats.org/officeDocument/2006/relationships/hyperlink" Target="https://en.wikipedia.org/wiki/Missouri" TargetMode="External"/><Relationship Id="rId142" Type="http://schemas.openxmlformats.org/officeDocument/2006/relationships/hyperlink" Target="https://en.wikipedia.org/wiki/Columbia,_Missouri" TargetMode="External"/><Relationship Id="rId141" Type="http://schemas.openxmlformats.org/officeDocument/2006/relationships/hyperlink" Target="https://en.wikipedia.org/wiki/Hearnes_Center" TargetMode="External"/><Relationship Id="rId140" Type="http://schemas.openxmlformats.org/officeDocument/2006/relationships/hyperlink" Target="https://en.wikipedia.org/wiki/Oklahoma_State_Cowboys_and_Cowgirls" TargetMode="External"/><Relationship Id="rId147" Type="http://schemas.openxmlformats.org/officeDocument/2006/relationships/hyperlink" Target="https://en.wikipedia.org/wiki/Ohio" TargetMode="External"/><Relationship Id="rId146" Type="http://schemas.openxmlformats.org/officeDocument/2006/relationships/hyperlink" Target="https://en.wikipedia.org/wiki/Cleveland" TargetMode="External"/><Relationship Id="rId145" Type="http://schemas.openxmlformats.org/officeDocument/2006/relationships/hyperlink" Target="https://en.wikipedia.org/wiki/Wolstein_Center" TargetMode="External"/><Relationship Id="rId144" Type="http://schemas.openxmlformats.org/officeDocument/2006/relationships/hyperlink" Target="https://en.wikipedia.org/wiki/Missouri_Tigers" TargetMode="External"/><Relationship Id="rId139" Type="http://schemas.openxmlformats.org/officeDocument/2006/relationships/hyperlink" Target="https://en.wikipedia.org/wiki/Oklahoma" TargetMode="External"/><Relationship Id="rId138" Type="http://schemas.openxmlformats.org/officeDocument/2006/relationships/hyperlink" Target="https://en.wikipedia.org/wiki/Stillwater,_Oklahoma" TargetMode="External"/><Relationship Id="rId137" Type="http://schemas.openxmlformats.org/officeDocument/2006/relationships/hyperlink" Target="https://en.wikipedia.org/wiki/Gallagher-Iba_Arena" TargetMode="External"/><Relationship Id="rId132" Type="http://schemas.openxmlformats.org/officeDocument/2006/relationships/hyperlink" Target="https://en.wikipedia.org/wiki/West_Virginia_Mountaineers" TargetMode="External"/><Relationship Id="rId131" Type="http://schemas.openxmlformats.org/officeDocument/2006/relationships/hyperlink" Target="https://en.wikipedia.org/wiki/West_Virginia" TargetMode="External"/><Relationship Id="rId130" Type="http://schemas.openxmlformats.org/officeDocument/2006/relationships/hyperlink" Target="https://en.wikipedia.org/wiki/Morgantown,_West_Virginia" TargetMode="External"/><Relationship Id="rId136" Type="http://schemas.openxmlformats.org/officeDocument/2006/relationships/hyperlink" Target="https://en.wikipedia.org/wiki/UCLA_Bruins" TargetMode="External"/><Relationship Id="rId135" Type="http://schemas.openxmlformats.org/officeDocument/2006/relationships/hyperlink" Target="https://en.wikipedia.org/wiki/California" TargetMode="External"/><Relationship Id="rId134" Type="http://schemas.openxmlformats.org/officeDocument/2006/relationships/hyperlink" Target="https://en.wikipedia.org/wiki/Los_Angeles" TargetMode="External"/><Relationship Id="rId133" Type="http://schemas.openxmlformats.org/officeDocument/2006/relationships/hyperlink" Target="https://en.wikipedia.org/wiki/Pauley_Pavilion" TargetMode="External"/><Relationship Id="rId172" Type="http://schemas.openxmlformats.org/officeDocument/2006/relationships/hyperlink" Target="https://en.wikipedia.org/wiki/Ohio_Bobcats" TargetMode="External"/><Relationship Id="rId171" Type="http://schemas.openxmlformats.org/officeDocument/2006/relationships/hyperlink" Target="https://en.wikipedia.org/wiki/Ohio" TargetMode="External"/><Relationship Id="rId170" Type="http://schemas.openxmlformats.org/officeDocument/2006/relationships/hyperlink" Target="https://en.wikipedia.org/wiki/Athens,_Ohio" TargetMode="External"/><Relationship Id="rId165" Type="http://schemas.openxmlformats.org/officeDocument/2006/relationships/hyperlink" Target="https://en.wikipedia.org/wiki/Fifth_Third_Arena" TargetMode="External"/><Relationship Id="rId164" Type="http://schemas.openxmlformats.org/officeDocument/2006/relationships/hyperlink" Target="https://en.wikipedia.org/wiki/LSU_Tigers" TargetMode="External"/><Relationship Id="rId163" Type="http://schemas.openxmlformats.org/officeDocument/2006/relationships/hyperlink" Target="https://en.wikipedia.org/wiki/Louisiana" TargetMode="External"/><Relationship Id="rId162" Type="http://schemas.openxmlformats.org/officeDocument/2006/relationships/hyperlink" Target="https://en.wikipedia.org/wiki/Baton_Rouge,_Louisiana" TargetMode="External"/><Relationship Id="rId169" Type="http://schemas.openxmlformats.org/officeDocument/2006/relationships/hyperlink" Target="https://en.wikipedia.org/wiki/Convocation_Center_(Ohio_University)" TargetMode="External"/><Relationship Id="rId168" Type="http://schemas.openxmlformats.org/officeDocument/2006/relationships/hyperlink" Target="https://en.wikipedia.org/wiki/Cincinnati_Bearcats" TargetMode="External"/><Relationship Id="rId167" Type="http://schemas.openxmlformats.org/officeDocument/2006/relationships/hyperlink" Target="https://en.wikipedia.org/wiki/Ohio" TargetMode="External"/><Relationship Id="rId166" Type="http://schemas.openxmlformats.org/officeDocument/2006/relationships/hyperlink" Target="https://en.wikipedia.org/wiki/Cincinnati" TargetMode="External"/><Relationship Id="rId161" Type="http://schemas.openxmlformats.org/officeDocument/2006/relationships/hyperlink" Target="https://en.wikipedia.org/wiki/Pete_Maravich_Assembly_Center" TargetMode="External"/><Relationship Id="rId160" Type="http://schemas.openxmlformats.org/officeDocument/2006/relationships/hyperlink" Target="https://en.wikipedia.org/wiki/Boise_State_Broncos" TargetMode="External"/><Relationship Id="rId159" Type="http://schemas.openxmlformats.org/officeDocument/2006/relationships/hyperlink" Target="https://en.wikipedia.org/wiki/Idaho" TargetMode="External"/><Relationship Id="rId154" Type="http://schemas.openxmlformats.org/officeDocument/2006/relationships/hyperlink" Target="https://en.wikipedia.org/wiki/Dayton,_Ohio" TargetMode="External"/><Relationship Id="rId153" Type="http://schemas.openxmlformats.org/officeDocument/2006/relationships/hyperlink" Target="https://en.wikipedia.org/wiki/UD_Arena" TargetMode="External"/><Relationship Id="rId152" Type="http://schemas.openxmlformats.org/officeDocument/2006/relationships/hyperlink" Target="https://en.wikipedia.org/wiki/Louisiana_Ragin%27_Cajuns" TargetMode="External"/><Relationship Id="rId151" Type="http://schemas.openxmlformats.org/officeDocument/2006/relationships/hyperlink" Target="https://en.wikipedia.org/wiki/Louisiana" TargetMode="External"/><Relationship Id="rId158" Type="http://schemas.openxmlformats.org/officeDocument/2006/relationships/hyperlink" Target="https://en.wikipedia.org/wiki/Boise,_Idaho" TargetMode="External"/><Relationship Id="rId157" Type="http://schemas.openxmlformats.org/officeDocument/2006/relationships/hyperlink" Target="https://en.wikipedia.org/wiki/ExtraMile_Arena" TargetMode="External"/><Relationship Id="rId156" Type="http://schemas.openxmlformats.org/officeDocument/2006/relationships/hyperlink" Target="https://en.wikipedia.org/wiki/Dayton_Flyers" TargetMode="External"/><Relationship Id="rId155" Type="http://schemas.openxmlformats.org/officeDocument/2006/relationships/hyperlink" Target="https://en.wikipedia.org/wiki/Ohio" TargetMode="External"/><Relationship Id="rId107" Type="http://schemas.openxmlformats.org/officeDocument/2006/relationships/hyperlink" Target="https://en.wikipedia.org/wiki/North_Carolina" TargetMode="External"/><Relationship Id="rId106" Type="http://schemas.openxmlformats.org/officeDocument/2006/relationships/hyperlink" Target="https://en.wikipedia.org/wiki/Winston-Salem,_North_Carolina" TargetMode="External"/><Relationship Id="rId105" Type="http://schemas.openxmlformats.org/officeDocument/2006/relationships/hyperlink" Target="https://en.wikipedia.org/wiki/Lawrence_Joel_Veterans_Memorial_Coliseum" TargetMode="External"/><Relationship Id="rId104" Type="http://schemas.openxmlformats.org/officeDocument/2006/relationships/hyperlink" Target="https://en.wikipedia.org/wiki/Michigan_State_Spartans" TargetMode="External"/><Relationship Id="rId109" Type="http://schemas.openxmlformats.org/officeDocument/2006/relationships/hyperlink" Target="https://en.wikipedia.org/wiki/McKale_Center" TargetMode="External"/><Relationship Id="rId108" Type="http://schemas.openxmlformats.org/officeDocument/2006/relationships/hyperlink" Target="https://en.wikipedia.org/wiki/Wake_Forest_Demon_Deacons" TargetMode="External"/><Relationship Id="rId103" Type="http://schemas.openxmlformats.org/officeDocument/2006/relationships/hyperlink" Target="https://en.wikipedia.org/wiki/Michigan" TargetMode="External"/><Relationship Id="rId102" Type="http://schemas.openxmlformats.org/officeDocument/2006/relationships/hyperlink" Target="https://en.wikipedia.org/wiki/East_Lansing,_Michigan" TargetMode="External"/><Relationship Id="rId101" Type="http://schemas.openxmlformats.org/officeDocument/2006/relationships/hyperlink" Target="https://en.wikipedia.org/wiki/Breslin_Student_Events_Center" TargetMode="External"/><Relationship Id="rId100" Type="http://schemas.openxmlformats.org/officeDocument/2006/relationships/hyperlink" Target="https://en.wikipedia.org/wiki/Purdue_Boilermakers" TargetMode="External"/><Relationship Id="rId129" Type="http://schemas.openxmlformats.org/officeDocument/2006/relationships/hyperlink" Target="https://en.wikipedia.org/wiki/WVU_Coliseum" TargetMode="External"/><Relationship Id="rId128" Type="http://schemas.openxmlformats.org/officeDocument/2006/relationships/hyperlink" Target="https://en.wikipedia.org/wiki/Vanderbilt_Commodores" TargetMode="External"/><Relationship Id="rId127" Type="http://schemas.openxmlformats.org/officeDocument/2006/relationships/hyperlink" Target="https://en.wikipedia.org/wiki/Tennessee" TargetMode="External"/><Relationship Id="rId126" Type="http://schemas.openxmlformats.org/officeDocument/2006/relationships/hyperlink" Target="https://en.wikipedia.org/wiki/Nashville,_Tennessee" TargetMode="External"/><Relationship Id="rId121" Type="http://schemas.openxmlformats.org/officeDocument/2006/relationships/hyperlink" Target="https://en.wikipedia.org/wiki/Hilton_Coliseum" TargetMode="External"/><Relationship Id="rId120" Type="http://schemas.openxmlformats.org/officeDocument/2006/relationships/hyperlink" Target="https://en.wikipedia.org/wiki/Virginia_Cavaliers" TargetMode="External"/><Relationship Id="rId125" Type="http://schemas.openxmlformats.org/officeDocument/2006/relationships/hyperlink" Target="https://en.wikipedia.org/wiki/Memorial_Gymnasium_(Vanderbilt_University)" TargetMode="External"/><Relationship Id="rId124" Type="http://schemas.openxmlformats.org/officeDocument/2006/relationships/hyperlink" Target="https://en.wikipedia.org/wiki/Iowa_State_Cyclones" TargetMode="External"/><Relationship Id="rId123" Type="http://schemas.openxmlformats.org/officeDocument/2006/relationships/hyperlink" Target="https://en.wikipedia.org/wiki/Iowa" TargetMode="External"/><Relationship Id="rId122" Type="http://schemas.openxmlformats.org/officeDocument/2006/relationships/hyperlink" Target="https://en.wikipedia.org/wiki/Ames,_Iowa" TargetMode="External"/><Relationship Id="rId118" Type="http://schemas.openxmlformats.org/officeDocument/2006/relationships/hyperlink" Target="https://en.wikipedia.org/wiki/Charlottesville,_Virginia" TargetMode="External"/><Relationship Id="rId117" Type="http://schemas.openxmlformats.org/officeDocument/2006/relationships/hyperlink" Target="https://en.wikipedia.org/wiki/John_Paul_Jones_Arena" TargetMode="External"/><Relationship Id="rId116" Type="http://schemas.openxmlformats.org/officeDocument/2006/relationships/hyperlink" Target="https://en.wikipedia.org/wiki/Minnesota_Golden_Gophers" TargetMode="External"/><Relationship Id="rId115" Type="http://schemas.openxmlformats.org/officeDocument/2006/relationships/hyperlink" Target="https://en.wikipedia.org/wiki/Minnesota" TargetMode="External"/><Relationship Id="rId119" Type="http://schemas.openxmlformats.org/officeDocument/2006/relationships/hyperlink" Target="https://en.wikipedia.org/wiki/Virginia" TargetMode="External"/><Relationship Id="rId110" Type="http://schemas.openxmlformats.org/officeDocument/2006/relationships/hyperlink" Target="https://en.wikipedia.org/wiki/Tucson,_Arizona" TargetMode="External"/><Relationship Id="rId114" Type="http://schemas.openxmlformats.org/officeDocument/2006/relationships/hyperlink" Target="https://en.wikipedia.org/wiki/Minneapolis" TargetMode="External"/><Relationship Id="rId113" Type="http://schemas.openxmlformats.org/officeDocument/2006/relationships/hyperlink" Target="https://en.wikipedia.org/wiki/Williams_Arena" TargetMode="External"/><Relationship Id="rId112" Type="http://schemas.openxmlformats.org/officeDocument/2006/relationships/hyperlink" Target="https://en.wikipedia.org/wiki/Arizona_Wildcats" TargetMode="External"/><Relationship Id="rId111" Type="http://schemas.openxmlformats.org/officeDocument/2006/relationships/hyperlink" Target="https://en.wikipedia.org/wiki/Arizona" TargetMode="External"/></Relationships>
</file>

<file path=xl/worksheets/_rels/sheet5.xml.rels><?xml version="1.0" encoding="UTF-8" standalone="yes"?><Relationships xmlns="http://schemas.openxmlformats.org/package/2006/relationships"><Relationship Id="rId392" Type="http://schemas.openxmlformats.org/officeDocument/2006/relationships/hyperlink" Target="https://en.wikipedia.org/wiki/Evanston,_Illinois" TargetMode="External"/><Relationship Id="rId391" Type="http://schemas.openxmlformats.org/officeDocument/2006/relationships/hyperlink" Target="https://en.wikipedia.org/wiki/Welsh%E2%80%93Ryan_Arena" TargetMode="External"/><Relationship Id="rId390" Type="http://schemas.openxmlformats.org/officeDocument/2006/relationships/hyperlink" Target="https://en.wikipedia.org/wiki/File:2016_Illinois-Northwestern_game_IMG_0347.jpg" TargetMode="External"/><Relationship Id="rId1" Type="http://schemas.openxmlformats.org/officeDocument/2006/relationships/hyperlink" Target="https://en.wikipedia.org/wiki/List_of_indoor_arenas_in_the_United_States" TargetMode="External"/><Relationship Id="rId2" Type="http://schemas.openxmlformats.org/officeDocument/2006/relationships/hyperlink" Target="https://en.wikipedia.org/wiki/File:FAMU_Lawson_Multipurpose_Center.jpg" TargetMode="External"/><Relationship Id="rId3" Type="http://schemas.openxmlformats.org/officeDocument/2006/relationships/hyperlink" Target="https://en.wikipedia.org/wiki/Al_Lawson_Center" TargetMode="External"/><Relationship Id="rId4" Type="http://schemas.openxmlformats.org/officeDocument/2006/relationships/hyperlink" Target="https://en.wikipedia.org/wiki/Tallahassee,_Florida" TargetMode="External"/><Relationship Id="rId9" Type="http://schemas.openxmlformats.org/officeDocument/2006/relationships/hyperlink" Target="https://en.wikipedia.org/wiki/Gill_Coliseum" TargetMode="External"/><Relationship Id="rId385" Type="http://schemas.openxmlformats.org/officeDocument/2006/relationships/hyperlink" Target="https://en.wikipedia.org/wiki/Fant%E2%80%93Ewing_Coliseum" TargetMode="External"/><Relationship Id="rId384" Type="http://schemas.openxmlformats.org/officeDocument/2006/relationships/hyperlink" Target="https://en.wikipedia.org/wiki/File:Fant-Ewing_Coliseum,_Monroe,_LA_IMG_2784.JPG" TargetMode="External"/><Relationship Id="rId383" Type="http://schemas.openxmlformats.org/officeDocument/2006/relationships/hyperlink" Target="https://en.wikipedia.org/wiki/American_Athletic_Conference" TargetMode="External"/><Relationship Id="rId382" Type="http://schemas.openxmlformats.org/officeDocument/2006/relationships/hyperlink" Target="https://en.wikipedia.org/wiki/Houston_Cougars" TargetMode="External"/><Relationship Id="rId5" Type="http://schemas.openxmlformats.org/officeDocument/2006/relationships/hyperlink" Target="https://en.wikipedia.org/wiki/Florida" TargetMode="External"/><Relationship Id="rId389" Type="http://schemas.openxmlformats.org/officeDocument/2006/relationships/hyperlink" Target="https://en.wikipedia.org/wiki/Sun_Belt_Conference" TargetMode="External"/><Relationship Id="rId6" Type="http://schemas.openxmlformats.org/officeDocument/2006/relationships/hyperlink" Target="https://en.wikipedia.org/wiki/Florida_A%26M_Rattlers_and_Lady_Rattlers" TargetMode="External"/><Relationship Id="rId388" Type="http://schemas.openxmlformats.org/officeDocument/2006/relationships/hyperlink" Target="https://en.wikipedia.org/wiki/Louisiana%E2%80%93Monroe_Warhawks" TargetMode="External"/><Relationship Id="rId7" Type="http://schemas.openxmlformats.org/officeDocument/2006/relationships/hyperlink" Target="https://en.wikipedia.org/wiki/Southwestern_Athletic_Conference" TargetMode="External"/><Relationship Id="rId387" Type="http://schemas.openxmlformats.org/officeDocument/2006/relationships/hyperlink" Target="https://en.wikipedia.org/wiki/Louisiana" TargetMode="External"/><Relationship Id="rId8" Type="http://schemas.openxmlformats.org/officeDocument/2006/relationships/hyperlink" Target="https://en.wikipedia.org/wiki/File:Gill_Coliseum_entrance.JPG" TargetMode="External"/><Relationship Id="rId386" Type="http://schemas.openxmlformats.org/officeDocument/2006/relationships/hyperlink" Target="https://en.wikipedia.org/wiki/Monroe,_Louisiana" TargetMode="External"/><Relationship Id="rId381" Type="http://schemas.openxmlformats.org/officeDocument/2006/relationships/hyperlink" Target="https://en.wikipedia.org/wiki/Texas" TargetMode="External"/><Relationship Id="rId380" Type="http://schemas.openxmlformats.org/officeDocument/2006/relationships/hyperlink" Target="https://en.wikipedia.org/wiki/Houston" TargetMode="External"/><Relationship Id="rId379" Type="http://schemas.openxmlformats.org/officeDocument/2006/relationships/hyperlink" Target="https://en.wikipedia.org/wiki/Fertitta_Center" TargetMode="External"/><Relationship Id="rId374" Type="http://schemas.openxmlformats.org/officeDocument/2006/relationships/hyperlink" Target="https://en.wikipedia.org/wiki/Hampton,_Virginia" TargetMode="External"/><Relationship Id="rId373" Type="http://schemas.openxmlformats.org/officeDocument/2006/relationships/hyperlink" Target="https://en.wikipedia.org/wiki/Hampton_Convocation_Center" TargetMode="External"/><Relationship Id="rId372" Type="http://schemas.openxmlformats.org/officeDocument/2006/relationships/hyperlink" Target="https://en.wikipedia.org/wiki/File:HamptonConvocatonCenter.JPG" TargetMode="External"/><Relationship Id="rId371" Type="http://schemas.openxmlformats.org/officeDocument/2006/relationships/hyperlink" Target="https://en.wikipedia.org/wiki/Summit_League" TargetMode="External"/><Relationship Id="rId378" Type="http://schemas.openxmlformats.org/officeDocument/2006/relationships/hyperlink" Target="https://en.wikipedia.org/wiki/File:Fertitta_Center_Exterior_-_December_2018.jpg" TargetMode="External"/><Relationship Id="rId377" Type="http://schemas.openxmlformats.org/officeDocument/2006/relationships/hyperlink" Target="https://en.wikipedia.org/wiki/Colonial_Athletic_Association" TargetMode="External"/><Relationship Id="rId376" Type="http://schemas.openxmlformats.org/officeDocument/2006/relationships/hyperlink" Target="https://en.wikipedia.org/wiki/Hampton_Pirates" TargetMode="External"/><Relationship Id="rId375" Type="http://schemas.openxmlformats.org/officeDocument/2006/relationships/hyperlink" Target="https://en.wikipedia.org/wiki/Virginia" TargetMode="External"/><Relationship Id="rId396" Type="http://schemas.openxmlformats.org/officeDocument/2006/relationships/hyperlink" Target="https://en.wikipedia.org/wiki/File:McLeod_Center_2.JPG" TargetMode="External"/><Relationship Id="rId395" Type="http://schemas.openxmlformats.org/officeDocument/2006/relationships/hyperlink" Target="https://en.wikipedia.org/wiki/Big_Ten_Conference" TargetMode="External"/><Relationship Id="rId394" Type="http://schemas.openxmlformats.org/officeDocument/2006/relationships/hyperlink" Target="https://en.wikipedia.org/wiki/Northwestern_Wildcats" TargetMode="External"/><Relationship Id="rId393" Type="http://schemas.openxmlformats.org/officeDocument/2006/relationships/hyperlink" Target="https://en.wikipedia.org/wiki/Illinois" TargetMode="External"/><Relationship Id="rId399" Type="http://schemas.openxmlformats.org/officeDocument/2006/relationships/hyperlink" Target="https://en.wikipedia.org/wiki/Iowa" TargetMode="External"/><Relationship Id="rId398" Type="http://schemas.openxmlformats.org/officeDocument/2006/relationships/hyperlink" Target="https://en.wikipedia.org/wiki/Cedar_Falls,_Iowa" TargetMode="External"/><Relationship Id="rId397" Type="http://schemas.openxmlformats.org/officeDocument/2006/relationships/hyperlink" Target="https://en.wikipedia.org/wiki/McLeod_Center" TargetMode="External"/><Relationship Id="rId808" Type="http://schemas.openxmlformats.org/officeDocument/2006/relationships/hyperlink" Target="https://en.wikipedia.org/wiki/Charleston,_South_Carolina" TargetMode="External"/><Relationship Id="rId807" Type="http://schemas.openxmlformats.org/officeDocument/2006/relationships/hyperlink" Target="https://en.wikipedia.org/wiki/TD_Arena" TargetMode="External"/><Relationship Id="rId806" Type="http://schemas.openxmlformats.org/officeDocument/2006/relationships/hyperlink" Target="https://en.wikipedia.org/wiki/West_Coast_Conference" TargetMode="External"/><Relationship Id="rId805" Type="http://schemas.openxmlformats.org/officeDocument/2006/relationships/hyperlink" Target="https://en.wikipedia.org/wiki/San_Diego_Toreros" TargetMode="External"/><Relationship Id="rId809" Type="http://schemas.openxmlformats.org/officeDocument/2006/relationships/hyperlink" Target="https://en.wikipedia.org/wiki/South_Carolina" TargetMode="External"/><Relationship Id="rId800" Type="http://schemas.openxmlformats.org/officeDocument/2006/relationships/hyperlink" Target="https://en.wikipedia.org/wiki/Hockey_East" TargetMode="External"/><Relationship Id="rId804" Type="http://schemas.openxmlformats.org/officeDocument/2006/relationships/hyperlink" Target="https://en.wikipedia.org/wiki/California" TargetMode="External"/><Relationship Id="rId803" Type="http://schemas.openxmlformats.org/officeDocument/2006/relationships/hyperlink" Target="https://en.wikipedia.org/wiki/San_Diego" TargetMode="External"/><Relationship Id="rId802" Type="http://schemas.openxmlformats.org/officeDocument/2006/relationships/hyperlink" Target="https://en.wikipedia.org/wiki/Jenny_Craig_Pavilion" TargetMode="External"/><Relationship Id="rId801" Type="http://schemas.openxmlformats.org/officeDocument/2006/relationships/hyperlink" Target="https://en.wikipedia.org/wiki/File:Jenny_Craig_Pavilion1.jpg" TargetMode="External"/><Relationship Id="rId40" Type="http://schemas.openxmlformats.org/officeDocument/2006/relationships/hyperlink" Target="https://en.wikipedia.org/wiki/Durham,_North_Carolina" TargetMode="External"/><Relationship Id="rId42" Type="http://schemas.openxmlformats.org/officeDocument/2006/relationships/hyperlink" Target="https://en.wikipedia.org/wiki/Duke_Blue_Devils" TargetMode="External"/><Relationship Id="rId41" Type="http://schemas.openxmlformats.org/officeDocument/2006/relationships/hyperlink" Target="https://en.wikipedia.org/wiki/North_Carolina" TargetMode="External"/><Relationship Id="rId44" Type="http://schemas.openxmlformats.org/officeDocument/2006/relationships/hyperlink" Target="https://en.wikipedia.org/wiki/File:Tennessee-technological-university-he.jpg" TargetMode="External"/><Relationship Id="rId43" Type="http://schemas.openxmlformats.org/officeDocument/2006/relationships/hyperlink" Target="https://en.wikipedia.org/wiki/Atlantic_Coast_Conference" TargetMode="External"/><Relationship Id="rId46" Type="http://schemas.openxmlformats.org/officeDocument/2006/relationships/hyperlink" Target="https://en.wikipedia.org/wiki/Cookeville,_Tennessee" TargetMode="External"/><Relationship Id="rId45" Type="http://schemas.openxmlformats.org/officeDocument/2006/relationships/hyperlink" Target="https://en.wikipedia.org/wiki/Eblen_Center" TargetMode="External"/><Relationship Id="rId745" Type="http://schemas.openxmlformats.org/officeDocument/2006/relationships/hyperlink" Target="https://en.wikipedia.org/wiki/Utah" TargetMode="External"/><Relationship Id="rId744" Type="http://schemas.openxmlformats.org/officeDocument/2006/relationships/hyperlink" Target="https://en.wikipedia.org/wiki/Cedar_City,_Utah" TargetMode="External"/><Relationship Id="rId743" Type="http://schemas.openxmlformats.org/officeDocument/2006/relationships/hyperlink" Target="https://en.wikipedia.org/wiki/America_First_Event_Center" TargetMode="External"/><Relationship Id="rId742" Type="http://schemas.openxmlformats.org/officeDocument/2006/relationships/hyperlink" Target="https://en.wikipedia.org/wiki/File:America_First_Event_Center1.jpg" TargetMode="External"/><Relationship Id="rId749" Type="http://schemas.openxmlformats.org/officeDocument/2006/relationships/hyperlink" Target="https://en.wikipedia.org/wiki/Charleston,_Illinois" TargetMode="External"/><Relationship Id="rId748" Type="http://schemas.openxmlformats.org/officeDocument/2006/relationships/hyperlink" Target="https://en.wikipedia.org/wiki/Lantz_Arena" TargetMode="External"/><Relationship Id="rId747" Type="http://schemas.openxmlformats.org/officeDocument/2006/relationships/hyperlink" Target="https://en.wikipedia.org/wiki/Western_Athletic_Conference" TargetMode="External"/><Relationship Id="rId746" Type="http://schemas.openxmlformats.org/officeDocument/2006/relationships/hyperlink" Target="https://en.wikipedia.org/wiki/Southern_Utah_Thunderbirds" TargetMode="External"/><Relationship Id="rId48" Type="http://schemas.openxmlformats.org/officeDocument/2006/relationships/hyperlink" Target="https://en.wikipedia.org/wiki/Tennessee_Tech_Golden_Eagles" TargetMode="External"/><Relationship Id="rId47" Type="http://schemas.openxmlformats.org/officeDocument/2006/relationships/hyperlink" Target="https://en.wikipedia.org/wiki/Tennessee" TargetMode="External"/><Relationship Id="rId49" Type="http://schemas.openxmlformats.org/officeDocument/2006/relationships/hyperlink" Target="https://en.wikipedia.org/wiki/Ohio_Valley_Conference" TargetMode="External"/><Relationship Id="rId741" Type="http://schemas.openxmlformats.org/officeDocument/2006/relationships/hyperlink" Target="https://en.wikipedia.org/wiki/Mid-American_Conference" TargetMode="External"/><Relationship Id="rId740" Type="http://schemas.openxmlformats.org/officeDocument/2006/relationships/hyperlink" Target="https://en.wikipedia.org/wiki/Central_Michigan_Chippewas" TargetMode="External"/><Relationship Id="rId31" Type="http://schemas.openxmlformats.org/officeDocument/2006/relationships/hyperlink" Target="https://en.wikipedia.org/wiki/American_Athletic_Conference" TargetMode="External"/><Relationship Id="rId30" Type="http://schemas.openxmlformats.org/officeDocument/2006/relationships/hyperlink" Target="https://en.wikipedia.org/wiki/UCF_Knights" TargetMode="External"/><Relationship Id="rId33" Type="http://schemas.openxmlformats.org/officeDocument/2006/relationships/hyperlink" Target="https://en.wikipedia.org/wiki/Truist_Arena" TargetMode="External"/><Relationship Id="rId32" Type="http://schemas.openxmlformats.org/officeDocument/2006/relationships/hyperlink" Target="https://en.wikipedia.org/wiki/File:Northern_Kentucky_University_arena.jpg" TargetMode="External"/><Relationship Id="rId35" Type="http://schemas.openxmlformats.org/officeDocument/2006/relationships/hyperlink" Target="https://en.wikipedia.org/wiki/Kentucky" TargetMode="External"/><Relationship Id="rId34" Type="http://schemas.openxmlformats.org/officeDocument/2006/relationships/hyperlink" Target="https://en.wikipedia.org/wiki/Highland_Heights,_Kentucky" TargetMode="External"/><Relationship Id="rId739" Type="http://schemas.openxmlformats.org/officeDocument/2006/relationships/hyperlink" Target="https://en.wikipedia.org/wiki/Michigan" TargetMode="External"/><Relationship Id="rId734" Type="http://schemas.openxmlformats.org/officeDocument/2006/relationships/hyperlink" Target="https://en.wikipedia.org/wiki/Georgia_(U.S._state)" TargetMode="External"/><Relationship Id="rId733" Type="http://schemas.openxmlformats.org/officeDocument/2006/relationships/hyperlink" Target="https://en.wikipedia.org/wiki/Valdosta,_Georgia" TargetMode="External"/><Relationship Id="rId732" Type="http://schemas.openxmlformats.org/officeDocument/2006/relationships/hyperlink" Target="https://en.wikipedia.org/wiki/The_Complex_(Valdosta,_Georgia)" TargetMode="External"/><Relationship Id="rId731" Type="http://schemas.openxmlformats.org/officeDocument/2006/relationships/hyperlink" Target="https://en.wikipedia.org/wiki/File:VSUComplex.JPG" TargetMode="External"/><Relationship Id="rId738" Type="http://schemas.openxmlformats.org/officeDocument/2006/relationships/hyperlink" Target="https://en.wikipedia.org/wiki/Mount_Pleasant,_Michigan" TargetMode="External"/><Relationship Id="rId737" Type="http://schemas.openxmlformats.org/officeDocument/2006/relationships/hyperlink" Target="https://en.wikipedia.org/wiki/McGuirk_Arena" TargetMode="External"/><Relationship Id="rId736" Type="http://schemas.openxmlformats.org/officeDocument/2006/relationships/hyperlink" Target="https://en.wikipedia.org/wiki/Gulf_South_Conference" TargetMode="External"/><Relationship Id="rId735" Type="http://schemas.openxmlformats.org/officeDocument/2006/relationships/hyperlink" Target="https://en.wikipedia.org/wiki/Valdosta_State_Blazers" TargetMode="External"/><Relationship Id="rId37" Type="http://schemas.openxmlformats.org/officeDocument/2006/relationships/hyperlink" Target="https://en.wikipedia.org/wiki/Horizon_League" TargetMode="External"/><Relationship Id="rId36" Type="http://schemas.openxmlformats.org/officeDocument/2006/relationships/hyperlink" Target="https://en.wikipedia.org/wiki/Northern_Kentucky_Norse" TargetMode="External"/><Relationship Id="rId39" Type="http://schemas.openxmlformats.org/officeDocument/2006/relationships/hyperlink" Target="https://en.wikipedia.org/wiki/Cameron_Indoor_Stadium" TargetMode="External"/><Relationship Id="rId38" Type="http://schemas.openxmlformats.org/officeDocument/2006/relationships/hyperlink" Target="https://en.wikipedia.org/wiki/File:Cameron_indoor.jpg" TargetMode="External"/><Relationship Id="rId730" Type="http://schemas.openxmlformats.org/officeDocument/2006/relationships/hyperlink" Target="https://en.wikipedia.org/wiki/Mid-American_Conference" TargetMode="External"/><Relationship Id="rId20" Type="http://schemas.openxmlformats.org/officeDocument/2006/relationships/hyperlink" Target="https://en.wikipedia.org/wiki/File:William_D._Mullins_Center.jpg" TargetMode="External"/><Relationship Id="rId22" Type="http://schemas.openxmlformats.org/officeDocument/2006/relationships/hyperlink" Target="https://en.wikipedia.org/wiki/Amherst,_Massachusetts" TargetMode="External"/><Relationship Id="rId21" Type="http://schemas.openxmlformats.org/officeDocument/2006/relationships/hyperlink" Target="https://en.wikipedia.org/wiki/Mullins_Center" TargetMode="External"/><Relationship Id="rId24" Type="http://schemas.openxmlformats.org/officeDocument/2006/relationships/hyperlink" Target="https://en.wikipedia.org/wiki/UMass_Minutemen" TargetMode="External"/><Relationship Id="rId23" Type="http://schemas.openxmlformats.org/officeDocument/2006/relationships/hyperlink" Target="https://en.wikipedia.org/wiki/Massachusetts" TargetMode="External"/><Relationship Id="rId767" Type="http://schemas.openxmlformats.org/officeDocument/2006/relationships/hyperlink" Target="https://en.wikipedia.org/wiki/Colonial_Athletic_Association" TargetMode="External"/><Relationship Id="rId766" Type="http://schemas.openxmlformats.org/officeDocument/2006/relationships/hyperlink" Target="https://en.wikipedia.org/wiki/Towson_Tigers" TargetMode="External"/><Relationship Id="rId765" Type="http://schemas.openxmlformats.org/officeDocument/2006/relationships/hyperlink" Target="https://en.wikipedia.org/wiki/Maryland" TargetMode="External"/><Relationship Id="rId764" Type="http://schemas.openxmlformats.org/officeDocument/2006/relationships/hyperlink" Target="https://en.wikipedia.org/wiki/Towson,_Maryland" TargetMode="External"/><Relationship Id="rId769" Type="http://schemas.openxmlformats.org/officeDocument/2006/relationships/hyperlink" Target="https://en.wikipedia.org/wiki/Trojan_Arena" TargetMode="External"/><Relationship Id="rId768" Type="http://schemas.openxmlformats.org/officeDocument/2006/relationships/hyperlink" Target="https://en.wikipedia.org/wiki/File:Trojan_Arena_3.jpg" TargetMode="External"/><Relationship Id="rId26" Type="http://schemas.openxmlformats.org/officeDocument/2006/relationships/hyperlink" Target="https://en.wikipedia.org/wiki/File:UCF_Arena.jpg" TargetMode="External"/><Relationship Id="rId25" Type="http://schemas.openxmlformats.org/officeDocument/2006/relationships/hyperlink" Target="https://en.wikipedia.org/wiki/Atlantic_10_Conference" TargetMode="External"/><Relationship Id="rId28" Type="http://schemas.openxmlformats.org/officeDocument/2006/relationships/hyperlink" Target="https://en.wikipedia.org/wiki/Orlando,_Florida" TargetMode="External"/><Relationship Id="rId27" Type="http://schemas.openxmlformats.org/officeDocument/2006/relationships/hyperlink" Target="https://en.wikipedia.org/wiki/Addition_Financial_Arena" TargetMode="External"/><Relationship Id="rId763" Type="http://schemas.openxmlformats.org/officeDocument/2006/relationships/hyperlink" Target="https://en.wikipedia.org/wiki/SECU_Arena" TargetMode="External"/><Relationship Id="rId29" Type="http://schemas.openxmlformats.org/officeDocument/2006/relationships/hyperlink" Target="https://en.wikipedia.org/wiki/Florida" TargetMode="External"/><Relationship Id="rId762" Type="http://schemas.openxmlformats.org/officeDocument/2006/relationships/hyperlink" Target="https://en.wikipedia.org/wiki/Atlantic_10_Conference" TargetMode="External"/><Relationship Id="rId761" Type="http://schemas.openxmlformats.org/officeDocument/2006/relationships/hyperlink" Target="https://en.wikipedia.org/wiki/Davidson_Wildcats" TargetMode="External"/><Relationship Id="rId760" Type="http://schemas.openxmlformats.org/officeDocument/2006/relationships/hyperlink" Target="https://en.wikipedia.org/wiki/North_Carolina" TargetMode="External"/><Relationship Id="rId11" Type="http://schemas.openxmlformats.org/officeDocument/2006/relationships/hyperlink" Target="https://en.wikipedia.org/wiki/Oregon" TargetMode="External"/><Relationship Id="rId10" Type="http://schemas.openxmlformats.org/officeDocument/2006/relationships/hyperlink" Target="https://en.wikipedia.org/wiki/Corvallis,_Oregon" TargetMode="External"/><Relationship Id="rId13" Type="http://schemas.openxmlformats.org/officeDocument/2006/relationships/hyperlink" Target="https://en.wikipedia.org/wiki/Pac-12_Conference" TargetMode="External"/><Relationship Id="rId12" Type="http://schemas.openxmlformats.org/officeDocument/2006/relationships/hyperlink" Target="https://en.wikipedia.org/wiki/Oregon_State_Beavers" TargetMode="External"/><Relationship Id="rId756" Type="http://schemas.openxmlformats.org/officeDocument/2006/relationships/hyperlink" Target="https://en.wikipedia.org/wiki/San_Francisco_Dons" TargetMode="External"/><Relationship Id="rId755" Type="http://schemas.openxmlformats.org/officeDocument/2006/relationships/hyperlink" Target="https://en.wikipedia.org/wiki/California" TargetMode="External"/><Relationship Id="rId754" Type="http://schemas.openxmlformats.org/officeDocument/2006/relationships/hyperlink" Target="https://en.wikipedia.org/wiki/San_Francisco" TargetMode="External"/><Relationship Id="rId753" Type="http://schemas.openxmlformats.org/officeDocument/2006/relationships/hyperlink" Target="https://en.wikipedia.org/wiki/The_Sobrato_Center" TargetMode="External"/><Relationship Id="rId759" Type="http://schemas.openxmlformats.org/officeDocument/2006/relationships/hyperlink" Target="https://en.wikipedia.org/wiki/Davidson,_North_Carolina" TargetMode="External"/><Relationship Id="rId758" Type="http://schemas.openxmlformats.org/officeDocument/2006/relationships/hyperlink" Target="https://en.wikipedia.org/wiki/John_M._Belk_Arena" TargetMode="External"/><Relationship Id="rId757" Type="http://schemas.openxmlformats.org/officeDocument/2006/relationships/hyperlink" Target="https://en.wikipedia.org/wiki/West_Coast_Conference" TargetMode="External"/><Relationship Id="rId15" Type="http://schemas.openxmlformats.org/officeDocument/2006/relationships/hyperlink" Target="https://en.wikipedia.org/wiki/The_Sandy_and_John_Black_Pavilion_at_Ole_Miss" TargetMode="External"/><Relationship Id="rId14" Type="http://schemas.openxmlformats.org/officeDocument/2006/relationships/hyperlink" Target="https://en.wikipedia.org/wiki/File:ThePavilionAtOleMissNight1.PNG" TargetMode="External"/><Relationship Id="rId17" Type="http://schemas.openxmlformats.org/officeDocument/2006/relationships/hyperlink" Target="https://en.wikipedia.org/wiki/Mississippi" TargetMode="External"/><Relationship Id="rId16" Type="http://schemas.openxmlformats.org/officeDocument/2006/relationships/hyperlink" Target="https://en.wikipedia.org/wiki/Oxford,_Mississippi" TargetMode="External"/><Relationship Id="rId19" Type="http://schemas.openxmlformats.org/officeDocument/2006/relationships/hyperlink" Target="https://en.wikipedia.org/wiki/Southeastern_Conference" TargetMode="External"/><Relationship Id="rId752" Type="http://schemas.openxmlformats.org/officeDocument/2006/relationships/hyperlink" Target="https://en.wikipedia.org/wiki/Ohio_Valley_Conference" TargetMode="External"/><Relationship Id="rId18" Type="http://schemas.openxmlformats.org/officeDocument/2006/relationships/hyperlink" Target="https://en.wikipedia.org/wiki/Ole_Miss_Rebels" TargetMode="External"/><Relationship Id="rId751" Type="http://schemas.openxmlformats.org/officeDocument/2006/relationships/hyperlink" Target="https://en.wikipedia.org/wiki/Eastern_Illinois_Panthers" TargetMode="External"/><Relationship Id="rId750" Type="http://schemas.openxmlformats.org/officeDocument/2006/relationships/hyperlink" Target="https://en.wikipedia.org/wiki/Illinois" TargetMode="External"/><Relationship Id="rId84" Type="http://schemas.openxmlformats.org/officeDocument/2006/relationships/hyperlink" Target="https://en.wikipedia.org/wiki/Clemson_Tigers" TargetMode="External"/><Relationship Id="rId83" Type="http://schemas.openxmlformats.org/officeDocument/2006/relationships/hyperlink" Target="https://en.wikipedia.org/wiki/South_Carolina" TargetMode="External"/><Relationship Id="rId86" Type="http://schemas.openxmlformats.org/officeDocument/2006/relationships/hyperlink" Target="https://en.wikipedia.org/wiki/File:UNO_Lakefront_Arena.jpg" TargetMode="External"/><Relationship Id="rId85" Type="http://schemas.openxmlformats.org/officeDocument/2006/relationships/hyperlink" Target="https://en.wikipedia.org/wiki/Atlantic_Coast_Conference" TargetMode="External"/><Relationship Id="rId88" Type="http://schemas.openxmlformats.org/officeDocument/2006/relationships/hyperlink" Target="https://en.wikipedia.org/wiki/New_Orleans" TargetMode="External"/><Relationship Id="rId87" Type="http://schemas.openxmlformats.org/officeDocument/2006/relationships/hyperlink" Target="https://en.wikipedia.org/wiki/Lakefront_Arena" TargetMode="External"/><Relationship Id="rId89" Type="http://schemas.openxmlformats.org/officeDocument/2006/relationships/hyperlink" Target="https://en.wikipedia.org/wiki/Louisiana" TargetMode="External"/><Relationship Id="rId709" Type="http://schemas.openxmlformats.org/officeDocument/2006/relationships/hyperlink" Target="https://en.wikipedia.org/wiki/Hytche_Athletic_Center" TargetMode="External"/><Relationship Id="rId708" Type="http://schemas.openxmlformats.org/officeDocument/2006/relationships/hyperlink" Target="https://en.wikipedia.org/wiki/File:Hytche_Center_Exterior.jpg" TargetMode="External"/><Relationship Id="rId707" Type="http://schemas.openxmlformats.org/officeDocument/2006/relationships/hyperlink" Target="https://en.wikipedia.org/wiki/Mid-American_Conference" TargetMode="External"/><Relationship Id="rId706" Type="http://schemas.openxmlformats.org/officeDocument/2006/relationships/hyperlink" Target="https://en.wikipedia.org/wiki/Akron_Zips" TargetMode="External"/><Relationship Id="rId80" Type="http://schemas.openxmlformats.org/officeDocument/2006/relationships/hyperlink" Target="https://en.wikipedia.org/wiki/File:LittlejohnColiseum-from-Outside.jpg" TargetMode="External"/><Relationship Id="rId82" Type="http://schemas.openxmlformats.org/officeDocument/2006/relationships/hyperlink" Target="https://en.wikipedia.org/wiki/Clemson,_South_Carolina" TargetMode="External"/><Relationship Id="rId81" Type="http://schemas.openxmlformats.org/officeDocument/2006/relationships/hyperlink" Target="https://en.wikipedia.org/wiki/Littlejohn_Coliseum" TargetMode="External"/><Relationship Id="rId701" Type="http://schemas.openxmlformats.org/officeDocument/2006/relationships/hyperlink" Target="https://en.wikipedia.org/wiki/Atlantic_Coast_Conference" TargetMode="External"/><Relationship Id="rId700" Type="http://schemas.openxmlformats.org/officeDocument/2006/relationships/hyperlink" Target="https://en.wikipedia.org/wiki/NC_State_Wolfpack_women%27s_basketball" TargetMode="External"/><Relationship Id="rId705" Type="http://schemas.openxmlformats.org/officeDocument/2006/relationships/hyperlink" Target="https://en.wikipedia.org/wiki/Ohio" TargetMode="External"/><Relationship Id="rId704" Type="http://schemas.openxmlformats.org/officeDocument/2006/relationships/hyperlink" Target="https://en.wikipedia.org/wiki/Akron,_Ohio" TargetMode="External"/><Relationship Id="rId703" Type="http://schemas.openxmlformats.org/officeDocument/2006/relationships/hyperlink" Target="https://en.wikipedia.org/wiki/James_A._Rhodes_Arena" TargetMode="External"/><Relationship Id="rId702" Type="http://schemas.openxmlformats.org/officeDocument/2006/relationships/hyperlink" Target="https://en.wikipedia.org/wiki/File:James_A._Rhodes_Arena.jpg" TargetMode="External"/><Relationship Id="rId73" Type="http://schemas.openxmlformats.org/officeDocument/2006/relationships/hyperlink" Target="https://en.wikipedia.org/wiki/Conference_USA" TargetMode="External"/><Relationship Id="rId72" Type="http://schemas.openxmlformats.org/officeDocument/2006/relationships/hyperlink" Target="https://en.wikipedia.org/wiki/Marshall_Thundering_Herd" TargetMode="External"/><Relationship Id="rId75" Type="http://schemas.openxmlformats.org/officeDocument/2006/relationships/hyperlink" Target="https://en.wikipedia.org/wiki/Dunn_Center" TargetMode="External"/><Relationship Id="rId74" Type="http://schemas.openxmlformats.org/officeDocument/2006/relationships/hyperlink" Target="https://en.wikipedia.org/wiki/File:Dunn.jpg" TargetMode="External"/><Relationship Id="rId77" Type="http://schemas.openxmlformats.org/officeDocument/2006/relationships/hyperlink" Target="https://en.wikipedia.org/wiki/Tennessee" TargetMode="External"/><Relationship Id="rId76" Type="http://schemas.openxmlformats.org/officeDocument/2006/relationships/hyperlink" Target="https://en.wikipedia.org/wiki/Clarksville,_Tennessee" TargetMode="External"/><Relationship Id="rId79" Type="http://schemas.openxmlformats.org/officeDocument/2006/relationships/hyperlink" Target="https://en.wikipedia.org/wiki/ASUN_Conference" TargetMode="External"/><Relationship Id="rId78" Type="http://schemas.openxmlformats.org/officeDocument/2006/relationships/hyperlink" Target="https://en.wikipedia.org/wiki/Austin_Peay_Governors" TargetMode="External"/><Relationship Id="rId71" Type="http://schemas.openxmlformats.org/officeDocument/2006/relationships/hyperlink" Target="https://en.wikipedia.org/wiki/West_Virginia" TargetMode="External"/><Relationship Id="rId70" Type="http://schemas.openxmlformats.org/officeDocument/2006/relationships/hyperlink" Target="https://en.wikipedia.org/wiki/Huntington,_West_Virginia" TargetMode="External"/><Relationship Id="rId62" Type="http://schemas.openxmlformats.org/officeDocument/2006/relationships/hyperlink" Target="https://en.wikipedia.org/wiki/File:Hinklefieldhouse5.JPG" TargetMode="External"/><Relationship Id="rId61" Type="http://schemas.openxmlformats.org/officeDocument/2006/relationships/hyperlink" Target="https://en.wikipedia.org/wiki/Conference_USA" TargetMode="External"/><Relationship Id="rId64" Type="http://schemas.openxmlformats.org/officeDocument/2006/relationships/hyperlink" Target="https://en.wikipedia.org/wiki/Indianapolis" TargetMode="External"/><Relationship Id="rId63" Type="http://schemas.openxmlformats.org/officeDocument/2006/relationships/hyperlink" Target="https://en.wikipedia.org/wiki/Hinkle_Fieldhouse" TargetMode="External"/><Relationship Id="rId66" Type="http://schemas.openxmlformats.org/officeDocument/2006/relationships/hyperlink" Target="https://en.wikipedia.org/wiki/Butler_Bulldogs" TargetMode="External"/><Relationship Id="rId65" Type="http://schemas.openxmlformats.org/officeDocument/2006/relationships/hyperlink" Target="https://en.wikipedia.org/wiki/Indiana" TargetMode="External"/><Relationship Id="rId68" Type="http://schemas.openxmlformats.org/officeDocument/2006/relationships/hyperlink" Target="https://en.wikipedia.org/wiki/File:CamHendersonCenter.jpg" TargetMode="External"/><Relationship Id="rId67" Type="http://schemas.openxmlformats.org/officeDocument/2006/relationships/hyperlink" Target="https://en.wikipedia.org/wiki/Big_East_Conference" TargetMode="External"/><Relationship Id="rId729" Type="http://schemas.openxmlformats.org/officeDocument/2006/relationships/hyperlink" Target="https://en.wikipedia.org/wiki/Western_Michigan_Broncos" TargetMode="External"/><Relationship Id="rId728" Type="http://schemas.openxmlformats.org/officeDocument/2006/relationships/hyperlink" Target="https://en.wikipedia.org/wiki/Michigan" TargetMode="External"/><Relationship Id="rId60" Type="http://schemas.openxmlformats.org/officeDocument/2006/relationships/hyperlink" Target="https://en.wikipedia.org/wiki/Charlotte_49ers" TargetMode="External"/><Relationship Id="rId723" Type="http://schemas.openxmlformats.org/officeDocument/2006/relationships/hyperlink" Target="https://en.wikipedia.org/wiki/New_York_(state)" TargetMode="External"/><Relationship Id="rId722" Type="http://schemas.openxmlformats.org/officeDocument/2006/relationships/hyperlink" Target="https://en.wikipedia.org/wiki/St._Bonaventure,_New_York" TargetMode="External"/><Relationship Id="rId721" Type="http://schemas.openxmlformats.org/officeDocument/2006/relationships/hyperlink" Target="https://en.wikipedia.org/wiki/Reilly_Center" TargetMode="External"/><Relationship Id="rId720" Type="http://schemas.openxmlformats.org/officeDocument/2006/relationships/hyperlink" Target="https://en.wikipedia.org/wiki/NCAA_Division_II_independent_schools" TargetMode="External"/><Relationship Id="rId727" Type="http://schemas.openxmlformats.org/officeDocument/2006/relationships/hyperlink" Target="https://en.wikipedia.org/wiki/Kalamazoo,_Michigan" TargetMode="External"/><Relationship Id="rId726" Type="http://schemas.openxmlformats.org/officeDocument/2006/relationships/hyperlink" Target="https://en.wikipedia.org/wiki/University_Arena_(Western_Michigan_University)" TargetMode="External"/><Relationship Id="rId725" Type="http://schemas.openxmlformats.org/officeDocument/2006/relationships/hyperlink" Target="https://en.wikipedia.org/wiki/Atlantic_10_Conference" TargetMode="External"/><Relationship Id="rId724" Type="http://schemas.openxmlformats.org/officeDocument/2006/relationships/hyperlink" Target="https://en.wikipedia.org/wiki/St._Bonaventure_Bonnies" TargetMode="External"/><Relationship Id="rId69" Type="http://schemas.openxmlformats.org/officeDocument/2006/relationships/hyperlink" Target="https://en.wikipedia.org/wiki/Cam_Henderson_Center" TargetMode="External"/><Relationship Id="rId51" Type="http://schemas.openxmlformats.org/officeDocument/2006/relationships/hyperlink" Target="https://en.wikipedia.org/wiki/Edmund_P._Joyce_Center" TargetMode="External"/><Relationship Id="rId50" Type="http://schemas.openxmlformats.org/officeDocument/2006/relationships/hyperlink" Target="https://en.wikipedia.org/wiki/File:Joyce-Center.jpg" TargetMode="External"/><Relationship Id="rId53" Type="http://schemas.openxmlformats.org/officeDocument/2006/relationships/hyperlink" Target="https://en.wikipedia.org/wiki/Indiana" TargetMode="External"/><Relationship Id="rId52" Type="http://schemas.openxmlformats.org/officeDocument/2006/relationships/hyperlink" Target="https://en.wikipedia.org/wiki/Notre_Dame,_Indiana" TargetMode="External"/><Relationship Id="rId55" Type="http://schemas.openxmlformats.org/officeDocument/2006/relationships/hyperlink" Target="https://en.wikipedia.org/wiki/Atlantic_Coast_Conference" TargetMode="External"/><Relationship Id="rId54" Type="http://schemas.openxmlformats.org/officeDocument/2006/relationships/hyperlink" Target="https://en.wikipedia.org/wiki/Notre_Dame_Fighting_Irish" TargetMode="External"/><Relationship Id="rId57" Type="http://schemas.openxmlformats.org/officeDocument/2006/relationships/hyperlink" Target="https://en.wikipedia.org/wiki/Dale_F._Halton_Arena" TargetMode="External"/><Relationship Id="rId56" Type="http://schemas.openxmlformats.org/officeDocument/2006/relationships/hyperlink" Target="https://en.wikipedia.org/wiki/File:Halton_Arena.jpg" TargetMode="External"/><Relationship Id="rId719" Type="http://schemas.openxmlformats.org/officeDocument/2006/relationships/hyperlink" Target="https://en.wikipedia.org/wiki/University_of_Puerto_Rico_at_Mayag%C3%BCez" TargetMode="External"/><Relationship Id="rId718" Type="http://schemas.openxmlformats.org/officeDocument/2006/relationships/hyperlink" Target="https://en.wikipedia.org/wiki/Puerto_Rico" TargetMode="External"/><Relationship Id="rId717" Type="http://schemas.openxmlformats.org/officeDocument/2006/relationships/hyperlink" Target="https://en.wikipedia.org/wiki/Mayag%C3%BCez,_Puerto_Rico" TargetMode="External"/><Relationship Id="rId712" Type="http://schemas.openxmlformats.org/officeDocument/2006/relationships/hyperlink" Target="https://en.wikipedia.org/wiki/Maryland_Eastern_Shore_Hawks" TargetMode="External"/><Relationship Id="rId711" Type="http://schemas.openxmlformats.org/officeDocument/2006/relationships/hyperlink" Target="https://en.wikipedia.org/wiki/Maryland" TargetMode="External"/><Relationship Id="rId710" Type="http://schemas.openxmlformats.org/officeDocument/2006/relationships/hyperlink" Target="https://en.wikipedia.org/wiki/Princess_Anne,_Maryland" TargetMode="External"/><Relationship Id="rId716" Type="http://schemas.openxmlformats.org/officeDocument/2006/relationships/hyperlink" Target="https://en.wikipedia.org/wiki/Rafael_A._Mangual_Coliseum" TargetMode="External"/><Relationship Id="rId715" Type="http://schemas.openxmlformats.org/officeDocument/2006/relationships/hyperlink" Target="https://en.wikipedia.org/wiki/File:Mangual_caam.jpg" TargetMode="External"/><Relationship Id="rId714" Type="http://schemas.openxmlformats.org/officeDocument/2006/relationships/hyperlink" Target="https://en.wikipedia.org/wiki/List_of_indoor_arenas_in_the_United_States" TargetMode="External"/><Relationship Id="rId713" Type="http://schemas.openxmlformats.org/officeDocument/2006/relationships/hyperlink" Target="https://en.wikipedia.org/wiki/Mid-Eastern_Athletic_Conference" TargetMode="External"/><Relationship Id="rId59" Type="http://schemas.openxmlformats.org/officeDocument/2006/relationships/hyperlink" Target="https://en.wikipedia.org/wiki/North_Carolina" TargetMode="External"/><Relationship Id="rId58" Type="http://schemas.openxmlformats.org/officeDocument/2006/relationships/hyperlink" Target="https://en.wikipedia.org/wiki/Charlotte,_North_Carolina" TargetMode="External"/><Relationship Id="rId349" Type="http://schemas.openxmlformats.org/officeDocument/2006/relationships/hyperlink" Target="https://en.wikipedia.org/wiki/Brick_Breeden_Fieldhouse" TargetMode="External"/><Relationship Id="rId348" Type="http://schemas.openxmlformats.org/officeDocument/2006/relationships/hyperlink" Target="https://en.wikipedia.org/wiki/File:BrickBreedenFieldhouse.jpg" TargetMode="External"/><Relationship Id="rId347" Type="http://schemas.openxmlformats.org/officeDocument/2006/relationships/hyperlink" Target="https://en.wikipedia.org/wiki/Mid-American_Conference" TargetMode="External"/><Relationship Id="rId346" Type="http://schemas.openxmlformats.org/officeDocument/2006/relationships/hyperlink" Target="https://en.wikipedia.org/wiki/Toledo_Rockets" TargetMode="External"/><Relationship Id="rId341" Type="http://schemas.openxmlformats.org/officeDocument/2006/relationships/hyperlink" Target="https://en.wikipedia.org/wiki/Sun_Belt_Conference" TargetMode="External"/><Relationship Id="rId340" Type="http://schemas.openxmlformats.org/officeDocument/2006/relationships/hyperlink" Target="https://en.wikipedia.org/wiki/Georgia_State_Panthers" TargetMode="External"/><Relationship Id="rId345" Type="http://schemas.openxmlformats.org/officeDocument/2006/relationships/hyperlink" Target="https://en.wikipedia.org/wiki/Ohio" TargetMode="External"/><Relationship Id="rId344" Type="http://schemas.openxmlformats.org/officeDocument/2006/relationships/hyperlink" Target="https://en.wikipedia.org/wiki/Toledo,_Ohio" TargetMode="External"/><Relationship Id="rId343" Type="http://schemas.openxmlformats.org/officeDocument/2006/relationships/hyperlink" Target="https://en.wikipedia.org/wiki/Savage_Arena" TargetMode="External"/><Relationship Id="rId342" Type="http://schemas.openxmlformats.org/officeDocument/2006/relationships/hyperlink" Target="https://en.wikipedia.org/wiki/File:Charles_A._Sullivan_Athletic_Complex_%26_John_F._Savage_Arena_at_The_University_of_Toledo,_December_2019.jpg" TargetMode="External"/><Relationship Id="rId338" Type="http://schemas.openxmlformats.org/officeDocument/2006/relationships/hyperlink" Target="https://en.wikipedia.org/wiki/Atlanta" TargetMode="External"/><Relationship Id="rId337" Type="http://schemas.openxmlformats.org/officeDocument/2006/relationships/hyperlink" Target="https://en.wikipedia.org/wiki/Georgia_State_Convocation_Center" TargetMode="External"/><Relationship Id="rId336" Type="http://schemas.openxmlformats.org/officeDocument/2006/relationships/hyperlink" Target="https://en.wikipedia.org/wiki/Big_Sky_Conference" TargetMode="External"/><Relationship Id="rId335" Type="http://schemas.openxmlformats.org/officeDocument/2006/relationships/hyperlink" Target="https://en.wikipedia.org/wiki/Montana_Grizzlies_and_Lady_Griz" TargetMode="External"/><Relationship Id="rId339" Type="http://schemas.openxmlformats.org/officeDocument/2006/relationships/hyperlink" Target="https://en.wikipedia.org/wiki/Georgia_(U.S._state)" TargetMode="External"/><Relationship Id="rId330" Type="http://schemas.openxmlformats.org/officeDocument/2006/relationships/hyperlink" Target="https://en.wikipedia.org/wiki/Western_Kentucky_Hilltoppers_and_Lady_Toppers" TargetMode="External"/><Relationship Id="rId334" Type="http://schemas.openxmlformats.org/officeDocument/2006/relationships/hyperlink" Target="https://en.wikipedia.org/wiki/Montana" TargetMode="External"/><Relationship Id="rId333" Type="http://schemas.openxmlformats.org/officeDocument/2006/relationships/hyperlink" Target="https://en.wikipedia.org/wiki/Missoula,_Montana" TargetMode="External"/><Relationship Id="rId332" Type="http://schemas.openxmlformats.org/officeDocument/2006/relationships/hyperlink" Target="https://en.wikipedia.org/wiki/Dahlberg_Arena" TargetMode="External"/><Relationship Id="rId331" Type="http://schemas.openxmlformats.org/officeDocument/2006/relationships/hyperlink" Target="https://en.wikipedia.org/wiki/Conference_USA" TargetMode="External"/><Relationship Id="rId370" Type="http://schemas.openxmlformats.org/officeDocument/2006/relationships/hyperlink" Target="https://en.wikipedia.org/wiki/Denver_Pioneers" TargetMode="External"/><Relationship Id="rId369" Type="http://schemas.openxmlformats.org/officeDocument/2006/relationships/hyperlink" Target="https://en.wikipedia.org/wiki/Colorado" TargetMode="External"/><Relationship Id="rId368" Type="http://schemas.openxmlformats.org/officeDocument/2006/relationships/hyperlink" Target="https://en.wikipedia.org/wiki/Denver" TargetMode="External"/><Relationship Id="rId363" Type="http://schemas.openxmlformats.org/officeDocument/2006/relationships/hyperlink" Target="https://en.wikipedia.org/wiki/Virginia" TargetMode="External"/><Relationship Id="rId362" Type="http://schemas.openxmlformats.org/officeDocument/2006/relationships/hyperlink" Target="https://en.wikipedia.org/wiki/Richmond,_Virginia" TargetMode="External"/><Relationship Id="rId361" Type="http://schemas.openxmlformats.org/officeDocument/2006/relationships/hyperlink" Target="https://en.wikipedia.org/wiki/Robins_Center" TargetMode="External"/><Relationship Id="rId360" Type="http://schemas.openxmlformats.org/officeDocument/2006/relationships/hyperlink" Target="https://en.wikipedia.org/wiki/File:Robins_Center_Entrance.jpg" TargetMode="External"/><Relationship Id="rId367" Type="http://schemas.openxmlformats.org/officeDocument/2006/relationships/hyperlink" Target="https://en.wikipedia.org/wiki/Magness_Arena" TargetMode="External"/><Relationship Id="rId366" Type="http://schemas.openxmlformats.org/officeDocument/2006/relationships/hyperlink" Target="https://en.wikipedia.org/wiki/File:Magness_Arena_Exterior.jpg" TargetMode="External"/><Relationship Id="rId365" Type="http://schemas.openxmlformats.org/officeDocument/2006/relationships/hyperlink" Target="https://en.wikipedia.org/wiki/Atlantic_10_Conference" TargetMode="External"/><Relationship Id="rId364" Type="http://schemas.openxmlformats.org/officeDocument/2006/relationships/hyperlink" Target="https://en.wikipedia.org/wiki/Richmond_Spiders" TargetMode="External"/><Relationship Id="rId95" Type="http://schemas.openxmlformats.org/officeDocument/2006/relationships/hyperlink" Target="https://en.wikipedia.org/wiki/Michigan" TargetMode="External"/><Relationship Id="rId94" Type="http://schemas.openxmlformats.org/officeDocument/2006/relationships/hyperlink" Target="https://en.wikipedia.org/wiki/Ypsilanti,_Michigan" TargetMode="External"/><Relationship Id="rId97" Type="http://schemas.openxmlformats.org/officeDocument/2006/relationships/hyperlink" Target="https://en.wikipedia.org/wiki/Mid-American_Conference" TargetMode="External"/><Relationship Id="rId96" Type="http://schemas.openxmlformats.org/officeDocument/2006/relationships/hyperlink" Target="https://en.wikipedia.org/wiki/Eastern_Michigan_Eagles" TargetMode="External"/><Relationship Id="rId99" Type="http://schemas.openxmlformats.org/officeDocument/2006/relationships/hyperlink" Target="https://en.wikipedia.org/wiki/Moby_Arena" TargetMode="External"/><Relationship Id="rId98" Type="http://schemas.openxmlformats.org/officeDocument/2006/relationships/hyperlink" Target="https://en.wikipedia.org/wiki/File:Moby_Arena.JPG" TargetMode="External"/><Relationship Id="rId91" Type="http://schemas.openxmlformats.org/officeDocument/2006/relationships/hyperlink" Target="https://en.wikipedia.org/wiki/Southland_Conference" TargetMode="External"/><Relationship Id="rId90" Type="http://schemas.openxmlformats.org/officeDocument/2006/relationships/hyperlink" Target="https://en.wikipedia.org/wiki/New_Orleans_Privateers" TargetMode="External"/><Relationship Id="rId93" Type="http://schemas.openxmlformats.org/officeDocument/2006/relationships/hyperlink" Target="https://en.wikipedia.org/wiki/George_Gervin_GameAbove_Center" TargetMode="External"/><Relationship Id="rId92" Type="http://schemas.openxmlformats.org/officeDocument/2006/relationships/hyperlink" Target="https://en.wikipedia.org/wiki/File:EMUConvoCenterOUTSIDE.jpg" TargetMode="External"/><Relationship Id="rId359" Type="http://schemas.openxmlformats.org/officeDocument/2006/relationships/hyperlink" Target="https://en.wikipedia.org/wiki/Western_Athletic_Conference" TargetMode="External"/><Relationship Id="rId358" Type="http://schemas.openxmlformats.org/officeDocument/2006/relationships/hyperlink" Target="https://en.wikipedia.org/wiki/Stephen_F._Austin_Lumberjacks_and_Ladyjacks" TargetMode="External"/><Relationship Id="rId357" Type="http://schemas.openxmlformats.org/officeDocument/2006/relationships/hyperlink" Target="https://en.wikipedia.org/wiki/Texas" TargetMode="External"/><Relationship Id="rId352" Type="http://schemas.openxmlformats.org/officeDocument/2006/relationships/hyperlink" Target="https://en.wikipedia.org/wiki/Montana_State_Bobcats" TargetMode="External"/><Relationship Id="rId351" Type="http://schemas.openxmlformats.org/officeDocument/2006/relationships/hyperlink" Target="https://en.wikipedia.org/wiki/Montana" TargetMode="External"/><Relationship Id="rId350" Type="http://schemas.openxmlformats.org/officeDocument/2006/relationships/hyperlink" Target="https://en.wikipedia.org/wiki/Bozeman,_Montana" TargetMode="External"/><Relationship Id="rId356" Type="http://schemas.openxmlformats.org/officeDocument/2006/relationships/hyperlink" Target="https://en.wikipedia.org/wiki/Nacogdoches,_Texas" TargetMode="External"/><Relationship Id="rId355" Type="http://schemas.openxmlformats.org/officeDocument/2006/relationships/hyperlink" Target="https://en.wikipedia.org/wiki/William_R._Johnson_Coliseum" TargetMode="External"/><Relationship Id="rId354" Type="http://schemas.openxmlformats.org/officeDocument/2006/relationships/hyperlink" Target="https://en.wikipedia.org/wiki/File:William_R._Johnson_Coliseum,_SFA,_Nacogdoches_IMG_3317.JPG" TargetMode="External"/><Relationship Id="rId353" Type="http://schemas.openxmlformats.org/officeDocument/2006/relationships/hyperlink" Target="https://en.wikipedia.org/wiki/Big_Sky_Conference" TargetMode="External"/><Relationship Id="rId305" Type="http://schemas.openxmlformats.org/officeDocument/2006/relationships/hyperlink" Target="https://en.wikipedia.org/wiki/Nebraska" TargetMode="External"/><Relationship Id="rId789" Type="http://schemas.openxmlformats.org/officeDocument/2006/relationships/hyperlink" Target="https://en.wikipedia.org/wiki/Summit_League" TargetMode="External"/><Relationship Id="rId304" Type="http://schemas.openxmlformats.org/officeDocument/2006/relationships/hyperlink" Target="https://en.wikipedia.org/wiki/Omaha,_Nebraska" TargetMode="External"/><Relationship Id="rId788" Type="http://schemas.openxmlformats.org/officeDocument/2006/relationships/hyperlink" Target="https://en.wikipedia.org/wiki/Western_Illinois_Leathernecks" TargetMode="External"/><Relationship Id="rId303" Type="http://schemas.openxmlformats.org/officeDocument/2006/relationships/hyperlink" Target="https://en.wikipedia.org/wiki/Baxter_Arena" TargetMode="External"/><Relationship Id="rId787" Type="http://schemas.openxmlformats.org/officeDocument/2006/relationships/hyperlink" Target="https://en.wikipedia.org/wiki/Illinois" TargetMode="External"/><Relationship Id="rId302" Type="http://schemas.openxmlformats.org/officeDocument/2006/relationships/hyperlink" Target="https://en.wikipedia.org/wiki/File:Baxter_Arena_opening_night_vs_Air_Force.jpg" TargetMode="External"/><Relationship Id="rId786" Type="http://schemas.openxmlformats.org/officeDocument/2006/relationships/hyperlink" Target="https://en.wikipedia.org/wiki/Macomb,_Illinois" TargetMode="External"/><Relationship Id="rId309" Type="http://schemas.openxmlformats.org/officeDocument/2006/relationships/hyperlink" Target="https://en.wikipedia.org/wiki/F._G._Clark_Center" TargetMode="External"/><Relationship Id="rId308" Type="http://schemas.openxmlformats.org/officeDocument/2006/relationships/hyperlink" Target="https://en.wikipedia.org/wiki/File:F._G._Clark_Center_(Baton_Rouge,_Louisiana).jpg" TargetMode="External"/><Relationship Id="rId307" Type="http://schemas.openxmlformats.org/officeDocument/2006/relationships/hyperlink" Target="https://en.wikipedia.org/wiki/Summit_League" TargetMode="External"/><Relationship Id="rId306" Type="http://schemas.openxmlformats.org/officeDocument/2006/relationships/hyperlink" Target="https://en.wikipedia.org/wiki/Omaha_Mavericks" TargetMode="External"/><Relationship Id="rId781" Type="http://schemas.openxmlformats.org/officeDocument/2006/relationships/hyperlink" Target="https://en.wikipedia.org/wiki/Vestal,_New_York" TargetMode="External"/><Relationship Id="rId780" Type="http://schemas.openxmlformats.org/officeDocument/2006/relationships/hyperlink" Target="https://en.wikipedia.org/wiki/Binghamton_University_Events_Center" TargetMode="External"/><Relationship Id="rId301" Type="http://schemas.openxmlformats.org/officeDocument/2006/relationships/hyperlink" Target="https://en.wikipedia.org/wiki/Southwestern_Athletic_Conference" TargetMode="External"/><Relationship Id="rId785" Type="http://schemas.openxmlformats.org/officeDocument/2006/relationships/hyperlink" Target="https://en.wikipedia.org/wiki/Western_Hall" TargetMode="External"/><Relationship Id="rId300" Type="http://schemas.openxmlformats.org/officeDocument/2006/relationships/hyperlink" Target="https://en.wikipedia.org/wiki/Grambling_State_Tigers" TargetMode="External"/><Relationship Id="rId784" Type="http://schemas.openxmlformats.org/officeDocument/2006/relationships/hyperlink" Target="https://en.wikipedia.org/wiki/America_East_Conference" TargetMode="External"/><Relationship Id="rId783" Type="http://schemas.openxmlformats.org/officeDocument/2006/relationships/hyperlink" Target="https://en.wikipedia.org/wiki/Binghamton_Bearcats" TargetMode="External"/><Relationship Id="rId782" Type="http://schemas.openxmlformats.org/officeDocument/2006/relationships/hyperlink" Target="https://en.wikipedia.org/wiki/New_York_(state)" TargetMode="External"/><Relationship Id="rId778" Type="http://schemas.openxmlformats.org/officeDocument/2006/relationships/hyperlink" Target="https://en.wikipedia.org/wiki/UNC_Wilmington_Seahawks" TargetMode="External"/><Relationship Id="rId777" Type="http://schemas.openxmlformats.org/officeDocument/2006/relationships/hyperlink" Target="https://en.wikipedia.org/wiki/North_Carolina" TargetMode="External"/><Relationship Id="rId776" Type="http://schemas.openxmlformats.org/officeDocument/2006/relationships/hyperlink" Target="https://en.wikipedia.org/wiki/Wilmington,_North_Carolina" TargetMode="External"/><Relationship Id="rId775" Type="http://schemas.openxmlformats.org/officeDocument/2006/relationships/hyperlink" Target="https://en.wikipedia.org/wiki/Trask_Coliseum" TargetMode="External"/><Relationship Id="rId779" Type="http://schemas.openxmlformats.org/officeDocument/2006/relationships/hyperlink" Target="https://en.wikipedia.org/wiki/Colonial_Athletic_Association" TargetMode="External"/><Relationship Id="rId770" Type="http://schemas.openxmlformats.org/officeDocument/2006/relationships/hyperlink" Target="https://en.wikipedia.org/wiki/Troy,_Alabama" TargetMode="External"/><Relationship Id="rId774" Type="http://schemas.openxmlformats.org/officeDocument/2006/relationships/hyperlink" Target="https://en.wikipedia.org/wiki/File:Trask_Coliseum.jpg" TargetMode="External"/><Relationship Id="rId773" Type="http://schemas.openxmlformats.org/officeDocument/2006/relationships/hyperlink" Target="https://en.wikipedia.org/wiki/Sun_Belt_Conference" TargetMode="External"/><Relationship Id="rId772" Type="http://schemas.openxmlformats.org/officeDocument/2006/relationships/hyperlink" Target="https://en.wikipedia.org/wiki/Troy_Trojans" TargetMode="External"/><Relationship Id="rId771" Type="http://schemas.openxmlformats.org/officeDocument/2006/relationships/hyperlink" Target="https://en.wikipedia.org/wiki/Alabama" TargetMode="External"/><Relationship Id="rId327" Type="http://schemas.openxmlformats.org/officeDocument/2006/relationships/hyperlink" Target="https://en.wikipedia.org/wiki/E._A._Diddle_Arena" TargetMode="External"/><Relationship Id="rId326" Type="http://schemas.openxmlformats.org/officeDocument/2006/relationships/hyperlink" Target="https://en.wikipedia.org/wiki/File:DiddleArena.JPG" TargetMode="External"/><Relationship Id="rId325" Type="http://schemas.openxmlformats.org/officeDocument/2006/relationships/hyperlink" Target="https://en.wikipedia.org/wiki/Pac-12_Conference" TargetMode="External"/><Relationship Id="rId324" Type="http://schemas.openxmlformats.org/officeDocument/2006/relationships/hyperlink" Target="https://en.wikipedia.org/wiki/Stanford_Cardinal" TargetMode="External"/><Relationship Id="rId329" Type="http://schemas.openxmlformats.org/officeDocument/2006/relationships/hyperlink" Target="https://en.wikipedia.org/wiki/Kentucky" TargetMode="External"/><Relationship Id="rId328" Type="http://schemas.openxmlformats.org/officeDocument/2006/relationships/hyperlink" Target="https://en.wikipedia.org/wiki/Bowling_Green,_Kentucky" TargetMode="External"/><Relationship Id="rId323" Type="http://schemas.openxmlformats.org/officeDocument/2006/relationships/hyperlink" Target="https://en.wikipedia.org/wiki/California" TargetMode="External"/><Relationship Id="rId322" Type="http://schemas.openxmlformats.org/officeDocument/2006/relationships/hyperlink" Target="https://en.wikipedia.org/wiki/Stanford,_California" TargetMode="External"/><Relationship Id="rId321" Type="http://schemas.openxmlformats.org/officeDocument/2006/relationships/hyperlink" Target="https://en.wikipedia.org/wiki/Maples_Pavilion" TargetMode="External"/><Relationship Id="rId320" Type="http://schemas.openxmlformats.org/officeDocument/2006/relationships/hyperlink" Target="https://en.wikipedia.org/wiki/File:Maples_Pavilion_sign.JPG" TargetMode="External"/><Relationship Id="rId316" Type="http://schemas.openxmlformats.org/officeDocument/2006/relationships/hyperlink" Target="https://en.wikipedia.org/wiki/Montgomery,_Alabama" TargetMode="External"/><Relationship Id="rId315" Type="http://schemas.openxmlformats.org/officeDocument/2006/relationships/hyperlink" Target="https://en.wikipedia.org/wiki/Dunn%E2%80%93Oliver_Acadome" TargetMode="External"/><Relationship Id="rId799" Type="http://schemas.openxmlformats.org/officeDocument/2006/relationships/hyperlink" Target="https://en.wikipedia.org/wiki/Maine_Black_Bears_men%27s_ice_hockey" TargetMode="External"/><Relationship Id="rId314" Type="http://schemas.openxmlformats.org/officeDocument/2006/relationships/hyperlink" Target="https://en.wikipedia.org/wiki/File:ASU_Acadome_June09.jpg" TargetMode="External"/><Relationship Id="rId798" Type="http://schemas.openxmlformats.org/officeDocument/2006/relationships/hyperlink" Target="https://en.wikipedia.org/wiki/Maine" TargetMode="External"/><Relationship Id="rId313" Type="http://schemas.openxmlformats.org/officeDocument/2006/relationships/hyperlink" Target="https://en.wikipedia.org/wiki/Southwestern_Athletic_Conference" TargetMode="External"/><Relationship Id="rId797" Type="http://schemas.openxmlformats.org/officeDocument/2006/relationships/hyperlink" Target="https://en.wikipedia.org/wiki/Orono,_Maine" TargetMode="External"/><Relationship Id="rId319" Type="http://schemas.openxmlformats.org/officeDocument/2006/relationships/hyperlink" Target="https://en.wikipedia.org/wiki/Southwestern_Athletic_Conference" TargetMode="External"/><Relationship Id="rId318" Type="http://schemas.openxmlformats.org/officeDocument/2006/relationships/hyperlink" Target="https://en.wikipedia.org/wiki/Alabama_State_Hornets" TargetMode="External"/><Relationship Id="rId317" Type="http://schemas.openxmlformats.org/officeDocument/2006/relationships/hyperlink" Target="https://en.wikipedia.org/wiki/Alabama" TargetMode="External"/><Relationship Id="rId792" Type="http://schemas.openxmlformats.org/officeDocument/2006/relationships/hyperlink" Target="https://en.wikipedia.org/wiki/Hempstead,_New_York" TargetMode="External"/><Relationship Id="rId791" Type="http://schemas.openxmlformats.org/officeDocument/2006/relationships/hyperlink" Target="https://en.wikipedia.org/wiki/Mack_Sports_Complex" TargetMode="External"/><Relationship Id="rId790" Type="http://schemas.openxmlformats.org/officeDocument/2006/relationships/hyperlink" Target="https://en.wikipedia.org/wiki/File:David_S_Mack_Sports_and_Exhibition_Complex_1.jpg" TargetMode="External"/><Relationship Id="rId312" Type="http://schemas.openxmlformats.org/officeDocument/2006/relationships/hyperlink" Target="https://en.wikipedia.org/wiki/Southern_Jaguars" TargetMode="External"/><Relationship Id="rId796" Type="http://schemas.openxmlformats.org/officeDocument/2006/relationships/hyperlink" Target="https://en.wikipedia.org/wiki/Alfond_Arena" TargetMode="External"/><Relationship Id="rId311" Type="http://schemas.openxmlformats.org/officeDocument/2006/relationships/hyperlink" Target="https://en.wikipedia.org/wiki/Louisiana" TargetMode="External"/><Relationship Id="rId795" Type="http://schemas.openxmlformats.org/officeDocument/2006/relationships/hyperlink" Target="https://en.wikipedia.org/wiki/Colonial_Athletic_Association" TargetMode="External"/><Relationship Id="rId310" Type="http://schemas.openxmlformats.org/officeDocument/2006/relationships/hyperlink" Target="https://en.wikipedia.org/wiki/Baton_Rouge,_Louisiana" TargetMode="External"/><Relationship Id="rId794" Type="http://schemas.openxmlformats.org/officeDocument/2006/relationships/hyperlink" Target="https://en.wikipedia.org/wiki/Hofstra_Pride" TargetMode="External"/><Relationship Id="rId793" Type="http://schemas.openxmlformats.org/officeDocument/2006/relationships/hyperlink" Target="https://en.wikipedia.org/wiki/New_York_(state)" TargetMode="External"/><Relationship Id="rId297" Type="http://schemas.openxmlformats.org/officeDocument/2006/relationships/hyperlink" Target="https://en.wikipedia.org/wiki/Fredrick_C._Hobdy_Assembly_Center" TargetMode="External"/><Relationship Id="rId296" Type="http://schemas.openxmlformats.org/officeDocument/2006/relationships/hyperlink" Target="https://en.wikipedia.org/wiki/File:Frederick_C._Hobdy_Assembly_Center_IMG_3659.JPG" TargetMode="External"/><Relationship Id="rId295" Type="http://schemas.openxmlformats.org/officeDocument/2006/relationships/hyperlink" Target="https://en.wikipedia.org/wiki/Southland_Conference" TargetMode="External"/><Relationship Id="rId294" Type="http://schemas.openxmlformats.org/officeDocument/2006/relationships/hyperlink" Target="https://en.wikipedia.org/wiki/Southeastern_Louisiana_Lions" TargetMode="External"/><Relationship Id="rId299" Type="http://schemas.openxmlformats.org/officeDocument/2006/relationships/hyperlink" Target="https://en.wikipedia.org/wiki/Louisiana" TargetMode="External"/><Relationship Id="rId298" Type="http://schemas.openxmlformats.org/officeDocument/2006/relationships/hyperlink" Target="https://en.wikipedia.org/wiki/Grambling,_Louisiana" TargetMode="External"/><Relationship Id="rId271" Type="http://schemas.openxmlformats.org/officeDocument/2006/relationships/hyperlink" Target="https://en.wikipedia.org/wiki/Southern_Conference" TargetMode="External"/><Relationship Id="rId270" Type="http://schemas.openxmlformats.org/officeDocument/2006/relationships/hyperlink" Target="https://en.wikipedia.org/wiki/Western_Carolina_Catamounts" TargetMode="External"/><Relationship Id="rId269" Type="http://schemas.openxmlformats.org/officeDocument/2006/relationships/hyperlink" Target="https://en.wikipedia.org/wiki/North_Carolina" TargetMode="External"/><Relationship Id="rId264" Type="http://schemas.openxmlformats.org/officeDocument/2006/relationships/hyperlink" Target="https://en.wikipedia.org/wiki/Boston_College_Eagles_men%27s_ice_hockey" TargetMode="External"/><Relationship Id="rId263" Type="http://schemas.openxmlformats.org/officeDocument/2006/relationships/hyperlink" Target="https://en.wikipedia.org/wiki/Massachusetts" TargetMode="External"/><Relationship Id="rId262" Type="http://schemas.openxmlformats.org/officeDocument/2006/relationships/hyperlink" Target="https://en.wikipedia.org/wiki/Chestnut_Hill,_Massachusetts" TargetMode="External"/><Relationship Id="rId261" Type="http://schemas.openxmlformats.org/officeDocument/2006/relationships/hyperlink" Target="https://en.wikipedia.org/wiki/Conte_Forum" TargetMode="External"/><Relationship Id="rId268" Type="http://schemas.openxmlformats.org/officeDocument/2006/relationships/hyperlink" Target="https://en.wikipedia.org/wiki/Cullowhee,_North_Carolina" TargetMode="External"/><Relationship Id="rId267" Type="http://schemas.openxmlformats.org/officeDocument/2006/relationships/hyperlink" Target="https://en.wikipedia.org/wiki/Ramsey_Center" TargetMode="External"/><Relationship Id="rId266" Type="http://schemas.openxmlformats.org/officeDocument/2006/relationships/hyperlink" Target="https://en.wikipedia.org/wiki/File:Ramsey_Regional_Activity_Center_in_Cullowhee,_NC.jpg" TargetMode="External"/><Relationship Id="rId265" Type="http://schemas.openxmlformats.org/officeDocument/2006/relationships/hyperlink" Target="https://en.wikipedia.org/wiki/Hockey_East" TargetMode="External"/><Relationship Id="rId260" Type="http://schemas.openxmlformats.org/officeDocument/2006/relationships/hyperlink" Target="https://en.wikipedia.org/wiki/File:BC-ConteForum1.JPG" TargetMode="External"/><Relationship Id="rId259" Type="http://schemas.openxmlformats.org/officeDocument/2006/relationships/hyperlink" Target="https://en.wikipedia.org/wiki/National_Collegiate_Hockey_Conference" TargetMode="External"/><Relationship Id="rId258" Type="http://schemas.openxmlformats.org/officeDocument/2006/relationships/hyperlink" Target="https://en.wikipedia.org/wiki/Omaha_Mavericks_men%27s_ice_hockey" TargetMode="External"/><Relationship Id="rId253" Type="http://schemas.openxmlformats.org/officeDocument/2006/relationships/hyperlink" Target="https://en.wikipedia.org/wiki/Atlantic_Coast_Conference" TargetMode="External"/><Relationship Id="rId252" Type="http://schemas.openxmlformats.org/officeDocument/2006/relationships/hyperlink" Target="https://en.wikipedia.org/wiki/Miami_Hurricanes" TargetMode="External"/><Relationship Id="rId251" Type="http://schemas.openxmlformats.org/officeDocument/2006/relationships/hyperlink" Target="https://en.wikipedia.org/wiki/Florida" TargetMode="External"/><Relationship Id="rId250" Type="http://schemas.openxmlformats.org/officeDocument/2006/relationships/hyperlink" Target="https://en.wikipedia.org/wiki/Coral_Gables,_Florida" TargetMode="External"/><Relationship Id="rId257" Type="http://schemas.openxmlformats.org/officeDocument/2006/relationships/hyperlink" Target="https://en.wikipedia.org/wiki/Nebraska" TargetMode="External"/><Relationship Id="rId256" Type="http://schemas.openxmlformats.org/officeDocument/2006/relationships/hyperlink" Target="https://en.wikipedia.org/wiki/Omaha,_Nebraska" TargetMode="External"/><Relationship Id="rId255" Type="http://schemas.openxmlformats.org/officeDocument/2006/relationships/hyperlink" Target="https://en.wikipedia.org/wiki/Baxter_Arena" TargetMode="External"/><Relationship Id="rId254" Type="http://schemas.openxmlformats.org/officeDocument/2006/relationships/hyperlink" Target="https://en.wikipedia.org/wiki/File:Baxter_Arena_opening_night_vs_Air_Force.jpg" TargetMode="External"/><Relationship Id="rId293" Type="http://schemas.openxmlformats.org/officeDocument/2006/relationships/hyperlink" Target="https://en.wikipedia.org/wiki/Louisiana" TargetMode="External"/><Relationship Id="rId292" Type="http://schemas.openxmlformats.org/officeDocument/2006/relationships/hyperlink" Target="https://en.wikipedia.org/wiki/Hammond,_Louisiana" TargetMode="External"/><Relationship Id="rId291" Type="http://schemas.openxmlformats.org/officeDocument/2006/relationships/hyperlink" Target="https://en.wikipedia.org/wiki/University_Center_(Southeastern_Louisiana)" TargetMode="External"/><Relationship Id="rId290" Type="http://schemas.openxmlformats.org/officeDocument/2006/relationships/hyperlink" Target="https://en.wikipedia.org/wiki/File:University_Center_(Southeastern_Louisiana_University).jpg" TargetMode="External"/><Relationship Id="rId286" Type="http://schemas.openxmlformats.org/officeDocument/2006/relationships/hyperlink" Target="https://en.wikipedia.org/wiki/Davis,_California" TargetMode="External"/><Relationship Id="rId285" Type="http://schemas.openxmlformats.org/officeDocument/2006/relationships/hyperlink" Target="https://en.wikipedia.org/wiki/The_Pavilion_at_ARC" TargetMode="External"/><Relationship Id="rId284" Type="http://schemas.openxmlformats.org/officeDocument/2006/relationships/hyperlink" Target="https://en.wikipedia.org/wiki/File:The_Pavilion_at_ARC_(UC_Davis).jpg" TargetMode="External"/><Relationship Id="rId283" Type="http://schemas.openxmlformats.org/officeDocument/2006/relationships/hyperlink" Target="https://en.wikipedia.org/wiki/Atlantic_10_Conference" TargetMode="External"/><Relationship Id="rId289" Type="http://schemas.openxmlformats.org/officeDocument/2006/relationships/hyperlink" Target="https://en.wikipedia.org/wiki/Big_West_Conference" TargetMode="External"/><Relationship Id="rId288" Type="http://schemas.openxmlformats.org/officeDocument/2006/relationships/hyperlink" Target="https://en.wikipedia.org/wiki/UC_Davis_Aggies" TargetMode="External"/><Relationship Id="rId287" Type="http://schemas.openxmlformats.org/officeDocument/2006/relationships/hyperlink" Target="https://en.wikipedia.org/wiki/California" TargetMode="External"/><Relationship Id="rId282" Type="http://schemas.openxmlformats.org/officeDocument/2006/relationships/hyperlink" Target="https://en.wikipedia.org/wiki/VCU_Rams" TargetMode="External"/><Relationship Id="rId281" Type="http://schemas.openxmlformats.org/officeDocument/2006/relationships/hyperlink" Target="https://en.wikipedia.org/wiki/Virginia" TargetMode="External"/><Relationship Id="rId280" Type="http://schemas.openxmlformats.org/officeDocument/2006/relationships/hyperlink" Target="https://en.wikipedia.org/wiki/Richmond,_Virginia" TargetMode="External"/><Relationship Id="rId275" Type="http://schemas.openxmlformats.org/officeDocument/2006/relationships/hyperlink" Target="https://en.wikipedia.org/wiki/Rhode_Island" TargetMode="External"/><Relationship Id="rId274" Type="http://schemas.openxmlformats.org/officeDocument/2006/relationships/hyperlink" Target="https://en.wikipedia.org/wiki/Kingston,_Rhode_Island" TargetMode="External"/><Relationship Id="rId273" Type="http://schemas.openxmlformats.org/officeDocument/2006/relationships/hyperlink" Target="https://en.wikipedia.org/wiki/Ryan_Center" TargetMode="External"/><Relationship Id="rId272" Type="http://schemas.openxmlformats.org/officeDocument/2006/relationships/hyperlink" Target="https://en.wikipedia.org/wiki/File:Ryan_Center1.jpg" TargetMode="External"/><Relationship Id="rId279" Type="http://schemas.openxmlformats.org/officeDocument/2006/relationships/hyperlink" Target="https://en.wikipedia.org/wiki/Siegel_Center" TargetMode="External"/><Relationship Id="rId278" Type="http://schemas.openxmlformats.org/officeDocument/2006/relationships/hyperlink" Target="https://en.wikipedia.org/wiki/File:VCU_Stuart_C._Siegel_Center_by_Jeff_Auth.jpg" TargetMode="External"/><Relationship Id="rId277" Type="http://schemas.openxmlformats.org/officeDocument/2006/relationships/hyperlink" Target="https://en.wikipedia.org/wiki/Atlantic_10_Conference" TargetMode="External"/><Relationship Id="rId276" Type="http://schemas.openxmlformats.org/officeDocument/2006/relationships/hyperlink" Target="https://en.wikipedia.org/wiki/Rhode_Island_Rams" TargetMode="External"/><Relationship Id="rId629" Type="http://schemas.openxmlformats.org/officeDocument/2006/relationships/hyperlink" Target="https://en.wikipedia.org/wiki/Yost_Ice_Arena" TargetMode="External"/><Relationship Id="rId624" Type="http://schemas.openxmlformats.org/officeDocument/2006/relationships/hyperlink" Target="https://en.wikipedia.org/wiki/Colorado_Springs,_Colorado" TargetMode="External"/><Relationship Id="rId623" Type="http://schemas.openxmlformats.org/officeDocument/2006/relationships/hyperlink" Target="https://en.wikipedia.org/wiki/Cadet_Field_House" TargetMode="External"/><Relationship Id="rId622" Type="http://schemas.openxmlformats.org/officeDocument/2006/relationships/hyperlink" Target="https://en.wikipedia.org/wiki/Big_Sky_Conference" TargetMode="External"/><Relationship Id="rId621" Type="http://schemas.openxmlformats.org/officeDocument/2006/relationships/hyperlink" Target="https://en.wikipedia.org/wiki/Eastern_Washington_Eagles" TargetMode="External"/><Relationship Id="rId628" Type="http://schemas.openxmlformats.org/officeDocument/2006/relationships/hyperlink" Target="https://en.wikipedia.org/wiki/File:YostIceArena.jpg" TargetMode="External"/><Relationship Id="rId627" Type="http://schemas.openxmlformats.org/officeDocument/2006/relationships/hyperlink" Target="https://en.wikipedia.org/wiki/Mountain_West_Conference" TargetMode="External"/><Relationship Id="rId626" Type="http://schemas.openxmlformats.org/officeDocument/2006/relationships/hyperlink" Target="https://en.wikipedia.org/wiki/Air_Force_Falcons" TargetMode="External"/><Relationship Id="rId625" Type="http://schemas.openxmlformats.org/officeDocument/2006/relationships/hyperlink" Target="https://en.wikipedia.org/wiki/Colorado" TargetMode="External"/><Relationship Id="rId620" Type="http://schemas.openxmlformats.org/officeDocument/2006/relationships/hyperlink" Target="https://en.wikipedia.org/wiki/Washington_(state)" TargetMode="External"/><Relationship Id="rId619" Type="http://schemas.openxmlformats.org/officeDocument/2006/relationships/hyperlink" Target="https://en.wikipedia.org/wiki/Cheney,_Washington" TargetMode="External"/><Relationship Id="rId618" Type="http://schemas.openxmlformats.org/officeDocument/2006/relationships/hyperlink" Target="https://en.wikipedia.org/wiki/Reese_Court" TargetMode="External"/><Relationship Id="rId613" Type="http://schemas.openxmlformats.org/officeDocument/2006/relationships/hyperlink" Target="https://en.wikipedia.org/wiki/Georgia_(U.S._state)" TargetMode="External"/><Relationship Id="rId612" Type="http://schemas.openxmlformats.org/officeDocument/2006/relationships/hyperlink" Target="https://en.wikipedia.org/wiki/Atlanta" TargetMode="External"/><Relationship Id="rId611" Type="http://schemas.openxmlformats.org/officeDocument/2006/relationships/hyperlink" Target="https://en.wikipedia.org/wiki/Forbes_Arena" TargetMode="External"/><Relationship Id="rId610" Type="http://schemas.openxmlformats.org/officeDocument/2006/relationships/hyperlink" Target="https://en.wikipedia.org/wiki/Colonial_Athletic_Association" TargetMode="External"/><Relationship Id="rId617" Type="http://schemas.openxmlformats.org/officeDocument/2006/relationships/hyperlink" Target="https://en.wikipedia.org/wiki/File:Outside_reese.jpg" TargetMode="External"/><Relationship Id="rId616" Type="http://schemas.openxmlformats.org/officeDocument/2006/relationships/hyperlink" Target="https://en.wikipedia.org/wiki/List_of_indoor_arenas_in_the_United_States" TargetMode="External"/><Relationship Id="rId615" Type="http://schemas.openxmlformats.org/officeDocument/2006/relationships/hyperlink" Target="https://en.wikipedia.org/wiki/Southern_Intercollegiate_Athletic_Conference" TargetMode="External"/><Relationship Id="rId614" Type="http://schemas.openxmlformats.org/officeDocument/2006/relationships/hyperlink" Target="https://en.wikipedia.org/wiki/Morehouse_College" TargetMode="External"/><Relationship Id="rId646" Type="http://schemas.openxmlformats.org/officeDocument/2006/relationships/hyperlink" Target="https://en.wikipedia.org/wiki/Brooks_Center" TargetMode="External"/><Relationship Id="rId645" Type="http://schemas.openxmlformats.org/officeDocument/2006/relationships/hyperlink" Target="https://en.wikipedia.org/wiki/File:Herb_Brooks_National_Hockey_Center.jpg" TargetMode="External"/><Relationship Id="rId644" Type="http://schemas.openxmlformats.org/officeDocument/2006/relationships/hyperlink" Target="https://en.wikipedia.org/wiki/ASUN_Conference" TargetMode="External"/><Relationship Id="rId643" Type="http://schemas.openxmlformats.org/officeDocument/2006/relationships/hyperlink" Target="https://en.wikipedia.org/wiki/North_Florida_Ospreys" TargetMode="External"/><Relationship Id="rId649" Type="http://schemas.openxmlformats.org/officeDocument/2006/relationships/hyperlink" Target="https://en.wikipedia.org/wiki/St._Cloud_State_Huskies" TargetMode="External"/><Relationship Id="rId648" Type="http://schemas.openxmlformats.org/officeDocument/2006/relationships/hyperlink" Target="https://en.wikipedia.org/wiki/Minnesota" TargetMode="External"/><Relationship Id="rId647" Type="http://schemas.openxmlformats.org/officeDocument/2006/relationships/hyperlink" Target="https://en.wikipedia.org/wiki/St._Cloud,_Minnesota" TargetMode="External"/><Relationship Id="rId642" Type="http://schemas.openxmlformats.org/officeDocument/2006/relationships/hyperlink" Target="https://en.wikipedia.org/wiki/Florida" TargetMode="External"/><Relationship Id="rId641" Type="http://schemas.openxmlformats.org/officeDocument/2006/relationships/hyperlink" Target="https://en.wikipedia.org/wiki/Jacksonville,_Florida" TargetMode="External"/><Relationship Id="rId640" Type="http://schemas.openxmlformats.org/officeDocument/2006/relationships/hyperlink" Target="https://en.wikipedia.org/wiki/UNF_Arena" TargetMode="External"/><Relationship Id="rId635" Type="http://schemas.openxmlformats.org/officeDocument/2006/relationships/hyperlink" Target="https://en.wikipedia.org/wiki/Lexington,_Virginia" TargetMode="External"/><Relationship Id="rId634" Type="http://schemas.openxmlformats.org/officeDocument/2006/relationships/hyperlink" Target="https://en.wikipedia.org/wiki/Cameron_Hall_(arena)" TargetMode="External"/><Relationship Id="rId633" Type="http://schemas.openxmlformats.org/officeDocument/2006/relationships/hyperlink" Target="https://en.wikipedia.org/wiki/Big_Ten" TargetMode="External"/><Relationship Id="rId632" Type="http://schemas.openxmlformats.org/officeDocument/2006/relationships/hyperlink" Target="https://en.wikipedia.org/wiki/Michigan_Wolverines_men%27s_ice_hockey" TargetMode="External"/><Relationship Id="rId639" Type="http://schemas.openxmlformats.org/officeDocument/2006/relationships/hyperlink" Target="https://en.wikipedia.org/wiki/File:UNF_Arena_2.JPG" TargetMode="External"/><Relationship Id="rId638" Type="http://schemas.openxmlformats.org/officeDocument/2006/relationships/hyperlink" Target="https://en.wikipedia.org/wiki/Southern_Conference" TargetMode="External"/><Relationship Id="rId637" Type="http://schemas.openxmlformats.org/officeDocument/2006/relationships/hyperlink" Target="https://en.wikipedia.org/wiki/VMI_Keydets" TargetMode="External"/><Relationship Id="rId636" Type="http://schemas.openxmlformats.org/officeDocument/2006/relationships/hyperlink" Target="https://en.wikipedia.org/wiki/Virginia" TargetMode="External"/><Relationship Id="rId631" Type="http://schemas.openxmlformats.org/officeDocument/2006/relationships/hyperlink" Target="https://en.wikipedia.org/wiki/Michigan" TargetMode="External"/><Relationship Id="rId630" Type="http://schemas.openxmlformats.org/officeDocument/2006/relationships/hyperlink" Target="https://en.wikipedia.org/wiki/Ann_Arbor,_Michigan" TargetMode="External"/><Relationship Id="rId609" Type="http://schemas.openxmlformats.org/officeDocument/2006/relationships/hyperlink" Target="https://en.wikipedia.org/wiki/Northeastern_Huskies_men%27s_basketball" TargetMode="External"/><Relationship Id="rId608" Type="http://schemas.openxmlformats.org/officeDocument/2006/relationships/hyperlink" Target="https://en.wikipedia.org/wiki/Massachusetts" TargetMode="External"/><Relationship Id="rId607" Type="http://schemas.openxmlformats.org/officeDocument/2006/relationships/hyperlink" Target="https://en.wikipedia.org/wiki/Boston" TargetMode="External"/><Relationship Id="rId602" Type="http://schemas.openxmlformats.org/officeDocument/2006/relationships/hyperlink" Target="https://en.wikipedia.org/wiki/Arkansas" TargetMode="External"/><Relationship Id="rId601" Type="http://schemas.openxmlformats.org/officeDocument/2006/relationships/hyperlink" Target="https://en.wikipedia.org/wiki/Conway,_Arkansas" TargetMode="External"/><Relationship Id="rId600" Type="http://schemas.openxmlformats.org/officeDocument/2006/relationships/hyperlink" Target="https://en.wikipedia.org/wiki/Farris_Center" TargetMode="External"/><Relationship Id="rId606" Type="http://schemas.openxmlformats.org/officeDocument/2006/relationships/hyperlink" Target="https://en.wikipedia.org/wiki/Matthews_Arena" TargetMode="External"/><Relationship Id="rId605" Type="http://schemas.openxmlformats.org/officeDocument/2006/relationships/hyperlink" Target="https://en.wikipedia.org/wiki/File:MatthewsArenaExterior2009.jpg" TargetMode="External"/><Relationship Id="rId604" Type="http://schemas.openxmlformats.org/officeDocument/2006/relationships/hyperlink" Target="https://en.wikipedia.org/wiki/ASUN_Conference" TargetMode="External"/><Relationship Id="rId603" Type="http://schemas.openxmlformats.org/officeDocument/2006/relationships/hyperlink" Target="https://en.wikipedia.org/wiki/Central_Arkansas_Bears_and_Sugar_Bears" TargetMode="External"/><Relationship Id="rId228" Type="http://schemas.openxmlformats.org/officeDocument/2006/relationships/hyperlink" Target="https://en.wikipedia.org/wiki/Jackson_State_Tigers_and_Lady_Tigers" TargetMode="External"/><Relationship Id="rId227" Type="http://schemas.openxmlformats.org/officeDocument/2006/relationships/hyperlink" Target="https://en.wikipedia.org/wiki/Mississippi" TargetMode="External"/><Relationship Id="rId226" Type="http://schemas.openxmlformats.org/officeDocument/2006/relationships/hyperlink" Target="https://en.wikipedia.org/wiki/Jackson,_Mississippi" TargetMode="External"/><Relationship Id="rId225" Type="http://schemas.openxmlformats.org/officeDocument/2006/relationships/hyperlink" Target="https://en.wikipedia.org/wiki/Williams_Assembly_Center" TargetMode="External"/><Relationship Id="rId229" Type="http://schemas.openxmlformats.org/officeDocument/2006/relationships/hyperlink" Target="https://en.wikipedia.org/wiki/Southwestern_Athletic_Conference" TargetMode="External"/><Relationship Id="rId220" Type="http://schemas.openxmlformats.org/officeDocument/2006/relationships/hyperlink" Target="https://en.wikipedia.org/wiki/Williams_Arena_at_Minges_Coliseum" TargetMode="External"/><Relationship Id="rId224" Type="http://schemas.openxmlformats.org/officeDocument/2006/relationships/hyperlink" Target="https://en.wikipedia.org/wiki/American_Athletic_Conference" TargetMode="External"/><Relationship Id="rId223" Type="http://schemas.openxmlformats.org/officeDocument/2006/relationships/hyperlink" Target="https://en.wikipedia.org/wiki/East_Carolina_Pirates" TargetMode="External"/><Relationship Id="rId222" Type="http://schemas.openxmlformats.org/officeDocument/2006/relationships/hyperlink" Target="https://en.wikipedia.org/wiki/North_Carolina" TargetMode="External"/><Relationship Id="rId221" Type="http://schemas.openxmlformats.org/officeDocument/2006/relationships/hyperlink" Target="https://en.wikipedia.org/wiki/Greenville,_North_Carolina" TargetMode="External"/><Relationship Id="rId217" Type="http://schemas.openxmlformats.org/officeDocument/2006/relationships/hyperlink" Target="https://en.wikipedia.org/wiki/North_Carolina_Tar_Heels_women%27s_basketball" TargetMode="External"/><Relationship Id="rId216" Type="http://schemas.openxmlformats.org/officeDocument/2006/relationships/hyperlink" Target="https://en.wikipedia.org/wiki/North_Carolina" TargetMode="External"/><Relationship Id="rId215" Type="http://schemas.openxmlformats.org/officeDocument/2006/relationships/hyperlink" Target="https://en.wikipedia.org/wiki/Chapel_Hill,_North_Carolina" TargetMode="External"/><Relationship Id="rId699" Type="http://schemas.openxmlformats.org/officeDocument/2006/relationships/hyperlink" Target="https://en.wikipedia.org/wiki/North_Carolina" TargetMode="External"/><Relationship Id="rId214" Type="http://schemas.openxmlformats.org/officeDocument/2006/relationships/hyperlink" Target="https://en.wikipedia.org/wiki/Carmichael_Arena" TargetMode="External"/><Relationship Id="rId698" Type="http://schemas.openxmlformats.org/officeDocument/2006/relationships/hyperlink" Target="https://en.wikipedia.org/wiki/Raleigh,_North_Carolina" TargetMode="External"/><Relationship Id="rId219" Type="http://schemas.openxmlformats.org/officeDocument/2006/relationships/hyperlink" Target="https://en.wikipedia.org/wiki/File:ECUMingesColiseum1.jpg" TargetMode="External"/><Relationship Id="rId218" Type="http://schemas.openxmlformats.org/officeDocument/2006/relationships/hyperlink" Target="https://en.wikipedia.org/wiki/Atlantic_Coast_Conference" TargetMode="External"/><Relationship Id="rId693" Type="http://schemas.openxmlformats.org/officeDocument/2006/relationships/hyperlink" Target="https://en.wikipedia.org/wiki/Arkansas" TargetMode="External"/><Relationship Id="rId692" Type="http://schemas.openxmlformats.org/officeDocument/2006/relationships/hyperlink" Target="https://en.wikipedia.org/wiki/Little_Rock,_Arkansas" TargetMode="External"/><Relationship Id="rId691" Type="http://schemas.openxmlformats.org/officeDocument/2006/relationships/hyperlink" Target="https://en.wikipedia.org/wiki/Jack_Stephens_Center" TargetMode="External"/><Relationship Id="rId690" Type="http://schemas.openxmlformats.org/officeDocument/2006/relationships/hyperlink" Target="https://en.wikipedia.org/wiki/Big_West_Conference" TargetMode="External"/><Relationship Id="rId213" Type="http://schemas.openxmlformats.org/officeDocument/2006/relationships/hyperlink" Target="https://en.wikipedia.org/wiki/Northern_Sun_Intercollegiate_Conference" TargetMode="External"/><Relationship Id="rId697" Type="http://schemas.openxmlformats.org/officeDocument/2006/relationships/hyperlink" Target="https://en.wikipedia.org/wiki/Reynolds_Coliseum" TargetMode="External"/><Relationship Id="rId212" Type="http://schemas.openxmlformats.org/officeDocument/2006/relationships/hyperlink" Target="https://en.wikipedia.org/wiki/Northern_State_Wolves" TargetMode="External"/><Relationship Id="rId696" Type="http://schemas.openxmlformats.org/officeDocument/2006/relationships/hyperlink" Target="https://en.wikipedia.org/wiki/File:ReynoldsColiseumOUTSIDE.jpg" TargetMode="External"/><Relationship Id="rId211" Type="http://schemas.openxmlformats.org/officeDocument/2006/relationships/hyperlink" Target="https://en.wikipedia.org/wiki/South_Dakota" TargetMode="External"/><Relationship Id="rId695" Type="http://schemas.openxmlformats.org/officeDocument/2006/relationships/hyperlink" Target="https://en.wikipedia.org/wiki/Ohio_Valley_Conference" TargetMode="External"/><Relationship Id="rId210" Type="http://schemas.openxmlformats.org/officeDocument/2006/relationships/hyperlink" Target="https://en.wikipedia.org/wiki/Aberdeen,_South_Dakota" TargetMode="External"/><Relationship Id="rId694" Type="http://schemas.openxmlformats.org/officeDocument/2006/relationships/hyperlink" Target="https://en.wikipedia.org/wiki/Little_Rock_Trojans" TargetMode="External"/><Relationship Id="rId249" Type="http://schemas.openxmlformats.org/officeDocument/2006/relationships/hyperlink" Target="https://en.wikipedia.org/wiki/Watsco_Center" TargetMode="External"/><Relationship Id="rId248" Type="http://schemas.openxmlformats.org/officeDocument/2006/relationships/hyperlink" Target="https://en.wikipedia.org/wiki/File:BankUnited_Center.JPG" TargetMode="External"/><Relationship Id="rId247" Type="http://schemas.openxmlformats.org/officeDocument/2006/relationships/hyperlink" Target="https://en.wikipedia.org/wiki/Southeastern_Conference" TargetMode="External"/><Relationship Id="rId242" Type="http://schemas.openxmlformats.org/officeDocument/2006/relationships/hyperlink" Target="https://en.wikipedia.org/wiki/File:Memorial_coliseum_LexingtonKY.jpg" TargetMode="External"/><Relationship Id="rId241" Type="http://schemas.openxmlformats.org/officeDocument/2006/relationships/hyperlink" Target="https://en.wikipedia.org/wiki/Big_Ten_Conference" TargetMode="External"/><Relationship Id="rId240" Type="http://schemas.openxmlformats.org/officeDocument/2006/relationships/hyperlink" Target="https://en.wikipedia.org/wiki/Rutgers_Scarlet_Knights" TargetMode="External"/><Relationship Id="rId246" Type="http://schemas.openxmlformats.org/officeDocument/2006/relationships/hyperlink" Target="https://en.wikipedia.org/wiki/Kentucky_Wildcats_women%27s_basketball" TargetMode="External"/><Relationship Id="rId245" Type="http://schemas.openxmlformats.org/officeDocument/2006/relationships/hyperlink" Target="https://en.wikipedia.org/wiki/Kentucky" TargetMode="External"/><Relationship Id="rId244" Type="http://schemas.openxmlformats.org/officeDocument/2006/relationships/hyperlink" Target="https://en.wikipedia.org/wiki/Lexington,_Kentucky" TargetMode="External"/><Relationship Id="rId243" Type="http://schemas.openxmlformats.org/officeDocument/2006/relationships/hyperlink" Target="https://en.wikipedia.org/wiki/Memorial_Coliseum_(University_of_Kentucky)" TargetMode="External"/><Relationship Id="rId239" Type="http://schemas.openxmlformats.org/officeDocument/2006/relationships/hyperlink" Target="https://en.wikipedia.org/wiki/New_Jersey" TargetMode="External"/><Relationship Id="rId238" Type="http://schemas.openxmlformats.org/officeDocument/2006/relationships/hyperlink" Target="https://en.wikipedia.org/wiki/Piscataway,_New_Jersey" TargetMode="External"/><Relationship Id="rId237" Type="http://schemas.openxmlformats.org/officeDocument/2006/relationships/hyperlink" Target="https://en.wikipedia.org/wiki/Jersey_Mike%27s_Arena" TargetMode="External"/><Relationship Id="rId236" Type="http://schemas.openxmlformats.org/officeDocument/2006/relationships/hyperlink" Target="https://en.wikipedia.org/wiki/File:Louis_Brown_Athletic_Center_outside.JPG" TargetMode="External"/><Relationship Id="rId231" Type="http://schemas.openxmlformats.org/officeDocument/2006/relationships/hyperlink" Target="https://en.wikipedia.org/wiki/Holt_Arena" TargetMode="External"/><Relationship Id="rId230" Type="http://schemas.openxmlformats.org/officeDocument/2006/relationships/hyperlink" Target="https://en.wikipedia.org/wiki/File:Holt_Arena,_Idaho_State_University,_Pocatello,_Idaho.jpg" TargetMode="External"/><Relationship Id="rId235" Type="http://schemas.openxmlformats.org/officeDocument/2006/relationships/hyperlink" Target="https://en.wikipedia.org/wiki/Big_Sky_Conference" TargetMode="External"/><Relationship Id="rId234" Type="http://schemas.openxmlformats.org/officeDocument/2006/relationships/hyperlink" Target="https://en.wikipedia.org/wiki/Idaho_State_Bengals_men%27s_basketball" TargetMode="External"/><Relationship Id="rId233" Type="http://schemas.openxmlformats.org/officeDocument/2006/relationships/hyperlink" Target="https://en.wikipedia.org/wiki/Idaho" TargetMode="External"/><Relationship Id="rId232" Type="http://schemas.openxmlformats.org/officeDocument/2006/relationships/hyperlink" Target="https://en.wikipedia.org/wiki/Pocatello,_Idaho" TargetMode="External"/><Relationship Id="rId1015" Type="http://schemas.openxmlformats.org/officeDocument/2006/relationships/hyperlink" Target="https://en.wikipedia.org/wiki/List_of_indoor_arenas_in_the_United_States" TargetMode="External"/><Relationship Id="rId1016" Type="http://schemas.openxmlformats.org/officeDocument/2006/relationships/hyperlink" Target="https://en.wikipedia.org/wiki/List_of_indoor_arenas_in_the_United_States" TargetMode="External"/><Relationship Id="rId1017" Type="http://schemas.openxmlformats.org/officeDocument/2006/relationships/hyperlink" Target="https://en.wikipedia.org/wiki/List_of_indoor_arenas_in_the_United_States" TargetMode="External"/><Relationship Id="rId1018" Type="http://schemas.openxmlformats.org/officeDocument/2006/relationships/hyperlink" Target="https://en.wikipedia.org/wiki/List_of_indoor_arenas_in_the_United_States" TargetMode="External"/><Relationship Id="rId1019" Type="http://schemas.openxmlformats.org/officeDocument/2006/relationships/hyperlink" Target="https://en.wikipedia.org/wiki/List_of_indoor_arenas_in_the_United_States" TargetMode="External"/><Relationship Id="rId668" Type="http://schemas.openxmlformats.org/officeDocument/2006/relationships/hyperlink" Target="https://en.wikipedia.org/wiki/File:Corbett_Sports_Center_Exterior.jpg" TargetMode="External"/><Relationship Id="rId667" Type="http://schemas.openxmlformats.org/officeDocument/2006/relationships/hyperlink" Target="https://en.wikipedia.org/wiki/Summit_League" TargetMode="External"/><Relationship Id="rId666" Type="http://schemas.openxmlformats.org/officeDocument/2006/relationships/hyperlink" Target="https://en.wikipedia.org/wiki/North_Dakota_State_Bison" TargetMode="External"/><Relationship Id="rId665" Type="http://schemas.openxmlformats.org/officeDocument/2006/relationships/hyperlink" Target="https://en.wikipedia.org/wiki/North_Dakota" TargetMode="External"/><Relationship Id="rId669" Type="http://schemas.openxmlformats.org/officeDocument/2006/relationships/hyperlink" Target="https://en.wikipedia.org/wiki/Corbett_Sports_Center" TargetMode="External"/><Relationship Id="rId660" Type="http://schemas.openxmlformats.org/officeDocument/2006/relationships/hyperlink" Target="https://en.wikipedia.org/wiki/Maryland" TargetMode="External"/><Relationship Id="rId1010" Type="http://schemas.openxmlformats.org/officeDocument/2006/relationships/hyperlink" Target="https://en.wikipedia.org/wiki/List_of_indoor_arenas_in_the_United_States" TargetMode="External"/><Relationship Id="rId664" Type="http://schemas.openxmlformats.org/officeDocument/2006/relationships/hyperlink" Target="https://en.wikipedia.org/wiki/Fargo,_North_Dakota" TargetMode="External"/><Relationship Id="rId1011" Type="http://schemas.openxmlformats.org/officeDocument/2006/relationships/hyperlink" Target="https://en.wikipedia.org/wiki/List_of_indoor_arenas_in_the_United_States" TargetMode="External"/><Relationship Id="rId663" Type="http://schemas.openxmlformats.org/officeDocument/2006/relationships/hyperlink" Target="https://en.wikipedia.org/wiki/Scheels_Center" TargetMode="External"/><Relationship Id="rId1012" Type="http://schemas.openxmlformats.org/officeDocument/2006/relationships/hyperlink" Target="https://en.wikipedia.org/wiki/List_of_indoor_arenas_in_the_United_States" TargetMode="External"/><Relationship Id="rId662" Type="http://schemas.openxmlformats.org/officeDocument/2006/relationships/hyperlink" Target="https://en.wikipedia.org/wiki/Patriot_League" TargetMode="External"/><Relationship Id="rId1013" Type="http://schemas.openxmlformats.org/officeDocument/2006/relationships/hyperlink" Target="https://en.wikipedia.org/wiki/List_of_indoor_arenas_in_the_United_States" TargetMode="External"/><Relationship Id="rId661" Type="http://schemas.openxmlformats.org/officeDocument/2006/relationships/hyperlink" Target="https://en.wikipedia.org/wiki/Navy_Midshipmen" TargetMode="External"/><Relationship Id="rId1014" Type="http://schemas.openxmlformats.org/officeDocument/2006/relationships/hyperlink" Target="https://en.wikipedia.org/wiki/List_of_indoor_arenas_in_the_United_States" TargetMode="External"/><Relationship Id="rId1004" Type="http://schemas.openxmlformats.org/officeDocument/2006/relationships/hyperlink" Target="https://en.wikipedia.org/wiki/List_of_National_Hockey_League_arenas" TargetMode="External"/><Relationship Id="rId1005" Type="http://schemas.openxmlformats.org/officeDocument/2006/relationships/hyperlink" Target="https://en.wikipedia.org/wiki/List_of_U.S._stadiums_by_capacity" TargetMode="External"/><Relationship Id="rId1006" Type="http://schemas.openxmlformats.org/officeDocument/2006/relationships/hyperlink" Target="https://en.wikipedia.org/wiki/List_of_swimming_pools_in_the_United_States" TargetMode="External"/><Relationship Id="rId1007" Type="http://schemas.openxmlformats.org/officeDocument/2006/relationships/hyperlink" Target="https://en.wikipedia.org/wiki/List_of_indoor_arenas_by_capacity" TargetMode="External"/><Relationship Id="rId1008" Type="http://schemas.openxmlformats.org/officeDocument/2006/relationships/hyperlink" Target="https://en.wikipedia.org/wiki/Lists_of_stadiums" TargetMode="External"/><Relationship Id="rId1009" Type="http://schemas.openxmlformats.org/officeDocument/2006/relationships/hyperlink" Target="https://en.wikipedia.org/w/index.php?title=List_of_indoor_arenas_in_the_United_States&amp;action=edit&amp;section=8" TargetMode="External"/><Relationship Id="rId657" Type="http://schemas.openxmlformats.org/officeDocument/2006/relationships/hyperlink" Target="https://en.wikipedia.org/wiki/File:Alumni_Hall_Entrance_(Navy).jpg" TargetMode="External"/><Relationship Id="rId656" Type="http://schemas.openxmlformats.org/officeDocument/2006/relationships/hyperlink" Target="https://en.wikipedia.org/wiki/Conference_USA" TargetMode="External"/><Relationship Id="rId655" Type="http://schemas.openxmlformats.org/officeDocument/2006/relationships/hyperlink" Target="https://en.wikipedia.org/wiki/Rice_Owls" TargetMode="External"/><Relationship Id="rId654" Type="http://schemas.openxmlformats.org/officeDocument/2006/relationships/hyperlink" Target="https://en.wikipedia.org/wiki/Texas" TargetMode="External"/><Relationship Id="rId659" Type="http://schemas.openxmlformats.org/officeDocument/2006/relationships/hyperlink" Target="https://en.wikipedia.org/wiki/Annapolis,_Maryland" TargetMode="External"/><Relationship Id="rId658" Type="http://schemas.openxmlformats.org/officeDocument/2006/relationships/hyperlink" Target="https://en.wikipedia.org/wiki/Alumni_Hall_(Navy)" TargetMode="External"/><Relationship Id="rId653" Type="http://schemas.openxmlformats.org/officeDocument/2006/relationships/hyperlink" Target="https://en.wikipedia.org/wiki/Houston" TargetMode="External"/><Relationship Id="rId1000" Type="http://schemas.openxmlformats.org/officeDocument/2006/relationships/hyperlink" Target="https://commons.wikimedia.org/wiki/Category:Indoor_arenas_in_the_United_States" TargetMode="External"/><Relationship Id="rId652" Type="http://schemas.openxmlformats.org/officeDocument/2006/relationships/hyperlink" Target="https://en.wikipedia.org/wiki/Tudor_Fieldhouse" TargetMode="External"/><Relationship Id="rId1001" Type="http://schemas.openxmlformats.org/officeDocument/2006/relationships/hyperlink" Target="https://en.wikipedia.org/wiki/List_of_NCAA_Division_I_basketball_arenas" TargetMode="External"/><Relationship Id="rId651" Type="http://schemas.openxmlformats.org/officeDocument/2006/relationships/hyperlink" Target="https://en.wikipedia.org/wiki/File:TudorFieldhouse.jpg" TargetMode="External"/><Relationship Id="rId1002" Type="http://schemas.openxmlformats.org/officeDocument/2006/relationships/hyperlink" Target="https://en.wikipedia.org/wiki/List_of_NCAA_Division_I_ice_hockey_arenas" TargetMode="External"/><Relationship Id="rId650" Type="http://schemas.openxmlformats.org/officeDocument/2006/relationships/hyperlink" Target="https://en.wikipedia.org/wiki/National_Collegiate_Hockey_Conference" TargetMode="External"/><Relationship Id="rId1003" Type="http://schemas.openxmlformats.org/officeDocument/2006/relationships/hyperlink" Target="https://en.wikipedia.org/wiki/List_of_NBA_arenas" TargetMode="External"/><Relationship Id="rId206" Type="http://schemas.openxmlformats.org/officeDocument/2006/relationships/hyperlink" Target="https://en.wikipedia.org/wiki/Mississippi" TargetMode="External"/><Relationship Id="rId205" Type="http://schemas.openxmlformats.org/officeDocument/2006/relationships/hyperlink" Target="https://en.wikipedia.org/wiki/Hattiesburg,_Mississippi" TargetMode="External"/><Relationship Id="rId689" Type="http://schemas.openxmlformats.org/officeDocument/2006/relationships/hyperlink" Target="https://en.wikipedia.org/wiki/UC_Santa_Barbara_Gauchos" TargetMode="External"/><Relationship Id="rId204" Type="http://schemas.openxmlformats.org/officeDocument/2006/relationships/hyperlink" Target="https://en.wikipedia.org/wiki/Reed_Green_Coliseum" TargetMode="External"/><Relationship Id="rId688" Type="http://schemas.openxmlformats.org/officeDocument/2006/relationships/hyperlink" Target="https://en.wikipedia.org/wiki/California" TargetMode="External"/><Relationship Id="rId203" Type="http://schemas.openxmlformats.org/officeDocument/2006/relationships/hyperlink" Target="https://en.wikipedia.org/wiki/Conference_USA" TargetMode="External"/><Relationship Id="rId687" Type="http://schemas.openxmlformats.org/officeDocument/2006/relationships/hyperlink" Target="https://en.wikipedia.org/wiki/Santa_Barbara,_California" TargetMode="External"/><Relationship Id="rId209" Type="http://schemas.openxmlformats.org/officeDocument/2006/relationships/hyperlink" Target="https://en.wikipedia.org/wiki/Wachs_Arena" TargetMode="External"/><Relationship Id="rId208" Type="http://schemas.openxmlformats.org/officeDocument/2006/relationships/hyperlink" Target="https://en.wikipedia.org/wiki/Sun_Belt_Conference" TargetMode="External"/><Relationship Id="rId207" Type="http://schemas.openxmlformats.org/officeDocument/2006/relationships/hyperlink" Target="https://en.wikipedia.org/wiki/Southern_Miss_Golden_Eagles" TargetMode="External"/><Relationship Id="rId682" Type="http://schemas.openxmlformats.org/officeDocument/2006/relationships/hyperlink" Target="https://en.wikipedia.org/wiki/New_York_(state)" TargetMode="External"/><Relationship Id="rId681" Type="http://schemas.openxmlformats.org/officeDocument/2006/relationships/hyperlink" Target="https://en.wikipedia.org/wiki/Queens" TargetMode="External"/><Relationship Id="rId680" Type="http://schemas.openxmlformats.org/officeDocument/2006/relationships/hyperlink" Target="https://en.wikipedia.org/wiki/Carnesecca_Arena" TargetMode="External"/><Relationship Id="rId202" Type="http://schemas.openxmlformats.org/officeDocument/2006/relationships/hyperlink" Target="https://en.wikipedia.org/wiki/Louisiana_Tech_Bulldogs_and_Lady_Techsters" TargetMode="External"/><Relationship Id="rId686" Type="http://schemas.openxmlformats.org/officeDocument/2006/relationships/hyperlink" Target="https://en.wikipedia.org/wiki/UC_Santa_Barbara_Events_Center" TargetMode="External"/><Relationship Id="rId201" Type="http://schemas.openxmlformats.org/officeDocument/2006/relationships/hyperlink" Target="https://en.wikipedia.org/wiki/Louisiana" TargetMode="External"/><Relationship Id="rId685" Type="http://schemas.openxmlformats.org/officeDocument/2006/relationships/hyperlink" Target="https://en.wikipedia.org/wiki/File:UC_Santa_Barbara_Events_Center_-_Thunderdome.jpg" TargetMode="External"/><Relationship Id="rId200" Type="http://schemas.openxmlformats.org/officeDocument/2006/relationships/hyperlink" Target="https://en.wikipedia.org/wiki/Ruston,_Louisiana" TargetMode="External"/><Relationship Id="rId684" Type="http://schemas.openxmlformats.org/officeDocument/2006/relationships/hyperlink" Target="https://en.wikipedia.org/wiki/Big_East_Conference" TargetMode="External"/><Relationship Id="rId683" Type="http://schemas.openxmlformats.org/officeDocument/2006/relationships/hyperlink" Target="https://en.wikipedia.org/wiki/St._John%27s_Red_Storm_women%27s_basketball" TargetMode="External"/><Relationship Id="rId1026" Type="http://schemas.openxmlformats.org/officeDocument/2006/relationships/drawing" Target="../drawings/drawing5.xml"/><Relationship Id="rId679" Type="http://schemas.openxmlformats.org/officeDocument/2006/relationships/hyperlink" Target="https://en.wikipedia.org/wiki/File:Carnesecca_Arena.jpg" TargetMode="External"/><Relationship Id="rId678" Type="http://schemas.openxmlformats.org/officeDocument/2006/relationships/hyperlink" Target="https://en.wikipedia.org/wiki/Big_West_Conference" TargetMode="External"/><Relationship Id="rId677" Type="http://schemas.openxmlformats.org/officeDocument/2006/relationships/hyperlink" Target="https://en.wikipedia.org/wiki/UC_Irvine_Anteaters" TargetMode="External"/><Relationship Id="rId676" Type="http://schemas.openxmlformats.org/officeDocument/2006/relationships/hyperlink" Target="https://en.wikipedia.org/wiki/California" TargetMode="External"/><Relationship Id="rId671" Type="http://schemas.openxmlformats.org/officeDocument/2006/relationships/hyperlink" Target="https://en.wikipedia.org/wiki/North_Carolina" TargetMode="External"/><Relationship Id="rId670" Type="http://schemas.openxmlformats.org/officeDocument/2006/relationships/hyperlink" Target="https://en.wikipedia.org/wiki/Greensboro,_North_Carolina" TargetMode="External"/><Relationship Id="rId1020" Type="http://schemas.openxmlformats.org/officeDocument/2006/relationships/hyperlink" Target="https://en.wikipedia.org/wiki/List_of_indoor_arenas_in_the_United_States" TargetMode="External"/><Relationship Id="rId1021" Type="http://schemas.openxmlformats.org/officeDocument/2006/relationships/hyperlink" Target="https://en.wikipedia.org/wiki/List_of_indoor_arenas_in_the_United_States" TargetMode="External"/><Relationship Id="rId675" Type="http://schemas.openxmlformats.org/officeDocument/2006/relationships/hyperlink" Target="https://en.wikipedia.org/wiki/Irvine,_California" TargetMode="External"/><Relationship Id="rId1022" Type="http://schemas.openxmlformats.org/officeDocument/2006/relationships/hyperlink" Target="https://en.wikipedia.org/wiki/List_of_indoor_arenas_in_the_United_States" TargetMode="External"/><Relationship Id="rId674" Type="http://schemas.openxmlformats.org/officeDocument/2006/relationships/hyperlink" Target="https://en.wikipedia.org/wiki/Bren_Events_Center" TargetMode="External"/><Relationship Id="rId1023" Type="http://schemas.openxmlformats.org/officeDocument/2006/relationships/hyperlink" Target="https://en.wikipedia.org/wiki/List_of_indoor_arenas_in_the_United_States" TargetMode="External"/><Relationship Id="rId673" Type="http://schemas.openxmlformats.org/officeDocument/2006/relationships/hyperlink" Target="https://en.wikipedia.org/wiki/Big_South_Conference" TargetMode="External"/><Relationship Id="rId1024" Type="http://schemas.openxmlformats.org/officeDocument/2006/relationships/hyperlink" Target="https://en.wikipedia.org/wiki/List_of_indoor_arenas_in_the_United_States" TargetMode="External"/><Relationship Id="rId672" Type="http://schemas.openxmlformats.org/officeDocument/2006/relationships/hyperlink" Target="https://en.wikipedia.org/wiki/North_Carolina_A%26T_Aggies" TargetMode="External"/><Relationship Id="rId1025" Type="http://schemas.openxmlformats.org/officeDocument/2006/relationships/hyperlink" Target="https://en.wikipedia.org/wiki/List_of_indoor_arenas_in_the_United_States" TargetMode="External"/><Relationship Id="rId190" Type="http://schemas.openxmlformats.org/officeDocument/2006/relationships/hyperlink" Target="https://en.wikipedia.org/wiki/Detroit_Mercy_Titans" TargetMode="External"/><Relationship Id="rId194" Type="http://schemas.openxmlformats.org/officeDocument/2006/relationships/hyperlink" Target="https://en.wikipedia.org/wiki/Houston" TargetMode="External"/><Relationship Id="rId193" Type="http://schemas.openxmlformats.org/officeDocument/2006/relationships/hyperlink" Target="https://en.wikipedia.org/wiki/Health_and_Physical_Education_Arena" TargetMode="External"/><Relationship Id="rId192" Type="http://schemas.openxmlformats.org/officeDocument/2006/relationships/hyperlink" Target="https://en.wikipedia.org/wiki/File:HPEFront.jpg" TargetMode="External"/><Relationship Id="rId191" Type="http://schemas.openxmlformats.org/officeDocument/2006/relationships/hyperlink" Target="https://en.wikipedia.org/wiki/Horizon_League" TargetMode="External"/><Relationship Id="rId187" Type="http://schemas.openxmlformats.org/officeDocument/2006/relationships/hyperlink" Target="https://en.wikipedia.org/wiki/Calihan_Hall" TargetMode="External"/><Relationship Id="rId186" Type="http://schemas.openxmlformats.org/officeDocument/2006/relationships/hyperlink" Target="https://en.wikipedia.org/wiki/File:CalihanHallUDM.jpg" TargetMode="External"/><Relationship Id="rId185" Type="http://schemas.openxmlformats.org/officeDocument/2006/relationships/hyperlink" Target="https://en.wikipedia.org/wiki/Sun_Belt_Conference" TargetMode="External"/><Relationship Id="rId184" Type="http://schemas.openxmlformats.org/officeDocument/2006/relationships/hyperlink" Target="https://en.wikipedia.org/wiki/Appalachian_State_Mountaineers" TargetMode="External"/><Relationship Id="rId189" Type="http://schemas.openxmlformats.org/officeDocument/2006/relationships/hyperlink" Target="https://en.wikipedia.org/wiki/Michigan" TargetMode="External"/><Relationship Id="rId188" Type="http://schemas.openxmlformats.org/officeDocument/2006/relationships/hyperlink" Target="https://en.wikipedia.org/wiki/Detroit" TargetMode="External"/><Relationship Id="rId183" Type="http://schemas.openxmlformats.org/officeDocument/2006/relationships/hyperlink" Target="https://en.wikipedia.org/wiki/North_Carolina" TargetMode="External"/><Relationship Id="rId182" Type="http://schemas.openxmlformats.org/officeDocument/2006/relationships/hyperlink" Target="https://en.wikipedia.org/wiki/Boone,_North_Carolina" TargetMode="External"/><Relationship Id="rId181" Type="http://schemas.openxmlformats.org/officeDocument/2006/relationships/hyperlink" Target="https://en.wikipedia.org/wiki/George_M._Holmes_Convocation_Center" TargetMode="External"/><Relationship Id="rId180" Type="http://schemas.openxmlformats.org/officeDocument/2006/relationships/hyperlink" Target="https://en.wikipedia.org/wiki/File:AppHolmesCenter2.jpg" TargetMode="External"/><Relationship Id="rId176" Type="http://schemas.openxmlformats.org/officeDocument/2006/relationships/hyperlink" Target="https://en.wikipedia.org/wiki/Carbondale,_Illinois" TargetMode="External"/><Relationship Id="rId175" Type="http://schemas.openxmlformats.org/officeDocument/2006/relationships/hyperlink" Target="https://en.wikipedia.org/wiki/Banterra_Center" TargetMode="External"/><Relationship Id="rId174" Type="http://schemas.openxmlformats.org/officeDocument/2006/relationships/hyperlink" Target="https://en.wikipedia.org/wiki/File:BanterraCenterEntrance.jpg" TargetMode="External"/><Relationship Id="rId173" Type="http://schemas.openxmlformats.org/officeDocument/2006/relationships/hyperlink" Target="https://en.wikipedia.org/wiki/American_Athletic_Conference" TargetMode="External"/><Relationship Id="rId179" Type="http://schemas.openxmlformats.org/officeDocument/2006/relationships/hyperlink" Target="https://en.wikipedia.org/wiki/Missouri_Valley_Conference" TargetMode="External"/><Relationship Id="rId178" Type="http://schemas.openxmlformats.org/officeDocument/2006/relationships/hyperlink" Target="https://en.wikipedia.org/wiki/Southern_Illinois_Salukis" TargetMode="External"/><Relationship Id="rId177" Type="http://schemas.openxmlformats.org/officeDocument/2006/relationships/hyperlink" Target="https://en.wikipedia.org/wiki/Illinois" TargetMode="External"/><Relationship Id="rId198" Type="http://schemas.openxmlformats.org/officeDocument/2006/relationships/hyperlink" Target="https://en.wikipedia.org/wiki/File:Thomas_Assembly_Center_-_Ruston,_Louisiana.jpg" TargetMode="External"/><Relationship Id="rId197" Type="http://schemas.openxmlformats.org/officeDocument/2006/relationships/hyperlink" Target="https://en.wikipedia.org/wiki/Southwestern_Athletic_Conference" TargetMode="External"/><Relationship Id="rId196" Type="http://schemas.openxmlformats.org/officeDocument/2006/relationships/hyperlink" Target="https://en.wikipedia.org/wiki/Texas_Southern_Tigers" TargetMode="External"/><Relationship Id="rId195" Type="http://schemas.openxmlformats.org/officeDocument/2006/relationships/hyperlink" Target="https://en.wikipedia.org/wiki/Texas" TargetMode="External"/><Relationship Id="rId199" Type="http://schemas.openxmlformats.org/officeDocument/2006/relationships/hyperlink" Target="https://en.wikipedia.org/wiki/Thomas_Assembly_Center" TargetMode="External"/><Relationship Id="rId150" Type="http://schemas.openxmlformats.org/officeDocument/2006/relationships/hyperlink" Target="https://en.wikipedia.org/wiki/Big_12_Conference" TargetMode="External"/><Relationship Id="rId149" Type="http://schemas.openxmlformats.org/officeDocument/2006/relationships/hyperlink" Target="https://en.wikipedia.org/wiki/TCU_Horned_Frogs" TargetMode="External"/><Relationship Id="rId148" Type="http://schemas.openxmlformats.org/officeDocument/2006/relationships/hyperlink" Target="https://en.wikipedia.org/wiki/Texas" TargetMode="External"/><Relationship Id="rId143" Type="http://schemas.openxmlformats.org/officeDocument/2006/relationships/hyperlink" Target="https://en.wikipedia.org/wiki/Utah_Valley_Wolverines" TargetMode="External"/><Relationship Id="rId142" Type="http://schemas.openxmlformats.org/officeDocument/2006/relationships/hyperlink" Target="https://en.wikipedia.org/wiki/Utah" TargetMode="External"/><Relationship Id="rId141" Type="http://schemas.openxmlformats.org/officeDocument/2006/relationships/hyperlink" Target="https://en.wikipedia.org/wiki/Orem,_Utah" TargetMode="External"/><Relationship Id="rId140" Type="http://schemas.openxmlformats.org/officeDocument/2006/relationships/hyperlink" Target="https://en.wikipedia.org/wiki/UCCU_Center" TargetMode="External"/><Relationship Id="rId147" Type="http://schemas.openxmlformats.org/officeDocument/2006/relationships/hyperlink" Target="https://en.wikipedia.org/wiki/Fort_Worth,_Texas" TargetMode="External"/><Relationship Id="rId146" Type="http://schemas.openxmlformats.org/officeDocument/2006/relationships/hyperlink" Target="https://en.wikipedia.org/wiki/Schollmaier_Arena" TargetMode="External"/><Relationship Id="rId145" Type="http://schemas.openxmlformats.org/officeDocument/2006/relationships/hyperlink" Target="https://en.wikipedia.org/wiki/File:Texas_Christian_University_June_2017_83_(Ed_and_Rae_Schollmaier_Arena).jpg" TargetMode="External"/><Relationship Id="rId144" Type="http://schemas.openxmlformats.org/officeDocument/2006/relationships/hyperlink" Target="https://en.wikipedia.org/wiki/Western_Athletic_Conference" TargetMode="External"/><Relationship Id="rId139" Type="http://schemas.openxmlformats.org/officeDocument/2006/relationships/hyperlink" Target="https://en.wikipedia.org/wiki/File:McKay_Events_Center_(2404015904).jpg" TargetMode="External"/><Relationship Id="rId138" Type="http://schemas.openxmlformats.org/officeDocument/2006/relationships/hyperlink" Target="https://en.wikipedia.org/wiki/Sun_Belt_Conference" TargetMode="External"/><Relationship Id="rId137" Type="http://schemas.openxmlformats.org/officeDocument/2006/relationships/hyperlink" Target="https://en.wikipedia.org/wiki/James_Madison_Dukes" TargetMode="External"/><Relationship Id="rId132" Type="http://schemas.openxmlformats.org/officeDocument/2006/relationships/hyperlink" Target="https://en.wikipedia.org/wiki/UAB_Blazers" TargetMode="External"/><Relationship Id="rId131" Type="http://schemas.openxmlformats.org/officeDocument/2006/relationships/hyperlink" Target="https://en.wikipedia.org/wiki/Alabama" TargetMode="External"/><Relationship Id="rId130" Type="http://schemas.openxmlformats.org/officeDocument/2006/relationships/hyperlink" Target="https://en.wikipedia.org/wiki/Birmingham,_Alabama" TargetMode="External"/><Relationship Id="rId136" Type="http://schemas.openxmlformats.org/officeDocument/2006/relationships/hyperlink" Target="https://en.wikipedia.org/wiki/Virginia" TargetMode="External"/><Relationship Id="rId135" Type="http://schemas.openxmlformats.org/officeDocument/2006/relationships/hyperlink" Target="https://en.wikipedia.org/wiki/Harrisonburg,_Virginia" TargetMode="External"/><Relationship Id="rId134" Type="http://schemas.openxmlformats.org/officeDocument/2006/relationships/hyperlink" Target="https://en.wikipedia.org/wiki/Atlantic_Union_Bank_Center" TargetMode="External"/><Relationship Id="rId133" Type="http://schemas.openxmlformats.org/officeDocument/2006/relationships/hyperlink" Target="https://en.wikipedia.org/wiki/Conference_USA" TargetMode="External"/><Relationship Id="rId172" Type="http://schemas.openxmlformats.org/officeDocument/2006/relationships/hyperlink" Target="https://en.wikipedia.org/wiki/Tulsa_Golden_Hurricane" TargetMode="External"/><Relationship Id="rId171" Type="http://schemas.openxmlformats.org/officeDocument/2006/relationships/hyperlink" Target="https://en.wikipedia.org/wiki/Oklahoma" TargetMode="External"/><Relationship Id="rId170" Type="http://schemas.openxmlformats.org/officeDocument/2006/relationships/hyperlink" Target="https://en.wikipedia.org/wiki/Tulsa,_Oklahoma" TargetMode="External"/><Relationship Id="rId165" Type="http://schemas.openxmlformats.org/officeDocument/2006/relationships/hyperlink" Target="https://en.wikipedia.org/wiki/Massachusetts" TargetMode="External"/><Relationship Id="rId164" Type="http://schemas.openxmlformats.org/officeDocument/2006/relationships/hyperlink" Target="https://en.wikipedia.org/wiki/Amherst,_Massachusetts" TargetMode="External"/><Relationship Id="rId163" Type="http://schemas.openxmlformats.org/officeDocument/2006/relationships/hyperlink" Target="https://en.wikipedia.org/wiki/William_D._Mullins_Memorial_Center" TargetMode="External"/><Relationship Id="rId162" Type="http://schemas.openxmlformats.org/officeDocument/2006/relationships/hyperlink" Target="https://en.wikipedia.org/wiki/File:William_D._Mullins_Center.jpg" TargetMode="External"/><Relationship Id="rId169" Type="http://schemas.openxmlformats.org/officeDocument/2006/relationships/hyperlink" Target="https://en.wikipedia.org/wiki/Reynolds_Center" TargetMode="External"/><Relationship Id="rId168" Type="http://schemas.openxmlformats.org/officeDocument/2006/relationships/hyperlink" Target="https://en.wikipedia.org/wiki/File:ReynoldsCenter.JPG" TargetMode="External"/><Relationship Id="rId167" Type="http://schemas.openxmlformats.org/officeDocument/2006/relationships/hyperlink" Target="https://en.wikipedia.org/wiki/Hockey_East" TargetMode="External"/><Relationship Id="rId166" Type="http://schemas.openxmlformats.org/officeDocument/2006/relationships/hyperlink" Target="https://en.wikipedia.org/wiki/UMass_Minutemen_ice_hockey" TargetMode="External"/><Relationship Id="rId161" Type="http://schemas.openxmlformats.org/officeDocument/2006/relationships/hyperlink" Target="https://en.wikipedia.org/wiki/Atlantic_Hockey" TargetMode="External"/><Relationship Id="rId160" Type="http://schemas.openxmlformats.org/officeDocument/2006/relationships/hyperlink" Target="https://en.wikipedia.org/wiki/Sacred_Heart_Pioneers_men%27s_ice_hockey" TargetMode="External"/><Relationship Id="rId159" Type="http://schemas.openxmlformats.org/officeDocument/2006/relationships/hyperlink" Target="https://en.wikipedia.org/wiki/Connecticut" TargetMode="External"/><Relationship Id="rId154" Type="http://schemas.openxmlformats.org/officeDocument/2006/relationships/hyperlink" Target="https://en.wikipedia.org/wiki/Virginia" TargetMode="External"/><Relationship Id="rId153" Type="http://schemas.openxmlformats.org/officeDocument/2006/relationships/hyperlink" Target="https://en.wikipedia.org/wiki/Norfolk,_Virginia" TargetMode="External"/><Relationship Id="rId152" Type="http://schemas.openxmlformats.org/officeDocument/2006/relationships/hyperlink" Target="https://en.wikipedia.org/wiki/Chartway_Arena" TargetMode="External"/><Relationship Id="rId151" Type="http://schemas.openxmlformats.org/officeDocument/2006/relationships/hyperlink" Target="https://en.wikipedia.org/wiki/File:Ted_Constant_Center.jpg" TargetMode="External"/><Relationship Id="rId158" Type="http://schemas.openxmlformats.org/officeDocument/2006/relationships/hyperlink" Target="https://en.wikipedia.org/wiki/Bridgeport,_Connecticut" TargetMode="External"/><Relationship Id="rId157" Type="http://schemas.openxmlformats.org/officeDocument/2006/relationships/hyperlink" Target="https://en.wikipedia.org/wiki/Total_Mortgage_Arena" TargetMode="External"/><Relationship Id="rId156" Type="http://schemas.openxmlformats.org/officeDocument/2006/relationships/hyperlink" Target="https://en.wikipedia.org/wiki/Sun_Belt_Conference" TargetMode="External"/><Relationship Id="rId155" Type="http://schemas.openxmlformats.org/officeDocument/2006/relationships/hyperlink" Target="https://en.wikipedia.org/wiki/Old_Dominion_Monarchs" TargetMode="External"/><Relationship Id="rId509" Type="http://schemas.openxmlformats.org/officeDocument/2006/relationships/hyperlink" Target="https://en.wikipedia.org/wiki/List_of_indoor_arenas_in_the_United_States" TargetMode="External"/><Relationship Id="rId508" Type="http://schemas.openxmlformats.org/officeDocument/2006/relationships/hyperlink" Target="https://en.wikipedia.org/wiki/Gulf_South_Conference" TargetMode="External"/><Relationship Id="rId503" Type="http://schemas.openxmlformats.org/officeDocument/2006/relationships/hyperlink" Target="https://en.wikipedia.org/wiki/Michigan_State_Spartans_men%27s_ice_hockey" TargetMode="External"/><Relationship Id="rId987" Type="http://schemas.openxmlformats.org/officeDocument/2006/relationships/hyperlink" Target="https://en.wikipedia.org/wiki/Reno,_Nevada" TargetMode="External"/><Relationship Id="rId502" Type="http://schemas.openxmlformats.org/officeDocument/2006/relationships/hyperlink" Target="https://en.wikipedia.org/wiki/Michigan" TargetMode="External"/><Relationship Id="rId986" Type="http://schemas.openxmlformats.org/officeDocument/2006/relationships/hyperlink" Target="https://en.wikipedia.org/wiki/Grand_Sierra_Resort" TargetMode="External"/><Relationship Id="rId501" Type="http://schemas.openxmlformats.org/officeDocument/2006/relationships/hyperlink" Target="https://en.wikipedia.org/wiki/East_Lansing,_Michigan" TargetMode="External"/><Relationship Id="rId985" Type="http://schemas.openxmlformats.org/officeDocument/2006/relationships/hyperlink" Target="https://en.wikipedia.org/wiki/St._Thomas_(Minnesota)_Tommies" TargetMode="External"/><Relationship Id="rId500" Type="http://schemas.openxmlformats.org/officeDocument/2006/relationships/hyperlink" Target="https://en.wikipedia.org/wiki/Munn_Ice_Arena" TargetMode="External"/><Relationship Id="rId984" Type="http://schemas.openxmlformats.org/officeDocument/2006/relationships/hyperlink" Target="https://en.wikipedia.org/wiki/Minnesota" TargetMode="External"/><Relationship Id="rId507" Type="http://schemas.openxmlformats.org/officeDocument/2006/relationships/hyperlink" Target="https://en.wikipedia.org/wiki/West_Georgia_Wolves" TargetMode="External"/><Relationship Id="rId506" Type="http://schemas.openxmlformats.org/officeDocument/2006/relationships/hyperlink" Target="https://en.wikipedia.org/wiki/Georgia_(U.S._state)" TargetMode="External"/><Relationship Id="rId505" Type="http://schemas.openxmlformats.org/officeDocument/2006/relationships/hyperlink" Target="https://en.wikipedia.org/wiki/Carrollton,_Georgia" TargetMode="External"/><Relationship Id="rId989" Type="http://schemas.openxmlformats.org/officeDocument/2006/relationships/hyperlink" Target="https://en.wikipedia.org/wiki/Nevada_Wolf_Pack_men%27s_basketball" TargetMode="External"/><Relationship Id="rId504" Type="http://schemas.openxmlformats.org/officeDocument/2006/relationships/hyperlink" Target="https://en.wikipedia.org/wiki/Big_Ten" TargetMode="External"/><Relationship Id="rId988" Type="http://schemas.openxmlformats.org/officeDocument/2006/relationships/hyperlink" Target="https://en.wikipedia.org/wiki/Nevada" TargetMode="External"/><Relationship Id="rId983" Type="http://schemas.openxmlformats.org/officeDocument/2006/relationships/hyperlink" Target="https://en.wikipedia.org/wiki/Saint_Paul,_MN" TargetMode="External"/><Relationship Id="rId982" Type="http://schemas.openxmlformats.org/officeDocument/2006/relationships/hyperlink" Target="https://en.wikipedia.org/wiki/Lee_and_Penny_Anderson_Arena" TargetMode="External"/><Relationship Id="rId981" Type="http://schemas.openxmlformats.org/officeDocument/2006/relationships/hyperlink" Target="https://en.wikipedia.org/wiki/Georgia_Southern_Eagles" TargetMode="External"/><Relationship Id="rId980" Type="http://schemas.openxmlformats.org/officeDocument/2006/relationships/hyperlink" Target="https://en.wikipedia.org/wiki/Georgia_(U.S._state)" TargetMode="External"/><Relationship Id="rId976" Type="http://schemas.openxmlformats.org/officeDocument/2006/relationships/hyperlink" Target="https://en.wikipedia.org/wiki/List_of_indoor_arenas_in_the_United_States" TargetMode="External"/><Relationship Id="rId975" Type="http://schemas.openxmlformats.org/officeDocument/2006/relationships/hyperlink" Target="https://en.wikipedia.org/wiki/Southern_Intercollegiate_Athletic_Conference" TargetMode="External"/><Relationship Id="rId974" Type="http://schemas.openxmlformats.org/officeDocument/2006/relationships/hyperlink" Target="https://en.wikipedia.org/wiki/Tuskegee_Golden_Tigers" TargetMode="External"/><Relationship Id="rId973" Type="http://schemas.openxmlformats.org/officeDocument/2006/relationships/hyperlink" Target="https://en.wikipedia.org/wiki/Alabama" TargetMode="External"/><Relationship Id="rId979" Type="http://schemas.openxmlformats.org/officeDocument/2006/relationships/hyperlink" Target="https://en.wikipedia.org/wiki/Statesboro,_Georgia" TargetMode="External"/><Relationship Id="rId978" Type="http://schemas.openxmlformats.org/officeDocument/2006/relationships/hyperlink" Target="https://en.wikipedia.org/w/index.php?title=Jack_and_Ruth_Ann_Hill_Convocation_Center&amp;action=edit&amp;redlink=1" TargetMode="External"/><Relationship Id="rId977" Type="http://schemas.openxmlformats.org/officeDocument/2006/relationships/hyperlink" Target="https://en.wikipedia.org/w/index.php?title=List_of_indoor_arenas_in_the_United_States&amp;action=edit&amp;section=6" TargetMode="External"/><Relationship Id="rId972" Type="http://schemas.openxmlformats.org/officeDocument/2006/relationships/hyperlink" Target="https://en.wikipedia.org/wiki/Tuskegee,_Alabama" TargetMode="External"/><Relationship Id="rId971" Type="http://schemas.openxmlformats.org/officeDocument/2006/relationships/hyperlink" Target="https://en.wikipedia.org/wiki/Southern_Intercollegiate_Athletic_Conference" TargetMode="External"/><Relationship Id="rId970" Type="http://schemas.openxmlformats.org/officeDocument/2006/relationships/hyperlink" Target="https://en.wikipedia.org/wiki/Savannah_State_Tigers_and_Lady_Tigers" TargetMode="External"/><Relationship Id="rId525" Type="http://schemas.openxmlformats.org/officeDocument/2006/relationships/hyperlink" Target="https://en.wikipedia.org/wiki/Miami_RedHawks" TargetMode="External"/><Relationship Id="rId524" Type="http://schemas.openxmlformats.org/officeDocument/2006/relationships/hyperlink" Target="https://en.wikipedia.org/wiki/Ohio" TargetMode="External"/><Relationship Id="rId523" Type="http://schemas.openxmlformats.org/officeDocument/2006/relationships/hyperlink" Target="https://en.wikipedia.org/wiki/Oxford,_Ohio" TargetMode="External"/><Relationship Id="rId522" Type="http://schemas.openxmlformats.org/officeDocument/2006/relationships/hyperlink" Target="https://en.wikipedia.org/wiki/Millett_Hall" TargetMode="External"/><Relationship Id="rId529" Type="http://schemas.openxmlformats.org/officeDocument/2006/relationships/hyperlink" Target="https://en.wikipedia.org/wiki/Kent,_Ohio" TargetMode="External"/><Relationship Id="rId528" Type="http://schemas.openxmlformats.org/officeDocument/2006/relationships/hyperlink" Target="https://en.wikipedia.org/wiki/Memorial_Athletic_and_Convocation_Center" TargetMode="External"/><Relationship Id="rId527" Type="http://schemas.openxmlformats.org/officeDocument/2006/relationships/hyperlink" Target="https://en.wikipedia.org/wiki/File:KSUMACC.JPG" TargetMode="External"/><Relationship Id="rId526" Type="http://schemas.openxmlformats.org/officeDocument/2006/relationships/hyperlink" Target="https://en.wikipedia.org/wiki/Mid-American_Conference" TargetMode="External"/><Relationship Id="rId521" Type="http://schemas.openxmlformats.org/officeDocument/2006/relationships/hyperlink" Target="https://en.wikipedia.org/wiki/File:Milllett_Hall_main_entrance_view_from_south.JPG" TargetMode="External"/><Relationship Id="rId520" Type="http://schemas.openxmlformats.org/officeDocument/2006/relationships/hyperlink" Target="https://en.wikipedia.org/wiki/Northern_Sun_Intercollegiate_Conference" TargetMode="External"/><Relationship Id="rId519" Type="http://schemas.openxmlformats.org/officeDocument/2006/relationships/hyperlink" Target="https://en.wikipedia.org/wiki/St._Cloud_State_Huskies" TargetMode="External"/><Relationship Id="rId514" Type="http://schemas.openxmlformats.org/officeDocument/2006/relationships/hyperlink" Target="https://en.wikipedia.org/wiki/Drake_Bulldogs" TargetMode="External"/><Relationship Id="rId998" Type="http://schemas.openxmlformats.org/officeDocument/2006/relationships/hyperlink" Target="https://en.wikipedia.org/wiki/Marshall_Thundering_Herd" TargetMode="External"/><Relationship Id="rId513" Type="http://schemas.openxmlformats.org/officeDocument/2006/relationships/hyperlink" Target="https://en.wikipedia.org/wiki/Iowa" TargetMode="External"/><Relationship Id="rId997" Type="http://schemas.openxmlformats.org/officeDocument/2006/relationships/hyperlink" Target="https://en.wikipedia.org/wiki/West_Virginia" TargetMode="External"/><Relationship Id="rId512" Type="http://schemas.openxmlformats.org/officeDocument/2006/relationships/hyperlink" Target="https://en.wikipedia.org/wiki/Des_Moines,_Iowa" TargetMode="External"/><Relationship Id="rId996" Type="http://schemas.openxmlformats.org/officeDocument/2006/relationships/hyperlink" Target="https://en.wikipedia.org/wiki/Huntington,_West_Virginia" TargetMode="External"/><Relationship Id="rId511" Type="http://schemas.openxmlformats.org/officeDocument/2006/relationships/hyperlink" Target="https://en.wikipedia.org/wiki/Knapp_Center" TargetMode="External"/><Relationship Id="rId995" Type="http://schemas.openxmlformats.org/officeDocument/2006/relationships/hyperlink" Target="https://en.wikipedia.org/wiki/LSU_Tigers_and_Lady_Tigers" TargetMode="External"/><Relationship Id="rId518" Type="http://schemas.openxmlformats.org/officeDocument/2006/relationships/hyperlink" Target="https://en.wikipedia.org/wiki/Minnesota" TargetMode="External"/><Relationship Id="rId517" Type="http://schemas.openxmlformats.org/officeDocument/2006/relationships/hyperlink" Target="https://en.wikipedia.org/wiki/St._Cloud,_Minnesota" TargetMode="External"/><Relationship Id="rId516" Type="http://schemas.openxmlformats.org/officeDocument/2006/relationships/hyperlink" Target="https://en.wikipedia.org/wiki/Halenbeck_Hall" TargetMode="External"/><Relationship Id="rId515" Type="http://schemas.openxmlformats.org/officeDocument/2006/relationships/hyperlink" Target="https://en.wikipedia.org/wiki/Missouri_Valley_Conference" TargetMode="External"/><Relationship Id="rId999" Type="http://schemas.openxmlformats.org/officeDocument/2006/relationships/hyperlink" Target="https://en.wikipedia.org/w/index.php?title=List_of_indoor_arenas_in_the_United_States&amp;action=edit&amp;section=7" TargetMode="External"/><Relationship Id="rId990" Type="http://schemas.openxmlformats.org/officeDocument/2006/relationships/hyperlink" Target="https://en.wikipedia.org/wiki/Tuscaloosa,_Alabama" TargetMode="External"/><Relationship Id="rId510" Type="http://schemas.openxmlformats.org/officeDocument/2006/relationships/hyperlink" Target="https://en.wikipedia.org/wiki/File:The_Knapp_Center.JPG" TargetMode="External"/><Relationship Id="rId994" Type="http://schemas.openxmlformats.org/officeDocument/2006/relationships/hyperlink" Target="https://en.wikipedia.org/wiki/Louisiana" TargetMode="External"/><Relationship Id="rId993" Type="http://schemas.openxmlformats.org/officeDocument/2006/relationships/hyperlink" Target="https://en.wikipedia.org/wiki/Baton_Rouge,_Louisiana" TargetMode="External"/><Relationship Id="rId992" Type="http://schemas.openxmlformats.org/officeDocument/2006/relationships/hyperlink" Target="https://en.wikipedia.org/wiki/Alabama_Crimson_Tide" TargetMode="External"/><Relationship Id="rId991" Type="http://schemas.openxmlformats.org/officeDocument/2006/relationships/hyperlink" Target="https://en.wikipedia.org/wiki/Alabama" TargetMode="External"/><Relationship Id="rId949" Type="http://schemas.openxmlformats.org/officeDocument/2006/relationships/hyperlink" Target="https://en.wikipedia.org/wiki/Emporia,_Kansas" TargetMode="External"/><Relationship Id="rId948" Type="http://schemas.openxmlformats.org/officeDocument/2006/relationships/hyperlink" Target="https://en.wikipedia.org/wiki/William_L._White_Auditorium" TargetMode="External"/><Relationship Id="rId943" Type="http://schemas.openxmlformats.org/officeDocument/2006/relationships/hyperlink" Target="https://en.wikipedia.org/wiki/Alaska_Airlines_Center" TargetMode="External"/><Relationship Id="rId942" Type="http://schemas.openxmlformats.org/officeDocument/2006/relationships/hyperlink" Target="https://en.wikipedia.org/wiki/File:Alaska_Airlines_Center_2015.jpg" TargetMode="External"/><Relationship Id="rId941" Type="http://schemas.openxmlformats.org/officeDocument/2006/relationships/hyperlink" Target="https://en.wikipedia.org/wiki/Great_American_Conference" TargetMode="External"/><Relationship Id="rId940" Type="http://schemas.openxmlformats.org/officeDocument/2006/relationships/hyperlink" Target="https://en.wikipedia.org/wiki/Southern_Nazarene_Crimson_Storm" TargetMode="External"/><Relationship Id="rId947" Type="http://schemas.openxmlformats.org/officeDocument/2006/relationships/hyperlink" Target="https://en.wikipedia.org/wiki/Great_Northwest_Athletic_Conference" TargetMode="External"/><Relationship Id="rId946" Type="http://schemas.openxmlformats.org/officeDocument/2006/relationships/hyperlink" Target="https://en.wikipedia.org/wiki/Alaska_Anchorage_Seawolves" TargetMode="External"/><Relationship Id="rId945" Type="http://schemas.openxmlformats.org/officeDocument/2006/relationships/hyperlink" Target="https://en.wikipedia.org/wiki/Alaska" TargetMode="External"/><Relationship Id="rId944" Type="http://schemas.openxmlformats.org/officeDocument/2006/relationships/hyperlink" Target="https://en.wikipedia.org/wiki/Anchorage,_Alaska" TargetMode="External"/><Relationship Id="rId939" Type="http://schemas.openxmlformats.org/officeDocument/2006/relationships/hyperlink" Target="https://en.wikipedia.org/wiki/Oklahoma" TargetMode="External"/><Relationship Id="rId938" Type="http://schemas.openxmlformats.org/officeDocument/2006/relationships/hyperlink" Target="https://en.wikipedia.org/wiki/Bethany,_Oklahoma" TargetMode="External"/><Relationship Id="rId937" Type="http://schemas.openxmlformats.org/officeDocument/2006/relationships/hyperlink" Target="https://en.wikipedia.org/wiki/Sawyer_Center" TargetMode="External"/><Relationship Id="rId932" Type="http://schemas.openxmlformats.org/officeDocument/2006/relationships/hyperlink" Target="https://en.wikipedia.org/wiki/Elizabeth_City,_North_Carolina" TargetMode="External"/><Relationship Id="rId931" Type="http://schemas.openxmlformats.org/officeDocument/2006/relationships/hyperlink" Target="https://en.wikipedia.org/w/index.php?title=R.L._Vaughn_Center&amp;action=edit&amp;redlink=1" TargetMode="External"/><Relationship Id="rId930" Type="http://schemas.openxmlformats.org/officeDocument/2006/relationships/hyperlink" Target="https://en.wikipedia.org/w/index.php?title=Michigan_Intercollegiate_Athletic_Conference&amp;action=edit&amp;redlink=1" TargetMode="External"/><Relationship Id="rId936" Type="http://schemas.openxmlformats.org/officeDocument/2006/relationships/hyperlink" Target="https://en.wikipedia.org/wiki/List_of_indoor_arenas_in_the_United_States" TargetMode="External"/><Relationship Id="rId935" Type="http://schemas.openxmlformats.org/officeDocument/2006/relationships/hyperlink" Target="https://en.wikipedia.org/wiki/Central_Intercollegiate_Athletic_Conference" TargetMode="External"/><Relationship Id="rId934" Type="http://schemas.openxmlformats.org/officeDocument/2006/relationships/hyperlink" Target="https://en.wikipedia.org/wiki/Elizabeth_City_State_Vikings" TargetMode="External"/><Relationship Id="rId933" Type="http://schemas.openxmlformats.org/officeDocument/2006/relationships/hyperlink" Target="https://en.wikipedia.org/wiki/North_Carolina" TargetMode="External"/><Relationship Id="rId965" Type="http://schemas.openxmlformats.org/officeDocument/2006/relationships/hyperlink" Target="https://en.wikipedia.org/wiki/Fort_Valley_State_Wildcats" TargetMode="External"/><Relationship Id="rId964" Type="http://schemas.openxmlformats.org/officeDocument/2006/relationships/hyperlink" Target="https://en.wikipedia.org/wiki/Georgia_(U.S._state)" TargetMode="External"/><Relationship Id="rId963" Type="http://schemas.openxmlformats.org/officeDocument/2006/relationships/hyperlink" Target="https://en.wikipedia.org/wiki/Fort_Valley,_Georgia" TargetMode="External"/><Relationship Id="rId962" Type="http://schemas.openxmlformats.org/officeDocument/2006/relationships/hyperlink" Target="https://en.wikipedia.org/wiki/List_of_indoor_arenas_in_the_United_States" TargetMode="External"/><Relationship Id="rId969" Type="http://schemas.openxmlformats.org/officeDocument/2006/relationships/hyperlink" Target="https://en.wikipedia.org/wiki/Georgia_(U.S._state)" TargetMode="External"/><Relationship Id="rId968" Type="http://schemas.openxmlformats.org/officeDocument/2006/relationships/hyperlink" Target="https://en.wikipedia.org/wiki/Savannah,_Georgia" TargetMode="External"/><Relationship Id="rId967" Type="http://schemas.openxmlformats.org/officeDocument/2006/relationships/hyperlink" Target="https://en.wikipedia.org/wiki/Tiger_Arena" TargetMode="External"/><Relationship Id="rId966" Type="http://schemas.openxmlformats.org/officeDocument/2006/relationships/hyperlink" Target="https://en.wikipedia.org/wiki/Southern_Intercollegiate_Athletic_Conference" TargetMode="External"/><Relationship Id="rId961" Type="http://schemas.openxmlformats.org/officeDocument/2006/relationships/hyperlink" Target="https://en.wikipedia.org/wiki/Southern_Intercollegiate_Athletic_Conference" TargetMode="External"/><Relationship Id="rId960" Type="http://schemas.openxmlformats.org/officeDocument/2006/relationships/hyperlink" Target="https://en.wikipedia.org/wiki/Albany_State_Golden_Rams" TargetMode="External"/><Relationship Id="rId959" Type="http://schemas.openxmlformats.org/officeDocument/2006/relationships/hyperlink" Target="https://en.wikipedia.org/wiki/Georgia_(U.S._state)" TargetMode="External"/><Relationship Id="rId954" Type="http://schemas.openxmlformats.org/officeDocument/2006/relationships/hyperlink" Target="https://en.wikipedia.org/wiki/Indiana,_Pennsylvania" TargetMode="External"/><Relationship Id="rId953" Type="http://schemas.openxmlformats.org/officeDocument/2006/relationships/hyperlink" Target="https://en.wikipedia.org/wiki/Kovalchick_Convention_and_Athletic_Complex" TargetMode="External"/><Relationship Id="rId952" Type="http://schemas.openxmlformats.org/officeDocument/2006/relationships/hyperlink" Target="https://en.wikipedia.org/wiki/Mid-America_Intercollegiate_Athletics_Association" TargetMode="External"/><Relationship Id="rId951" Type="http://schemas.openxmlformats.org/officeDocument/2006/relationships/hyperlink" Target="https://en.wikipedia.org/wiki/Emporia_State_Hornets" TargetMode="External"/><Relationship Id="rId958" Type="http://schemas.openxmlformats.org/officeDocument/2006/relationships/hyperlink" Target="https://en.wikipedia.org/wiki/Albany,_Georgia" TargetMode="External"/><Relationship Id="rId957" Type="http://schemas.openxmlformats.org/officeDocument/2006/relationships/hyperlink" Target="https://en.wikipedia.org/wiki/Pennsylvania_State_Athletic_Conference" TargetMode="External"/><Relationship Id="rId956" Type="http://schemas.openxmlformats.org/officeDocument/2006/relationships/hyperlink" Target="https://en.wikipedia.org/wiki/IUP_Crimson_Hawks" TargetMode="External"/><Relationship Id="rId955" Type="http://schemas.openxmlformats.org/officeDocument/2006/relationships/hyperlink" Target="https://en.wikipedia.org/wiki/Pennsylvania" TargetMode="External"/><Relationship Id="rId950" Type="http://schemas.openxmlformats.org/officeDocument/2006/relationships/hyperlink" Target="https://en.wikipedia.org/wiki/Kansas" TargetMode="External"/><Relationship Id="rId590" Type="http://schemas.openxmlformats.org/officeDocument/2006/relationships/hyperlink" Target="https://en.wikipedia.org/wiki/Normal,_Alabama" TargetMode="External"/><Relationship Id="rId107" Type="http://schemas.openxmlformats.org/officeDocument/2006/relationships/hyperlink" Target="https://en.wikipedia.org/wiki/Pennsylvania" TargetMode="External"/><Relationship Id="rId106" Type="http://schemas.openxmlformats.org/officeDocument/2006/relationships/hyperlink" Target="https://en.wikipedia.org/wiki/Philadelphia" TargetMode="External"/><Relationship Id="rId105" Type="http://schemas.openxmlformats.org/officeDocument/2006/relationships/hyperlink" Target="https://en.wikipedia.org/wiki/Palestra" TargetMode="External"/><Relationship Id="rId589" Type="http://schemas.openxmlformats.org/officeDocument/2006/relationships/hyperlink" Target="https://en.wikipedia.org/wiki/Alabama_A%26M_Events_Center" TargetMode="External"/><Relationship Id="rId104" Type="http://schemas.openxmlformats.org/officeDocument/2006/relationships/hyperlink" Target="https://en.wikipedia.org/wiki/File:Palestra.jpg" TargetMode="External"/><Relationship Id="rId588" Type="http://schemas.openxmlformats.org/officeDocument/2006/relationships/hyperlink" Target="https://en.wikipedia.org/wiki/Hockey_East" TargetMode="External"/><Relationship Id="rId109" Type="http://schemas.openxmlformats.org/officeDocument/2006/relationships/hyperlink" Target="https://en.wikipedia.org/wiki/Ivy_League" TargetMode="External"/><Relationship Id="rId108" Type="http://schemas.openxmlformats.org/officeDocument/2006/relationships/hyperlink" Target="https://en.wikipedia.org/wiki/Penn_Quakers" TargetMode="External"/><Relationship Id="rId583" Type="http://schemas.openxmlformats.org/officeDocument/2006/relationships/hyperlink" Target="https://en.wikipedia.org/wiki/File:Whittemore_Center,_UNH,_Durham_NH.jpg" TargetMode="External"/><Relationship Id="rId582" Type="http://schemas.openxmlformats.org/officeDocument/2006/relationships/hyperlink" Target="https://en.wikipedia.org/wiki/West_Coast_Conference" TargetMode="External"/><Relationship Id="rId581" Type="http://schemas.openxmlformats.org/officeDocument/2006/relationships/hyperlink" Target="https://en.wikipedia.org/wiki/Gonzaga_Bulldogs" TargetMode="External"/><Relationship Id="rId580" Type="http://schemas.openxmlformats.org/officeDocument/2006/relationships/hyperlink" Target="https://en.wikipedia.org/wiki/Washington_(state)" TargetMode="External"/><Relationship Id="rId103" Type="http://schemas.openxmlformats.org/officeDocument/2006/relationships/hyperlink" Target="https://en.wikipedia.org/wiki/Mountain_West_Conference" TargetMode="External"/><Relationship Id="rId587" Type="http://schemas.openxmlformats.org/officeDocument/2006/relationships/hyperlink" Target="https://en.wikipedia.org/wiki/New_Hampshire_Wildcats_men%27s_ice_hockey" TargetMode="External"/><Relationship Id="rId102" Type="http://schemas.openxmlformats.org/officeDocument/2006/relationships/hyperlink" Target="https://en.wikipedia.org/wiki/Colorado_State_Rams" TargetMode="External"/><Relationship Id="rId586" Type="http://schemas.openxmlformats.org/officeDocument/2006/relationships/hyperlink" Target="https://en.wikipedia.org/wiki/New_Hampshire" TargetMode="External"/><Relationship Id="rId101" Type="http://schemas.openxmlformats.org/officeDocument/2006/relationships/hyperlink" Target="https://en.wikipedia.org/wiki/Colorado" TargetMode="External"/><Relationship Id="rId585" Type="http://schemas.openxmlformats.org/officeDocument/2006/relationships/hyperlink" Target="https://en.wikipedia.org/wiki/Durham,_New_Hampshire" TargetMode="External"/><Relationship Id="rId100" Type="http://schemas.openxmlformats.org/officeDocument/2006/relationships/hyperlink" Target="https://en.wikipedia.org/wiki/Fort_Collins,_Colorado" TargetMode="External"/><Relationship Id="rId584" Type="http://schemas.openxmlformats.org/officeDocument/2006/relationships/hyperlink" Target="https://en.wikipedia.org/wiki/Whittemore_Center" TargetMode="External"/><Relationship Id="rId579" Type="http://schemas.openxmlformats.org/officeDocument/2006/relationships/hyperlink" Target="https://en.wikipedia.org/wiki/Spokane,_Washington" TargetMode="External"/><Relationship Id="rId578" Type="http://schemas.openxmlformats.org/officeDocument/2006/relationships/hyperlink" Target="https://en.wikipedia.org/wiki/McCarthey_Athletic_Center" TargetMode="External"/><Relationship Id="rId577" Type="http://schemas.openxmlformats.org/officeDocument/2006/relationships/hyperlink" Target="https://en.wikipedia.org/wiki/Patriot_League" TargetMode="External"/><Relationship Id="rId572" Type="http://schemas.openxmlformats.org/officeDocument/2006/relationships/hyperlink" Target="https://en.wikipedia.org/wiki/File:Stabler_Arena_Exterior.jpg" TargetMode="External"/><Relationship Id="rId571" Type="http://schemas.openxmlformats.org/officeDocument/2006/relationships/hyperlink" Target="https://en.wikipedia.org/wiki/Big_Ten" TargetMode="External"/><Relationship Id="rId570" Type="http://schemas.openxmlformats.org/officeDocument/2006/relationships/hyperlink" Target="https://en.wikipedia.org/wiki/Penn_State_Nittany_Lions_men%27s_ice_hockey" TargetMode="External"/><Relationship Id="rId576" Type="http://schemas.openxmlformats.org/officeDocument/2006/relationships/hyperlink" Target="https://en.wikipedia.org/wiki/Lehigh_Mountain_Hawks" TargetMode="External"/><Relationship Id="rId575" Type="http://schemas.openxmlformats.org/officeDocument/2006/relationships/hyperlink" Target="https://en.wikipedia.org/wiki/Pennsylvania" TargetMode="External"/><Relationship Id="rId574" Type="http://schemas.openxmlformats.org/officeDocument/2006/relationships/hyperlink" Target="https://en.wikipedia.org/wiki/Bethlehem,_Pennsylvania" TargetMode="External"/><Relationship Id="rId573" Type="http://schemas.openxmlformats.org/officeDocument/2006/relationships/hyperlink" Target="https://en.wikipedia.org/wiki/Stabler_Arena" TargetMode="External"/><Relationship Id="rId129" Type="http://schemas.openxmlformats.org/officeDocument/2006/relationships/hyperlink" Target="https://en.wikipedia.org/wiki/Bartow_Arena" TargetMode="External"/><Relationship Id="rId128" Type="http://schemas.openxmlformats.org/officeDocument/2006/relationships/hyperlink" Target="https://en.wikipedia.org/wiki/File:Bartow_Arena_from_the_southeast.jpg" TargetMode="External"/><Relationship Id="rId127" Type="http://schemas.openxmlformats.org/officeDocument/2006/relationships/hyperlink" Target="https://en.wikipedia.org/wiki/Atlantic_Coast_Conference" TargetMode="External"/><Relationship Id="rId126" Type="http://schemas.openxmlformats.org/officeDocument/2006/relationships/hyperlink" Target="https://en.wikipedia.org/wiki/Georgia_Tech_Yellow_Jackets" TargetMode="External"/><Relationship Id="rId121" Type="http://schemas.openxmlformats.org/officeDocument/2006/relationships/hyperlink" Target="https://en.wikipedia.org/wiki/Missouri_Valley_Conference" TargetMode="External"/><Relationship Id="rId120" Type="http://schemas.openxmlformats.org/officeDocument/2006/relationships/hyperlink" Target="https://en.wikipedia.org/wiki/Murray_State_Racers" TargetMode="External"/><Relationship Id="rId125" Type="http://schemas.openxmlformats.org/officeDocument/2006/relationships/hyperlink" Target="https://en.wikipedia.org/wiki/Georgia_(U.S._state)" TargetMode="External"/><Relationship Id="rId124" Type="http://schemas.openxmlformats.org/officeDocument/2006/relationships/hyperlink" Target="https://en.wikipedia.org/wiki/Atlanta" TargetMode="External"/><Relationship Id="rId123" Type="http://schemas.openxmlformats.org/officeDocument/2006/relationships/hyperlink" Target="https://en.wikipedia.org/wiki/McCamish_Pavilion" TargetMode="External"/><Relationship Id="rId122" Type="http://schemas.openxmlformats.org/officeDocument/2006/relationships/hyperlink" Target="https://en.wikipedia.org/wiki/File:Alexander_Memorial_Coliseum_IN_THE_FOREGROUND_AND_DOWNTOWN_ATLANTA_IN_THE_BACKGROUND.JPG" TargetMode="External"/><Relationship Id="rId118" Type="http://schemas.openxmlformats.org/officeDocument/2006/relationships/hyperlink" Target="https://en.wikipedia.org/wiki/Murray,_Kentucky" TargetMode="External"/><Relationship Id="rId117" Type="http://schemas.openxmlformats.org/officeDocument/2006/relationships/hyperlink" Target="https://en.wikipedia.org/wiki/CFSB_Center" TargetMode="External"/><Relationship Id="rId116" Type="http://schemas.openxmlformats.org/officeDocument/2006/relationships/hyperlink" Target="https://en.wikipedia.org/wiki/File:CFSB-Entrance-B.jpg" TargetMode="External"/><Relationship Id="rId115" Type="http://schemas.openxmlformats.org/officeDocument/2006/relationships/hyperlink" Target="https://en.wikipedia.org/wiki/Atlantic_Coast_Conference" TargetMode="External"/><Relationship Id="rId599" Type="http://schemas.openxmlformats.org/officeDocument/2006/relationships/hyperlink" Target="https://en.wikipedia.org/wiki/Summit_League" TargetMode="External"/><Relationship Id="rId119" Type="http://schemas.openxmlformats.org/officeDocument/2006/relationships/hyperlink" Target="https://en.wikipedia.org/wiki/Kentucky" TargetMode="External"/><Relationship Id="rId110" Type="http://schemas.openxmlformats.org/officeDocument/2006/relationships/hyperlink" Target="https://en.wikipedia.org/wiki/File:BC-ConteForum1.JPG" TargetMode="External"/><Relationship Id="rId594" Type="http://schemas.openxmlformats.org/officeDocument/2006/relationships/hyperlink" Target="https://en.wikipedia.org/wiki/File:USD_Sanford_Coyote_Sports_Center.jpg" TargetMode="External"/><Relationship Id="rId593" Type="http://schemas.openxmlformats.org/officeDocument/2006/relationships/hyperlink" Target="https://en.wikipedia.org/wiki/Southwestern_Athletic_Conference" TargetMode="External"/><Relationship Id="rId592" Type="http://schemas.openxmlformats.org/officeDocument/2006/relationships/hyperlink" Target="https://en.wikipedia.org/wiki/Alabama_A%26M_Bulldogs_and_Lady_Bulldogs" TargetMode="External"/><Relationship Id="rId591" Type="http://schemas.openxmlformats.org/officeDocument/2006/relationships/hyperlink" Target="https://en.wikipedia.org/wiki/Alabama" TargetMode="External"/><Relationship Id="rId114" Type="http://schemas.openxmlformats.org/officeDocument/2006/relationships/hyperlink" Target="https://en.wikipedia.org/wiki/Boston_College_Eagles" TargetMode="External"/><Relationship Id="rId598" Type="http://schemas.openxmlformats.org/officeDocument/2006/relationships/hyperlink" Target="https://en.wikipedia.org/wiki/South_Dakota_Coyotes" TargetMode="External"/><Relationship Id="rId113" Type="http://schemas.openxmlformats.org/officeDocument/2006/relationships/hyperlink" Target="https://en.wikipedia.org/wiki/Massachusetts" TargetMode="External"/><Relationship Id="rId597" Type="http://schemas.openxmlformats.org/officeDocument/2006/relationships/hyperlink" Target="https://en.wikipedia.org/wiki/South_Dakota" TargetMode="External"/><Relationship Id="rId112" Type="http://schemas.openxmlformats.org/officeDocument/2006/relationships/hyperlink" Target="https://en.wikipedia.org/wiki/Chestnut_Hill,_Massachusetts" TargetMode="External"/><Relationship Id="rId596" Type="http://schemas.openxmlformats.org/officeDocument/2006/relationships/hyperlink" Target="https://en.wikipedia.org/wiki/Vermillion,_South_Dakota" TargetMode="External"/><Relationship Id="rId111" Type="http://schemas.openxmlformats.org/officeDocument/2006/relationships/hyperlink" Target="https://en.wikipedia.org/wiki/Conte_Forum" TargetMode="External"/><Relationship Id="rId595" Type="http://schemas.openxmlformats.org/officeDocument/2006/relationships/hyperlink" Target="https://en.wikipedia.org/wiki/Sanford_Coyote_Sports_Center" TargetMode="External"/><Relationship Id="rId547" Type="http://schemas.openxmlformats.org/officeDocument/2006/relationships/hyperlink" Target="https://en.wikipedia.org/wiki/East_Tennessee_State_Buccaneers" TargetMode="External"/><Relationship Id="rId546" Type="http://schemas.openxmlformats.org/officeDocument/2006/relationships/hyperlink" Target="https://en.wikipedia.org/wiki/Tennessee" TargetMode="External"/><Relationship Id="rId545" Type="http://schemas.openxmlformats.org/officeDocument/2006/relationships/hyperlink" Target="https://en.wikipedia.org/wiki/Johnson_City,_Tennessee" TargetMode="External"/><Relationship Id="rId544" Type="http://schemas.openxmlformats.org/officeDocument/2006/relationships/hyperlink" Target="https://en.wikipedia.org/wiki/Freedom_Hall_Civic_Center" TargetMode="External"/><Relationship Id="rId549" Type="http://schemas.openxmlformats.org/officeDocument/2006/relationships/hyperlink" Target="https://en.wikipedia.org/wiki/File:Winthrop_Coliseum_2.jpg" TargetMode="External"/><Relationship Id="rId548" Type="http://schemas.openxmlformats.org/officeDocument/2006/relationships/hyperlink" Target="https://en.wikipedia.org/wiki/Southern_Conference" TargetMode="External"/><Relationship Id="rId543" Type="http://schemas.openxmlformats.org/officeDocument/2006/relationships/hyperlink" Target="https://en.wikipedia.org/wiki/Hockey_East" TargetMode="External"/><Relationship Id="rId542" Type="http://schemas.openxmlformats.org/officeDocument/2006/relationships/hyperlink" Target="https://en.wikipedia.org/wiki/Boston_University_Terriers_men%27s_ice_hockey" TargetMode="External"/><Relationship Id="rId541" Type="http://schemas.openxmlformats.org/officeDocument/2006/relationships/hyperlink" Target="https://en.wikipedia.org/wiki/Massachusetts" TargetMode="External"/><Relationship Id="rId540" Type="http://schemas.openxmlformats.org/officeDocument/2006/relationships/hyperlink" Target="https://en.wikipedia.org/wiki/Boston" TargetMode="External"/><Relationship Id="rId536" Type="http://schemas.openxmlformats.org/officeDocument/2006/relationships/hyperlink" Target="https://en.wikipedia.org/wiki/Pacific_Tigers" TargetMode="External"/><Relationship Id="rId535" Type="http://schemas.openxmlformats.org/officeDocument/2006/relationships/hyperlink" Target="https://en.wikipedia.org/wiki/California" TargetMode="External"/><Relationship Id="rId534" Type="http://schemas.openxmlformats.org/officeDocument/2006/relationships/hyperlink" Target="https://en.wikipedia.org/wiki/Stockton,_California" TargetMode="External"/><Relationship Id="rId533" Type="http://schemas.openxmlformats.org/officeDocument/2006/relationships/hyperlink" Target="https://en.wikipedia.org/wiki/Alex_G._Spanos_Center" TargetMode="External"/><Relationship Id="rId539" Type="http://schemas.openxmlformats.org/officeDocument/2006/relationships/hyperlink" Target="https://en.wikipedia.org/wiki/Agganis_Arena" TargetMode="External"/><Relationship Id="rId538" Type="http://schemas.openxmlformats.org/officeDocument/2006/relationships/hyperlink" Target="https://en.wikipedia.org/wiki/File:Agganis_Arena_Exterior.jpg" TargetMode="External"/><Relationship Id="rId537" Type="http://schemas.openxmlformats.org/officeDocument/2006/relationships/hyperlink" Target="https://en.wikipedia.org/wiki/West_Coast_Conference" TargetMode="External"/><Relationship Id="rId532" Type="http://schemas.openxmlformats.org/officeDocument/2006/relationships/hyperlink" Target="https://en.wikipedia.org/wiki/Mid-American_Conference" TargetMode="External"/><Relationship Id="rId531" Type="http://schemas.openxmlformats.org/officeDocument/2006/relationships/hyperlink" Target="https://en.wikipedia.org/wiki/Kent_State_Golden_Flashes" TargetMode="External"/><Relationship Id="rId530" Type="http://schemas.openxmlformats.org/officeDocument/2006/relationships/hyperlink" Target="https://en.wikipedia.org/wiki/Ohio" TargetMode="External"/><Relationship Id="rId569" Type="http://schemas.openxmlformats.org/officeDocument/2006/relationships/hyperlink" Target="https://en.wikipedia.org/wiki/Pennsylvania" TargetMode="External"/><Relationship Id="rId568" Type="http://schemas.openxmlformats.org/officeDocument/2006/relationships/hyperlink" Target="https://en.wikipedia.org/wiki/University_Park,_Pennsylvania" TargetMode="External"/><Relationship Id="rId567" Type="http://schemas.openxmlformats.org/officeDocument/2006/relationships/hyperlink" Target="https://en.wikipedia.org/wiki/Pegula_Ice_Arena" TargetMode="External"/><Relationship Id="rId566" Type="http://schemas.openxmlformats.org/officeDocument/2006/relationships/hyperlink" Target="https://en.wikipedia.org/wiki/Western_Athletic_Conference" TargetMode="External"/><Relationship Id="rId561" Type="http://schemas.openxmlformats.org/officeDocument/2006/relationships/hyperlink" Target="https://en.wikipedia.org/wiki/File:Johnson_coliseum_huntsville_tx_2014.jpg" TargetMode="External"/><Relationship Id="rId560" Type="http://schemas.openxmlformats.org/officeDocument/2006/relationships/hyperlink" Target="https://en.wikipedia.org/wiki/Mid-American_Conference" TargetMode="External"/><Relationship Id="rId565" Type="http://schemas.openxmlformats.org/officeDocument/2006/relationships/hyperlink" Target="https://en.wikipedia.org/wiki/Sam_Houston_State_Bearkats" TargetMode="External"/><Relationship Id="rId564" Type="http://schemas.openxmlformats.org/officeDocument/2006/relationships/hyperlink" Target="https://en.wikipedia.org/wiki/Texas" TargetMode="External"/><Relationship Id="rId563" Type="http://schemas.openxmlformats.org/officeDocument/2006/relationships/hyperlink" Target="https://en.wikipedia.org/wiki/Huntsville,_Texas" TargetMode="External"/><Relationship Id="rId562" Type="http://schemas.openxmlformats.org/officeDocument/2006/relationships/hyperlink" Target="https://en.wikipedia.org/wiki/Bernard_Johnson_Coliseum" TargetMode="External"/><Relationship Id="rId558" Type="http://schemas.openxmlformats.org/officeDocument/2006/relationships/hyperlink" Target="https://en.wikipedia.org/wiki/New_York_(state)" TargetMode="External"/><Relationship Id="rId557" Type="http://schemas.openxmlformats.org/officeDocument/2006/relationships/hyperlink" Target="https://en.wikipedia.org/wiki/Amherst,_New_York" TargetMode="External"/><Relationship Id="rId556" Type="http://schemas.openxmlformats.org/officeDocument/2006/relationships/hyperlink" Target="https://en.wikipedia.org/wiki/Alumni_Arena_(University_at_Buffalo)" TargetMode="External"/><Relationship Id="rId555" Type="http://schemas.openxmlformats.org/officeDocument/2006/relationships/hyperlink" Target="https://en.wikipedia.org/wiki/File:UB_Alumni.JPG" TargetMode="External"/><Relationship Id="rId559" Type="http://schemas.openxmlformats.org/officeDocument/2006/relationships/hyperlink" Target="https://en.wikipedia.org/wiki/Buffalo_Bulls" TargetMode="External"/><Relationship Id="rId550" Type="http://schemas.openxmlformats.org/officeDocument/2006/relationships/hyperlink" Target="https://en.wikipedia.org/wiki/Winthrop_Coliseum" TargetMode="External"/><Relationship Id="rId554" Type="http://schemas.openxmlformats.org/officeDocument/2006/relationships/hyperlink" Target="https://en.wikipedia.org/wiki/Big_South_Conference" TargetMode="External"/><Relationship Id="rId553" Type="http://schemas.openxmlformats.org/officeDocument/2006/relationships/hyperlink" Target="https://en.wikipedia.org/wiki/Winthrop_Eagles" TargetMode="External"/><Relationship Id="rId552" Type="http://schemas.openxmlformats.org/officeDocument/2006/relationships/hyperlink" Target="https://en.wikipedia.org/wiki/South_Carolina" TargetMode="External"/><Relationship Id="rId551" Type="http://schemas.openxmlformats.org/officeDocument/2006/relationships/hyperlink" Target="https://en.wikipedia.org/wiki/Rock_Hill,_South_Carolina" TargetMode="External"/><Relationship Id="rId495" Type="http://schemas.openxmlformats.org/officeDocument/2006/relationships/hyperlink" Target="https://en.wikipedia.org/wiki/Lowell,_Massachusetts" TargetMode="External"/><Relationship Id="rId494" Type="http://schemas.openxmlformats.org/officeDocument/2006/relationships/hyperlink" Target="https://en.wikipedia.org/wiki/Tsongas_Center" TargetMode="External"/><Relationship Id="rId493" Type="http://schemas.openxmlformats.org/officeDocument/2006/relationships/hyperlink" Target="https://en.wikipedia.org/wiki/File:Tsongas_Center_-_University_of_Massachusetts_Lowell_-_DSC00100.JPG" TargetMode="External"/><Relationship Id="rId492" Type="http://schemas.openxmlformats.org/officeDocument/2006/relationships/hyperlink" Target="https://en.wikipedia.org/wiki/Ohio_Valley_Conference" TargetMode="External"/><Relationship Id="rId499" Type="http://schemas.openxmlformats.org/officeDocument/2006/relationships/hyperlink" Target="https://en.wikipedia.org/wiki/File:MSU_Munn_Ice_Arena.jpg" TargetMode="External"/><Relationship Id="rId498" Type="http://schemas.openxmlformats.org/officeDocument/2006/relationships/hyperlink" Target="https://en.wikipedia.org/wiki/America_East_Conference" TargetMode="External"/><Relationship Id="rId497" Type="http://schemas.openxmlformats.org/officeDocument/2006/relationships/hyperlink" Target="https://en.wikipedia.org/wiki/UMass_Lowell_River_Hawks" TargetMode="External"/><Relationship Id="rId496" Type="http://schemas.openxmlformats.org/officeDocument/2006/relationships/hyperlink" Target="https://en.wikipedia.org/wiki/Massachusetts" TargetMode="External"/><Relationship Id="rId907" Type="http://schemas.openxmlformats.org/officeDocument/2006/relationships/hyperlink" Target="https://en.wikipedia.org/wiki/Mountain_West_Conference" TargetMode="External"/><Relationship Id="rId906" Type="http://schemas.openxmlformats.org/officeDocument/2006/relationships/hyperlink" Target="https://en.wikipedia.org/wiki/San_Jose_State_Spartans" TargetMode="External"/><Relationship Id="rId905" Type="http://schemas.openxmlformats.org/officeDocument/2006/relationships/hyperlink" Target="https://en.wikipedia.org/wiki/California" TargetMode="External"/><Relationship Id="rId904" Type="http://schemas.openxmlformats.org/officeDocument/2006/relationships/hyperlink" Target="https://en.wikipedia.org/wiki/San_Jose,_California" TargetMode="External"/><Relationship Id="rId909" Type="http://schemas.openxmlformats.org/officeDocument/2006/relationships/hyperlink" Target="https://en.wikipedia.org/wiki/Kathleen_and_Tom_Elam_Center" TargetMode="External"/><Relationship Id="rId908" Type="http://schemas.openxmlformats.org/officeDocument/2006/relationships/hyperlink" Target="https://en.wikipedia.org/wiki/File:Kathleen_and_Tom_Elam_Center.jpg" TargetMode="External"/><Relationship Id="rId903" Type="http://schemas.openxmlformats.org/officeDocument/2006/relationships/hyperlink" Target="https://en.wikipedia.org/wiki/Provident_Credit_Union_Event_Center" TargetMode="External"/><Relationship Id="rId902" Type="http://schemas.openxmlformats.org/officeDocument/2006/relationships/hyperlink" Target="https://en.wikipedia.org/wiki/File:SJSU_Event_Center.jpg" TargetMode="External"/><Relationship Id="rId901" Type="http://schemas.openxmlformats.org/officeDocument/2006/relationships/hyperlink" Target="https://en.wikipedia.org/wiki/Missouri_Valley_Conference" TargetMode="External"/><Relationship Id="rId900" Type="http://schemas.openxmlformats.org/officeDocument/2006/relationships/hyperlink" Target="https://en.wikipedia.org/wiki/Valparaiso_Beacons" TargetMode="External"/><Relationship Id="rId929" Type="http://schemas.openxmlformats.org/officeDocument/2006/relationships/hyperlink" Target="https://en.wikipedia.org/wiki/Calvin_Knights" TargetMode="External"/><Relationship Id="rId928" Type="http://schemas.openxmlformats.org/officeDocument/2006/relationships/hyperlink" Target="https://en.wikipedia.org/wiki/Michigan" TargetMode="External"/><Relationship Id="rId927" Type="http://schemas.openxmlformats.org/officeDocument/2006/relationships/hyperlink" Target="https://en.wikipedia.org/wiki/Grand_Rapids,_Michigan" TargetMode="External"/><Relationship Id="rId926" Type="http://schemas.openxmlformats.org/officeDocument/2006/relationships/hyperlink" Target="https://en.wikipedia.org/wiki/Van_Noord_Arena" TargetMode="External"/><Relationship Id="rId921" Type="http://schemas.openxmlformats.org/officeDocument/2006/relationships/hyperlink" Target="https://en.wikipedia.org/wiki/Texas_A%26M%E2%80%93Commerce_Field_House" TargetMode="External"/><Relationship Id="rId920" Type="http://schemas.openxmlformats.org/officeDocument/2006/relationships/hyperlink" Target="https://en.wikipedia.org/wiki/File:Texas_A%26M_University%E2%80%93Commerce_March_2015_30_(Rachel%27s_Garden_and_University_Field_House).jpg" TargetMode="External"/><Relationship Id="rId925" Type="http://schemas.openxmlformats.org/officeDocument/2006/relationships/hyperlink" Target="https://en.wikipedia.org/wiki/Southland_Conference" TargetMode="External"/><Relationship Id="rId924" Type="http://schemas.openxmlformats.org/officeDocument/2006/relationships/hyperlink" Target="https://en.wikipedia.org/wiki/Texas_A%26M%E2%80%93Commerce_Lions" TargetMode="External"/><Relationship Id="rId923" Type="http://schemas.openxmlformats.org/officeDocument/2006/relationships/hyperlink" Target="https://en.wikipedia.org/wiki/Texas" TargetMode="External"/><Relationship Id="rId922" Type="http://schemas.openxmlformats.org/officeDocument/2006/relationships/hyperlink" Target="https://en.wikipedia.org/wiki/Commerce,_Texas" TargetMode="External"/><Relationship Id="rId918" Type="http://schemas.openxmlformats.org/officeDocument/2006/relationships/hyperlink" Target="https://en.wikipedia.org/wiki/Arizona_State_Sun_Devils_men%27s_ice_hockey" TargetMode="External"/><Relationship Id="rId917" Type="http://schemas.openxmlformats.org/officeDocument/2006/relationships/hyperlink" Target="https://en.wikipedia.org/wiki/Arizona" TargetMode="External"/><Relationship Id="rId916" Type="http://schemas.openxmlformats.org/officeDocument/2006/relationships/hyperlink" Target="https://en.wikipedia.org/wiki/Tempe,_Arizona" TargetMode="External"/><Relationship Id="rId915" Type="http://schemas.openxmlformats.org/officeDocument/2006/relationships/hyperlink" Target="https://en.wikipedia.org/wiki/Mullett_Arena" TargetMode="External"/><Relationship Id="rId919" Type="http://schemas.openxmlformats.org/officeDocument/2006/relationships/hyperlink" Target="https://en.wikipedia.org/wiki/NCAA_Division_I_independent_schools_(ice_hockey)" TargetMode="External"/><Relationship Id="rId910" Type="http://schemas.openxmlformats.org/officeDocument/2006/relationships/hyperlink" Target="https://en.wikipedia.org/wiki/Martin,_Tennessee" TargetMode="External"/><Relationship Id="rId914" Type="http://schemas.openxmlformats.org/officeDocument/2006/relationships/hyperlink" Target="https://en.wikipedia.org/wiki/File:Mullett_Arena_South_Entrance.jpg" TargetMode="External"/><Relationship Id="rId913" Type="http://schemas.openxmlformats.org/officeDocument/2006/relationships/hyperlink" Target="https://en.wikipedia.org/wiki/Ohio_Valley_Conference" TargetMode="External"/><Relationship Id="rId912" Type="http://schemas.openxmlformats.org/officeDocument/2006/relationships/hyperlink" Target="https://en.wikipedia.org/wiki/UT_Martin_Skyhawks" TargetMode="External"/><Relationship Id="rId911" Type="http://schemas.openxmlformats.org/officeDocument/2006/relationships/hyperlink" Target="https://en.wikipedia.org/wiki/Tennessee" TargetMode="External"/><Relationship Id="rId866" Type="http://schemas.openxmlformats.org/officeDocument/2006/relationships/hyperlink" Target="https://en.wikipedia.org/wiki/List_of_indoor_arenas_in_the_United_States" TargetMode="External"/><Relationship Id="rId865" Type="http://schemas.openxmlformats.org/officeDocument/2006/relationships/hyperlink" Target="https://en.wikipedia.org/wiki/Southwestern_Athletic_Conference" TargetMode="External"/><Relationship Id="rId864" Type="http://schemas.openxmlformats.org/officeDocument/2006/relationships/hyperlink" Target="https://en.wikipedia.org/wiki/Mississippi_Valley_State_Delta_Devils_and_Devilettes" TargetMode="External"/><Relationship Id="rId863" Type="http://schemas.openxmlformats.org/officeDocument/2006/relationships/hyperlink" Target="https://en.wikipedia.org/wiki/Mississippi" TargetMode="External"/><Relationship Id="rId869" Type="http://schemas.openxmlformats.org/officeDocument/2006/relationships/hyperlink" Target="https://en.wikipedia.org/wiki/Washington,_D.C." TargetMode="External"/><Relationship Id="rId868" Type="http://schemas.openxmlformats.org/officeDocument/2006/relationships/hyperlink" Target="https://en.wikipedia.org/wiki/Charles_E._Smith_Center" TargetMode="External"/><Relationship Id="rId867" Type="http://schemas.openxmlformats.org/officeDocument/2006/relationships/hyperlink" Target="https://en.wikipedia.org/wiki/File:Charles_E._Smith_Center_Exterior.jpg" TargetMode="External"/><Relationship Id="rId862" Type="http://schemas.openxmlformats.org/officeDocument/2006/relationships/hyperlink" Target="https://en.wikipedia.org/wiki/Itta_Bena,_Mississippi" TargetMode="External"/><Relationship Id="rId861" Type="http://schemas.openxmlformats.org/officeDocument/2006/relationships/hyperlink" Target="https://en.wikipedia.org/wiki/Harrison_HPER_Complex" TargetMode="External"/><Relationship Id="rId860" Type="http://schemas.openxmlformats.org/officeDocument/2006/relationships/hyperlink" Target="https://en.wikipedia.org/wiki/File:RWHarrisonComplex.JPG" TargetMode="External"/><Relationship Id="rId855" Type="http://schemas.openxmlformats.org/officeDocument/2006/relationships/hyperlink" Target="https://en.wikipedia.org/wiki/Big_Ten" TargetMode="External"/><Relationship Id="rId854" Type="http://schemas.openxmlformats.org/officeDocument/2006/relationships/hyperlink" Target="https://en.wikipedia.org/wiki/Notre_Dame_Fighting_Irish_men%27s_ice_hockey" TargetMode="External"/><Relationship Id="rId853" Type="http://schemas.openxmlformats.org/officeDocument/2006/relationships/hyperlink" Target="https://en.wikipedia.org/wiki/Indiana" TargetMode="External"/><Relationship Id="rId852" Type="http://schemas.openxmlformats.org/officeDocument/2006/relationships/hyperlink" Target="https://en.wikipedia.org/wiki/Notre_Dame,_Indiana" TargetMode="External"/><Relationship Id="rId859" Type="http://schemas.openxmlformats.org/officeDocument/2006/relationships/hyperlink" Target="https://en.wikipedia.org/wiki/South_Atlantic_Conference" TargetMode="External"/><Relationship Id="rId858" Type="http://schemas.openxmlformats.org/officeDocument/2006/relationships/hyperlink" Target="https://en.wikipedia.org/wiki/Lincoln_Memorial_Railsplitters" TargetMode="External"/><Relationship Id="rId857" Type="http://schemas.openxmlformats.org/officeDocument/2006/relationships/hyperlink" Target="https://en.wikipedia.org/wiki/Tennessee" TargetMode="External"/><Relationship Id="rId856" Type="http://schemas.openxmlformats.org/officeDocument/2006/relationships/hyperlink" Target="https://en.wikipedia.org/wiki/Harrogate,_Tennessee" TargetMode="External"/><Relationship Id="rId851" Type="http://schemas.openxmlformats.org/officeDocument/2006/relationships/hyperlink" Target="https://en.wikipedia.org/wiki/Compton_Family_Ice_Arena" TargetMode="External"/><Relationship Id="rId850" Type="http://schemas.openxmlformats.org/officeDocument/2006/relationships/hyperlink" Target="https://en.wikipedia.org/wiki/File:Compton_Ice_Family_Center_(cropped).jpg" TargetMode="External"/><Relationship Id="rId409" Type="http://schemas.openxmlformats.org/officeDocument/2006/relationships/hyperlink" Target="https://en.wikipedia.org/wiki/College_Park_Center" TargetMode="External"/><Relationship Id="rId404" Type="http://schemas.openxmlformats.org/officeDocument/2006/relationships/hyperlink" Target="https://en.wikipedia.org/wiki/University_Park,_Texas" TargetMode="External"/><Relationship Id="rId888" Type="http://schemas.openxmlformats.org/officeDocument/2006/relationships/hyperlink" Target="https://en.wikipedia.org/wiki/FIU_Panthers" TargetMode="External"/><Relationship Id="rId403" Type="http://schemas.openxmlformats.org/officeDocument/2006/relationships/hyperlink" Target="https://en.wikipedia.org/wiki/Moody_Coliseum" TargetMode="External"/><Relationship Id="rId887" Type="http://schemas.openxmlformats.org/officeDocument/2006/relationships/hyperlink" Target="https://en.wikipedia.org/wiki/Florida" TargetMode="External"/><Relationship Id="rId402" Type="http://schemas.openxmlformats.org/officeDocument/2006/relationships/hyperlink" Target="https://en.wikipedia.org/wiki/File:MoodyColiseumEXT.JPG" TargetMode="External"/><Relationship Id="rId886" Type="http://schemas.openxmlformats.org/officeDocument/2006/relationships/hyperlink" Target="https://en.wikipedia.org/wiki/Miami" TargetMode="External"/><Relationship Id="rId401" Type="http://schemas.openxmlformats.org/officeDocument/2006/relationships/hyperlink" Target="https://en.wikipedia.org/wiki/Missouri_Valley_Conference" TargetMode="External"/><Relationship Id="rId885" Type="http://schemas.openxmlformats.org/officeDocument/2006/relationships/hyperlink" Target="https://en.wikipedia.org/wiki/Ocean_Bank_Convocation_Center" TargetMode="External"/><Relationship Id="rId408" Type="http://schemas.openxmlformats.org/officeDocument/2006/relationships/hyperlink" Target="https://en.wikipedia.org/wiki/File:University_of_Texas_at_Arlington_March_2021_008_(College_Park_Center).jpg" TargetMode="External"/><Relationship Id="rId407" Type="http://schemas.openxmlformats.org/officeDocument/2006/relationships/hyperlink" Target="https://en.wikipedia.org/wiki/American_Athletic_Conference" TargetMode="External"/><Relationship Id="rId406" Type="http://schemas.openxmlformats.org/officeDocument/2006/relationships/hyperlink" Target="https://en.wikipedia.org/wiki/SMU_Mustangs" TargetMode="External"/><Relationship Id="rId405" Type="http://schemas.openxmlformats.org/officeDocument/2006/relationships/hyperlink" Target="https://en.wikipedia.org/wiki/Texas" TargetMode="External"/><Relationship Id="rId889" Type="http://schemas.openxmlformats.org/officeDocument/2006/relationships/hyperlink" Target="https://en.wikipedia.org/wiki/Conference_USA" TargetMode="External"/><Relationship Id="rId880" Type="http://schemas.openxmlformats.org/officeDocument/2006/relationships/hyperlink" Target="https://en.wikipedia.org/wiki/Newark,_Delaware" TargetMode="External"/><Relationship Id="rId400" Type="http://schemas.openxmlformats.org/officeDocument/2006/relationships/hyperlink" Target="https://en.wikipedia.org/wiki/Northern_Iowa_Panthers" TargetMode="External"/><Relationship Id="rId884" Type="http://schemas.openxmlformats.org/officeDocument/2006/relationships/hyperlink" Target="https://en.wikipedia.org/wiki/File:2013-0811-FIU-Arena.JPG" TargetMode="External"/><Relationship Id="rId883" Type="http://schemas.openxmlformats.org/officeDocument/2006/relationships/hyperlink" Target="https://en.wikipedia.org/wiki/Colonial_Athletic_Association" TargetMode="External"/><Relationship Id="rId882" Type="http://schemas.openxmlformats.org/officeDocument/2006/relationships/hyperlink" Target="https://en.wikipedia.org/wiki/Delaware_Fightin%27_Blue_Hens" TargetMode="External"/><Relationship Id="rId881" Type="http://schemas.openxmlformats.org/officeDocument/2006/relationships/hyperlink" Target="https://en.wikipedia.org/wiki/Delaware" TargetMode="External"/><Relationship Id="rId877" Type="http://schemas.openxmlformats.org/officeDocument/2006/relationships/hyperlink" Target="https://en.wikipedia.org/wiki/Stetson_Hatters" TargetMode="External"/><Relationship Id="rId876" Type="http://schemas.openxmlformats.org/officeDocument/2006/relationships/hyperlink" Target="https://en.wikipedia.org/wiki/Florida" TargetMode="External"/><Relationship Id="rId875" Type="http://schemas.openxmlformats.org/officeDocument/2006/relationships/hyperlink" Target="https://en.wikipedia.org/wiki/DeLand,_Florida" TargetMode="External"/><Relationship Id="rId874" Type="http://schemas.openxmlformats.org/officeDocument/2006/relationships/hyperlink" Target="https://en.wikipedia.org/wiki/Edmunds_Center" TargetMode="External"/><Relationship Id="rId879" Type="http://schemas.openxmlformats.org/officeDocument/2006/relationships/hyperlink" Target="https://en.wikipedia.org/wiki/Bob_Carpenter_Center" TargetMode="External"/><Relationship Id="rId878" Type="http://schemas.openxmlformats.org/officeDocument/2006/relationships/hyperlink" Target="https://en.wikipedia.org/wiki/ASUN_Conference" TargetMode="External"/><Relationship Id="rId873" Type="http://schemas.openxmlformats.org/officeDocument/2006/relationships/hyperlink" Target="https://en.wikipedia.org/wiki/File:Stetson_Univ_-_Edmunds_Center1.jpg" TargetMode="External"/><Relationship Id="rId872" Type="http://schemas.openxmlformats.org/officeDocument/2006/relationships/hyperlink" Target="https://en.wikipedia.org/wiki/Atlantic_10_Conference" TargetMode="External"/><Relationship Id="rId871" Type="http://schemas.openxmlformats.org/officeDocument/2006/relationships/hyperlink" Target="https://en.wikipedia.org/wiki/George_Washington_Colonials" TargetMode="External"/><Relationship Id="rId870" Type="http://schemas.openxmlformats.org/officeDocument/2006/relationships/hyperlink" Target="https://en.wikipedia.org/wiki/Washington,_D.C." TargetMode="External"/><Relationship Id="rId829" Type="http://schemas.openxmlformats.org/officeDocument/2006/relationships/hyperlink" Target="https://en.wikipedia.org/wiki/Nashville,_Tennessee" TargetMode="External"/><Relationship Id="rId828" Type="http://schemas.openxmlformats.org/officeDocument/2006/relationships/hyperlink" Target="https://en.wikipedia.org/wiki/Curb_Event_Center" TargetMode="External"/><Relationship Id="rId827" Type="http://schemas.openxmlformats.org/officeDocument/2006/relationships/hyperlink" Target="https://en.wikipedia.org/wiki/File:WTN_EVula_079.jpg" TargetMode="External"/><Relationship Id="rId822" Type="http://schemas.openxmlformats.org/officeDocument/2006/relationships/hyperlink" Target="https://en.wikipedia.org/wiki/Kearney,_Nebraska" TargetMode="External"/><Relationship Id="rId821" Type="http://schemas.openxmlformats.org/officeDocument/2006/relationships/hyperlink" Target="https://en.wikipedia.org/wiki/List_of_indoor_arenas_in_the_United_States" TargetMode="External"/><Relationship Id="rId820" Type="http://schemas.openxmlformats.org/officeDocument/2006/relationships/hyperlink" Target="https://en.wikipedia.org/wiki/Central_Intercollegiate_Athletic_Association" TargetMode="External"/><Relationship Id="rId826" Type="http://schemas.openxmlformats.org/officeDocument/2006/relationships/hyperlink" Target="https://en.wikipedia.org/wiki/List_of_indoor_arenas_in_the_United_States" TargetMode="External"/><Relationship Id="rId825" Type="http://schemas.openxmlformats.org/officeDocument/2006/relationships/hyperlink" Target="https://en.wikipedia.org/wiki/Mid-America_Intercollegiate_Athletics_Association" TargetMode="External"/><Relationship Id="rId824" Type="http://schemas.openxmlformats.org/officeDocument/2006/relationships/hyperlink" Target="https://en.wikipedia.org/wiki/Nebraska%E2%80%93Kearney_Lopers" TargetMode="External"/><Relationship Id="rId823" Type="http://schemas.openxmlformats.org/officeDocument/2006/relationships/hyperlink" Target="https://en.wikipedia.org/wiki/Nebraska" TargetMode="External"/><Relationship Id="rId819" Type="http://schemas.openxmlformats.org/officeDocument/2006/relationships/hyperlink" Target="https://en.wikipedia.org/wiki/Virginia_State_Trojans" TargetMode="External"/><Relationship Id="rId818" Type="http://schemas.openxmlformats.org/officeDocument/2006/relationships/hyperlink" Target="https://en.wikipedia.org/wiki/Virginia" TargetMode="External"/><Relationship Id="rId817" Type="http://schemas.openxmlformats.org/officeDocument/2006/relationships/hyperlink" Target="https://en.wikipedia.org/wiki/Ettrick,_Virginia" TargetMode="External"/><Relationship Id="rId816" Type="http://schemas.openxmlformats.org/officeDocument/2006/relationships/hyperlink" Target="https://en.wikipedia.org/wiki/Colonial_Athletic_Association" TargetMode="External"/><Relationship Id="rId811" Type="http://schemas.openxmlformats.org/officeDocument/2006/relationships/hyperlink" Target="https://en.wikipedia.org/wiki/Colonial_Athletic_Association" TargetMode="External"/><Relationship Id="rId810" Type="http://schemas.openxmlformats.org/officeDocument/2006/relationships/hyperlink" Target="https://en.wikipedia.org/wiki/College_of_Charleston_Cougars" TargetMode="External"/><Relationship Id="rId815" Type="http://schemas.openxmlformats.org/officeDocument/2006/relationships/hyperlink" Target="https://en.wikipedia.org/wiki/Elon_Phoenix" TargetMode="External"/><Relationship Id="rId814" Type="http://schemas.openxmlformats.org/officeDocument/2006/relationships/hyperlink" Target="https://en.wikipedia.org/wiki/North_Carolina" TargetMode="External"/><Relationship Id="rId813" Type="http://schemas.openxmlformats.org/officeDocument/2006/relationships/hyperlink" Target="https://en.wikipedia.org/wiki/Elon,_North_Carolina" TargetMode="External"/><Relationship Id="rId812" Type="http://schemas.openxmlformats.org/officeDocument/2006/relationships/hyperlink" Target="https://en.wikipedia.org/wiki/Schar_Center" TargetMode="External"/><Relationship Id="rId849" Type="http://schemas.openxmlformats.org/officeDocument/2006/relationships/hyperlink" Target="https://en.wikipedia.org/wiki/ASUN_Conference" TargetMode="External"/><Relationship Id="rId844" Type="http://schemas.openxmlformats.org/officeDocument/2006/relationships/hyperlink" Target="https://en.wikipedia.org/wiki/Patriot_League" TargetMode="External"/><Relationship Id="rId843" Type="http://schemas.openxmlformats.org/officeDocument/2006/relationships/hyperlink" Target="https://en.wikipedia.org/wiki/Army_Black_Knights" TargetMode="External"/><Relationship Id="rId842" Type="http://schemas.openxmlformats.org/officeDocument/2006/relationships/hyperlink" Target="https://en.wikipedia.org/wiki/New_York_(state)" TargetMode="External"/><Relationship Id="rId841" Type="http://schemas.openxmlformats.org/officeDocument/2006/relationships/hyperlink" Target="https://en.wikipedia.org/wiki/West_Point,_New_York" TargetMode="External"/><Relationship Id="rId848" Type="http://schemas.openxmlformats.org/officeDocument/2006/relationships/hyperlink" Target="https://en.wikipedia.org/wiki/Lipscomb_Bisons" TargetMode="External"/><Relationship Id="rId847" Type="http://schemas.openxmlformats.org/officeDocument/2006/relationships/hyperlink" Target="https://en.wikipedia.org/wiki/Tennessee" TargetMode="External"/><Relationship Id="rId846" Type="http://schemas.openxmlformats.org/officeDocument/2006/relationships/hyperlink" Target="https://en.wikipedia.org/wiki/Nashville,_Tennessee" TargetMode="External"/><Relationship Id="rId845" Type="http://schemas.openxmlformats.org/officeDocument/2006/relationships/hyperlink" Target="https://en.wikipedia.org/wiki/Allen_Arena" TargetMode="External"/><Relationship Id="rId840" Type="http://schemas.openxmlformats.org/officeDocument/2006/relationships/hyperlink" Target="https://en.wikipedia.org/wiki/Christl_Arena" TargetMode="External"/><Relationship Id="rId839" Type="http://schemas.openxmlformats.org/officeDocument/2006/relationships/hyperlink" Target="https://en.wikipedia.org/wiki/File:Holleder_Center_Exterior.jpg" TargetMode="External"/><Relationship Id="rId838" Type="http://schemas.openxmlformats.org/officeDocument/2006/relationships/hyperlink" Target="https://en.wikipedia.org/wiki/Western_Athletic_Conference" TargetMode="External"/><Relationship Id="rId833" Type="http://schemas.openxmlformats.org/officeDocument/2006/relationships/hyperlink" Target="https://en.wikipedia.org/wiki/File:CBU_Events_Center_(Riverside,_California).jpg" TargetMode="External"/><Relationship Id="rId832" Type="http://schemas.openxmlformats.org/officeDocument/2006/relationships/hyperlink" Target="https://en.wikipedia.org/wiki/Missouri_Valley_Conference" TargetMode="External"/><Relationship Id="rId831" Type="http://schemas.openxmlformats.org/officeDocument/2006/relationships/hyperlink" Target="https://en.wikipedia.org/wiki/Belmont_Bruins" TargetMode="External"/><Relationship Id="rId830" Type="http://schemas.openxmlformats.org/officeDocument/2006/relationships/hyperlink" Target="https://en.wikipedia.org/wiki/Tennessee" TargetMode="External"/><Relationship Id="rId837" Type="http://schemas.openxmlformats.org/officeDocument/2006/relationships/hyperlink" Target="https://en.wikipedia.org/wiki/California_Baptist_Lancers" TargetMode="External"/><Relationship Id="rId836" Type="http://schemas.openxmlformats.org/officeDocument/2006/relationships/hyperlink" Target="https://en.wikipedia.org/wiki/California" TargetMode="External"/><Relationship Id="rId835" Type="http://schemas.openxmlformats.org/officeDocument/2006/relationships/hyperlink" Target="https://en.wikipedia.org/wiki/Riverside,_California" TargetMode="External"/><Relationship Id="rId834" Type="http://schemas.openxmlformats.org/officeDocument/2006/relationships/hyperlink" Target="https://en.wikipedia.org/wiki/CBU_Events_Center" TargetMode="External"/><Relationship Id="rId469" Type="http://schemas.openxmlformats.org/officeDocument/2006/relationships/hyperlink" Target="https://en.wikipedia.org/wiki/Southwestern_Athletic_Conference" TargetMode="External"/><Relationship Id="rId468" Type="http://schemas.openxmlformats.org/officeDocument/2006/relationships/hyperlink" Target="https://en.wikipedia.org/wiki/Prairie_View_A%26M_Panthers_and_Lady_Panthers" TargetMode="External"/><Relationship Id="rId467" Type="http://schemas.openxmlformats.org/officeDocument/2006/relationships/hyperlink" Target="https://en.wikipedia.org/wiki/Texas" TargetMode="External"/><Relationship Id="rId462" Type="http://schemas.openxmlformats.org/officeDocument/2006/relationships/hyperlink" Target="https://en.wikipedia.org/wiki/Eastern_Kentucky_Colonels" TargetMode="External"/><Relationship Id="rId461" Type="http://schemas.openxmlformats.org/officeDocument/2006/relationships/hyperlink" Target="https://en.wikipedia.org/wiki/Kentucky" TargetMode="External"/><Relationship Id="rId460" Type="http://schemas.openxmlformats.org/officeDocument/2006/relationships/hyperlink" Target="https://en.wikipedia.org/wiki/Richmond,_Kentucky" TargetMode="External"/><Relationship Id="rId466" Type="http://schemas.openxmlformats.org/officeDocument/2006/relationships/hyperlink" Target="https://en.wikipedia.org/wiki/Prairie_View,_Texas" TargetMode="External"/><Relationship Id="rId465" Type="http://schemas.openxmlformats.org/officeDocument/2006/relationships/hyperlink" Target="https://en.wikipedia.org/wiki/William_J._Nicks_Building" TargetMode="External"/><Relationship Id="rId464" Type="http://schemas.openxmlformats.org/officeDocument/2006/relationships/hyperlink" Target="https://en.wikipedia.org/wiki/File:William_J_Nicks_Building_Prairie_View_A_M_2019.jpg" TargetMode="External"/><Relationship Id="rId463" Type="http://schemas.openxmlformats.org/officeDocument/2006/relationships/hyperlink" Target="https://en.wikipedia.org/wiki/ASUN_Conference" TargetMode="External"/><Relationship Id="rId459" Type="http://schemas.openxmlformats.org/officeDocument/2006/relationships/hyperlink" Target="https://en.wikipedia.org/wiki/Alumni_Coliseum" TargetMode="External"/><Relationship Id="rId458" Type="http://schemas.openxmlformats.org/officeDocument/2006/relationships/hyperlink" Target="https://en.wikipedia.org/wiki/File:Alumnicoliseum.JPG" TargetMode="External"/><Relationship Id="rId457" Type="http://schemas.openxmlformats.org/officeDocument/2006/relationships/hyperlink" Target="https://en.wikipedia.org/wiki/Mid-America_Intercollegiate_Athletics_Association" TargetMode="External"/><Relationship Id="rId456" Type="http://schemas.openxmlformats.org/officeDocument/2006/relationships/hyperlink" Target="https://en.wikipedia.org/wiki/Fort_Hays_State_Tigers" TargetMode="External"/><Relationship Id="rId451" Type="http://schemas.openxmlformats.org/officeDocument/2006/relationships/hyperlink" Target="https://en.wikipedia.org/wiki/Ivy_League" TargetMode="External"/><Relationship Id="rId450" Type="http://schemas.openxmlformats.org/officeDocument/2006/relationships/hyperlink" Target="https://en.wikipedia.org/wiki/Princeton_Tigers" TargetMode="External"/><Relationship Id="rId455" Type="http://schemas.openxmlformats.org/officeDocument/2006/relationships/hyperlink" Target="https://en.wikipedia.org/wiki/Kansas" TargetMode="External"/><Relationship Id="rId454" Type="http://schemas.openxmlformats.org/officeDocument/2006/relationships/hyperlink" Target="https://en.wikipedia.org/wiki/Hays,_Kansas" TargetMode="External"/><Relationship Id="rId453" Type="http://schemas.openxmlformats.org/officeDocument/2006/relationships/hyperlink" Target="https://en.wikipedia.org/wiki/Gross_Memorial_Coliseum" TargetMode="External"/><Relationship Id="rId452" Type="http://schemas.openxmlformats.org/officeDocument/2006/relationships/hyperlink" Target="https://en.wikipedia.org/wiki/File:Gross_Memorial_Coliseum.jpg" TargetMode="External"/><Relationship Id="rId491" Type="http://schemas.openxmlformats.org/officeDocument/2006/relationships/hyperlink" Target="https://en.wikipedia.org/wiki/Morehead_State_Eagles" TargetMode="External"/><Relationship Id="rId490" Type="http://schemas.openxmlformats.org/officeDocument/2006/relationships/hyperlink" Target="https://en.wikipedia.org/wiki/Kentucky" TargetMode="External"/><Relationship Id="rId489" Type="http://schemas.openxmlformats.org/officeDocument/2006/relationships/hyperlink" Target="https://en.wikipedia.org/wiki/Morehead,_Kentucky" TargetMode="External"/><Relationship Id="rId484" Type="http://schemas.openxmlformats.org/officeDocument/2006/relationships/hyperlink" Target="https://en.wikipedia.org/wiki/Ohio" TargetMode="External"/><Relationship Id="rId483" Type="http://schemas.openxmlformats.org/officeDocument/2006/relationships/hyperlink" Target="https://en.wikipedia.org/wiki/Youngstown,_Ohio" TargetMode="External"/><Relationship Id="rId482" Type="http://schemas.openxmlformats.org/officeDocument/2006/relationships/hyperlink" Target="https://en.wikipedia.org/wiki/Beeghly_Center" TargetMode="External"/><Relationship Id="rId481" Type="http://schemas.openxmlformats.org/officeDocument/2006/relationships/hyperlink" Target="https://en.wikipedia.org/wiki/File:BeeghlyCenter1.jpg" TargetMode="External"/><Relationship Id="rId488" Type="http://schemas.openxmlformats.org/officeDocument/2006/relationships/hyperlink" Target="https://en.wikipedia.org/wiki/Ellis_Johnson_Arena" TargetMode="External"/><Relationship Id="rId487" Type="http://schemas.openxmlformats.org/officeDocument/2006/relationships/hyperlink" Target="https://en.wikipedia.org/wiki/File:MoreheadJohnsonArena1.jpg" TargetMode="External"/><Relationship Id="rId486" Type="http://schemas.openxmlformats.org/officeDocument/2006/relationships/hyperlink" Target="https://en.wikipedia.org/wiki/Horizon_League" TargetMode="External"/><Relationship Id="rId485" Type="http://schemas.openxmlformats.org/officeDocument/2006/relationships/hyperlink" Target="https://en.wikipedia.org/wiki/Youngstown_State_Penguins" TargetMode="External"/><Relationship Id="rId480" Type="http://schemas.openxmlformats.org/officeDocument/2006/relationships/hyperlink" Target="https://en.wikipedia.org/wiki/Summit_League" TargetMode="External"/><Relationship Id="rId479" Type="http://schemas.openxmlformats.org/officeDocument/2006/relationships/hyperlink" Target="https://en.wikipedia.org/wiki/South_Dakota_State_Jackrabbits" TargetMode="External"/><Relationship Id="rId478" Type="http://schemas.openxmlformats.org/officeDocument/2006/relationships/hyperlink" Target="https://en.wikipedia.org/wiki/South_Dakota" TargetMode="External"/><Relationship Id="rId473" Type="http://schemas.openxmlformats.org/officeDocument/2006/relationships/hyperlink" Target="https://en.wikipedia.org/wiki/Missouri" TargetMode="External"/><Relationship Id="rId472" Type="http://schemas.openxmlformats.org/officeDocument/2006/relationships/hyperlink" Target="https://en.wikipedia.org/wiki/Warrensburg,_Missouri" TargetMode="External"/><Relationship Id="rId471" Type="http://schemas.openxmlformats.org/officeDocument/2006/relationships/hyperlink" Target="https://en.wikipedia.org/wiki/UCM_Multipurpose_Building" TargetMode="External"/><Relationship Id="rId470" Type="http://schemas.openxmlformats.org/officeDocument/2006/relationships/hyperlink" Target="https://en.wikipedia.org/wiki/List_of_indoor_arenas_in_the_United_States" TargetMode="External"/><Relationship Id="rId477" Type="http://schemas.openxmlformats.org/officeDocument/2006/relationships/hyperlink" Target="https://en.wikipedia.org/wiki/Brookings,_South_Dakota" TargetMode="External"/><Relationship Id="rId476" Type="http://schemas.openxmlformats.org/officeDocument/2006/relationships/hyperlink" Target="https://en.wikipedia.org/wiki/Frost_Arena" TargetMode="External"/><Relationship Id="rId475" Type="http://schemas.openxmlformats.org/officeDocument/2006/relationships/hyperlink" Target="https://en.wikipedia.org/wiki/Mid-America_Intercollegiate_Athletics_Association" TargetMode="External"/><Relationship Id="rId474" Type="http://schemas.openxmlformats.org/officeDocument/2006/relationships/hyperlink" Target="https://en.wikipedia.org/wiki/Central_Missouri_Mules_and_Jennies" TargetMode="External"/><Relationship Id="rId426" Type="http://schemas.openxmlformats.org/officeDocument/2006/relationships/hyperlink" Target="https://en.wikipedia.org/wiki/Mississippi" TargetMode="External"/><Relationship Id="rId425" Type="http://schemas.openxmlformats.org/officeDocument/2006/relationships/hyperlink" Target="https://en.wikipedia.org/wiki/Lorman,_Mississippi" TargetMode="External"/><Relationship Id="rId424" Type="http://schemas.openxmlformats.org/officeDocument/2006/relationships/hyperlink" Target="https://en.wikipedia.org/wiki/Davey_Whitney_Complex" TargetMode="External"/><Relationship Id="rId423" Type="http://schemas.openxmlformats.org/officeDocument/2006/relationships/hyperlink" Target="https://en.wikipedia.org/wiki/Chicago_State_Cougars" TargetMode="External"/><Relationship Id="rId429" Type="http://schemas.openxmlformats.org/officeDocument/2006/relationships/hyperlink" Target="https://en.wikipedia.org/wiki/File:ShowMeCenter.jpg" TargetMode="External"/><Relationship Id="rId428" Type="http://schemas.openxmlformats.org/officeDocument/2006/relationships/hyperlink" Target="https://en.wikipedia.org/wiki/Southwestern_Athletic_Conference" TargetMode="External"/><Relationship Id="rId427" Type="http://schemas.openxmlformats.org/officeDocument/2006/relationships/hyperlink" Target="https://en.wikipedia.org/wiki/Alcorn_State_Braves" TargetMode="External"/><Relationship Id="rId422" Type="http://schemas.openxmlformats.org/officeDocument/2006/relationships/hyperlink" Target="https://en.wikipedia.org/wiki/Illinois" TargetMode="External"/><Relationship Id="rId421" Type="http://schemas.openxmlformats.org/officeDocument/2006/relationships/hyperlink" Target="https://en.wikipedia.org/wiki/Chicago" TargetMode="External"/><Relationship Id="rId420" Type="http://schemas.openxmlformats.org/officeDocument/2006/relationships/hyperlink" Target="https://en.wikipedia.org/wiki/Emil_and_Patricia_Jones_Convocation_Center" TargetMode="External"/><Relationship Id="rId415" Type="http://schemas.openxmlformats.org/officeDocument/2006/relationships/hyperlink" Target="https://en.wikipedia.org/wiki/Global_Credit_Union_Arena" TargetMode="External"/><Relationship Id="rId899" Type="http://schemas.openxmlformats.org/officeDocument/2006/relationships/hyperlink" Target="https://en.wikipedia.org/wiki/Indiana" TargetMode="External"/><Relationship Id="rId414" Type="http://schemas.openxmlformats.org/officeDocument/2006/relationships/hyperlink" Target="https://en.wikipedia.org/wiki/File:Grand_Canyon_University_Arena_-_Dusk.jpg" TargetMode="External"/><Relationship Id="rId898" Type="http://schemas.openxmlformats.org/officeDocument/2006/relationships/hyperlink" Target="https://en.wikipedia.org/wiki/Valparaiso,_Indiana" TargetMode="External"/><Relationship Id="rId413" Type="http://schemas.openxmlformats.org/officeDocument/2006/relationships/hyperlink" Target="https://en.wikipedia.org/wiki/Western_Athletic_Conference" TargetMode="External"/><Relationship Id="rId897" Type="http://schemas.openxmlformats.org/officeDocument/2006/relationships/hyperlink" Target="https://en.wikipedia.org/wiki/Athletics%E2%80%93Recreation_Center" TargetMode="External"/><Relationship Id="rId412" Type="http://schemas.openxmlformats.org/officeDocument/2006/relationships/hyperlink" Target="https://en.wikipedia.org/wiki/UT_Arlington_Mavericks" TargetMode="External"/><Relationship Id="rId896" Type="http://schemas.openxmlformats.org/officeDocument/2006/relationships/hyperlink" Target="https://en.wikipedia.org/wiki/File:ARCmainentrance.JPG" TargetMode="External"/><Relationship Id="rId419" Type="http://schemas.openxmlformats.org/officeDocument/2006/relationships/hyperlink" Target="https://en.wikipedia.org/wiki/Western_Athletic_Conference" TargetMode="External"/><Relationship Id="rId418" Type="http://schemas.openxmlformats.org/officeDocument/2006/relationships/hyperlink" Target="https://en.wikipedia.org/wiki/Grand_Canyon_Antelopes" TargetMode="External"/><Relationship Id="rId417" Type="http://schemas.openxmlformats.org/officeDocument/2006/relationships/hyperlink" Target="https://en.wikipedia.org/wiki/Arizona" TargetMode="External"/><Relationship Id="rId416" Type="http://schemas.openxmlformats.org/officeDocument/2006/relationships/hyperlink" Target="https://en.wikipedia.org/wiki/Phoenix,_Arizona" TargetMode="External"/><Relationship Id="rId891" Type="http://schemas.openxmlformats.org/officeDocument/2006/relationships/hyperlink" Target="https://en.wikipedia.org/wiki/Slater_Family_Ice_Arena" TargetMode="External"/><Relationship Id="rId890" Type="http://schemas.openxmlformats.org/officeDocument/2006/relationships/hyperlink" Target="https://en.wikipedia.org/wiki/File:BGSUIce1.jpg" TargetMode="External"/><Relationship Id="rId411" Type="http://schemas.openxmlformats.org/officeDocument/2006/relationships/hyperlink" Target="https://en.wikipedia.org/wiki/Texas" TargetMode="External"/><Relationship Id="rId895" Type="http://schemas.openxmlformats.org/officeDocument/2006/relationships/hyperlink" Target="https://en.wikipedia.org/wiki/Central_Collegiate_Hockey_Association" TargetMode="External"/><Relationship Id="rId410" Type="http://schemas.openxmlformats.org/officeDocument/2006/relationships/hyperlink" Target="https://en.wikipedia.org/wiki/Arlington,_Texas" TargetMode="External"/><Relationship Id="rId894" Type="http://schemas.openxmlformats.org/officeDocument/2006/relationships/hyperlink" Target="https://en.wikipedia.org/wiki/Bowling_Green_Falcons_men%27s_ice_hockey" TargetMode="External"/><Relationship Id="rId893" Type="http://schemas.openxmlformats.org/officeDocument/2006/relationships/hyperlink" Target="https://en.wikipedia.org/wiki/Ohio" TargetMode="External"/><Relationship Id="rId892" Type="http://schemas.openxmlformats.org/officeDocument/2006/relationships/hyperlink" Target="https://en.wikipedia.org/wiki/Bowling_Green,_Ohio" TargetMode="External"/><Relationship Id="rId448" Type="http://schemas.openxmlformats.org/officeDocument/2006/relationships/hyperlink" Target="https://en.wikipedia.org/wiki/Princeton,_New_Jersey" TargetMode="External"/><Relationship Id="rId447" Type="http://schemas.openxmlformats.org/officeDocument/2006/relationships/hyperlink" Target="https://en.wikipedia.org/wiki/Jadwin_Gymnasium" TargetMode="External"/><Relationship Id="rId446" Type="http://schemas.openxmlformats.org/officeDocument/2006/relationships/hyperlink" Target="https://en.wikipedia.org/wiki/File:Jadwin_Gymnasium.jpg" TargetMode="External"/><Relationship Id="rId445" Type="http://schemas.openxmlformats.org/officeDocument/2006/relationships/hyperlink" Target="https://en.wikipedia.org/wiki/Atlantic_Hockey" TargetMode="External"/><Relationship Id="rId449" Type="http://schemas.openxmlformats.org/officeDocument/2006/relationships/hyperlink" Target="https://en.wikipedia.org/wiki/New_Jersey" TargetMode="External"/><Relationship Id="rId440" Type="http://schemas.openxmlformats.org/officeDocument/2006/relationships/hyperlink" Target="https://en.wikipedia.org/wiki/Missouri_Valley_Conference" TargetMode="External"/><Relationship Id="rId444" Type="http://schemas.openxmlformats.org/officeDocument/2006/relationships/hyperlink" Target="https://en.wikipedia.org/wiki/American_International_Yellow_Jackets_men%27s_ice_hockey" TargetMode="External"/><Relationship Id="rId443" Type="http://schemas.openxmlformats.org/officeDocument/2006/relationships/hyperlink" Target="https://en.wikipedia.org/wiki/Massachusetts" TargetMode="External"/><Relationship Id="rId442" Type="http://schemas.openxmlformats.org/officeDocument/2006/relationships/hyperlink" Target="https://en.wikipedia.org/wiki/Springfield,_Massachusetts" TargetMode="External"/><Relationship Id="rId441" Type="http://schemas.openxmlformats.org/officeDocument/2006/relationships/hyperlink" Target="https://en.wikipedia.org/wiki/MassMutual_Center" TargetMode="External"/><Relationship Id="rId437" Type="http://schemas.openxmlformats.org/officeDocument/2006/relationships/hyperlink" Target="https://en.wikipedia.org/wiki/Chicago" TargetMode="External"/><Relationship Id="rId436" Type="http://schemas.openxmlformats.org/officeDocument/2006/relationships/hyperlink" Target="https://en.wikipedia.org/wiki/Credit_Union_1_Arena" TargetMode="External"/><Relationship Id="rId435" Type="http://schemas.openxmlformats.org/officeDocument/2006/relationships/hyperlink" Target="https://en.wikipedia.org/wiki/File:Uic_pavilion.JPG" TargetMode="External"/><Relationship Id="rId434" Type="http://schemas.openxmlformats.org/officeDocument/2006/relationships/hyperlink" Target="https://en.wikipedia.org/wiki/Ohio_Valley_Conference" TargetMode="External"/><Relationship Id="rId439" Type="http://schemas.openxmlformats.org/officeDocument/2006/relationships/hyperlink" Target="https://en.wikipedia.org/wiki/UIC_Flames" TargetMode="External"/><Relationship Id="rId438" Type="http://schemas.openxmlformats.org/officeDocument/2006/relationships/hyperlink" Target="https://en.wikipedia.org/wiki/Illinois" TargetMode="External"/><Relationship Id="rId433" Type="http://schemas.openxmlformats.org/officeDocument/2006/relationships/hyperlink" Target="https://en.wikipedia.org/wiki/Southeast_Missouri_State_Redhawks" TargetMode="External"/><Relationship Id="rId432" Type="http://schemas.openxmlformats.org/officeDocument/2006/relationships/hyperlink" Target="https://en.wikipedia.org/wiki/Missouri" TargetMode="External"/><Relationship Id="rId431" Type="http://schemas.openxmlformats.org/officeDocument/2006/relationships/hyperlink" Target="https://en.wikipedia.org/wiki/Cape_Girardeau,_Missouri" TargetMode="External"/><Relationship Id="rId430" Type="http://schemas.openxmlformats.org/officeDocument/2006/relationships/hyperlink" Target="https://en.wikipedia.org/wiki/Show_Me_Cen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27.38"/>
    <col customWidth="1" min="3" max="3" width="4.38"/>
    <col customWidth="1" min="4" max="7" width="12.88"/>
    <col customWidth="1" min="8" max="8" width="2.88"/>
    <col customWidth="1" min="9" max="9" width="12.25"/>
  </cols>
  <sheetData>
    <row r="1">
      <c r="A1" s="1" t="s">
        <v>0</v>
      </c>
    </row>
    <row r="2">
      <c r="A2" s="2" t="s">
        <v>1</v>
      </c>
    </row>
    <row r="4">
      <c r="A4" s="3"/>
      <c r="B4" s="4" t="s">
        <v>2</v>
      </c>
      <c r="C4" s="5"/>
      <c r="D4" s="6" t="s">
        <v>3</v>
      </c>
      <c r="E4" s="6" t="s">
        <v>4</v>
      </c>
      <c r="F4" s="6" t="s">
        <v>5</v>
      </c>
      <c r="G4" s="6" t="s">
        <v>5</v>
      </c>
      <c r="H4" s="5"/>
      <c r="I4" s="7" t="s">
        <v>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/>
      <c r="B5" s="9" t="s">
        <v>7</v>
      </c>
      <c r="C5" s="10"/>
      <c r="D5" s="11"/>
      <c r="E5" s="11"/>
      <c r="F5" s="12" t="s">
        <v>8</v>
      </c>
      <c r="G5" s="13" t="s">
        <v>9</v>
      </c>
      <c r="H5" s="10"/>
      <c r="I5" s="14" t="s">
        <v>10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B6" s="15"/>
    </row>
    <row r="7">
      <c r="B7" s="16" t="s">
        <v>11</v>
      </c>
      <c r="D7" s="17"/>
      <c r="E7" s="17"/>
      <c r="F7" s="17"/>
      <c r="G7" s="17"/>
      <c r="H7" s="18"/>
      <c r="I7" s="19"/>
    </row>
    <row r="8">
      <c r="B8" s="15" t="s">
        <v>12</v>
      </c>
      <c r="D8" s="20">
        <f>Stadiums!B416</f>
        <v>406</v>
      </c>
      <c r="E8" s="20">
        <f>Arenas!B542</f>
        <v>531</v>
      </c>
      <c r="F8" s="20">
        <f>'College Arenas &gt; 10,000'!B101</f>
        <v>92</v>
      </c>
      <c r="G8" s="20">
        <f>'College Arenas 5,000-10,000'!B179</f>
        <v>171</v>
      </c>
      <c r="H8" s="18"/>
      <c r="I8" s="21">
        <f t="shared" ref="I8:I9" si="1">SUM(D8:G8)</f>
        <v>1200</v>
      </c>
    </row>
    <row r="9">
      <c r="B9" s="15" t="s">
        <v>13</v>
      </c>
      <c r="D9" s="22">
        <f>Stadiums!D418</f>
        <v>13396158</v>
      </c>
      <c r="E9" s="22">
        <f>Arenas!J544</f>
        <v>4089018.333</v>
      </c>
      <c r="F9" s="22">
        <f>'College Arenas &gt; 10,000'!I103</f>
        <v>1226573.833</v>
      </c>
      <c r="G9" s="22">
        <f>'College Arenas 5,000-10,000'!I181</f>
        <v>1143341</v>
      </c>
      <c r="H9" s="18"/>
      <c r="I9" s="23">
        <f t="shared" si="1"/>
        <v>19855091.17</v>
      </c>
    </row>
    <row r="10">
      <c r="B10" s="24"/>
      <c r="D10" s="25"/>
      <c r="E10" s="25"/>
      <c r="F10" s="25"/>
      <c r="G10" s="25"/>
      <c r="I10" s="25"/>
    </row>
    <row r="11">
      <c r="B11" s="24"/>
      <c r="D11" s="25"/>
      <c r="E11" s="25"/>
      <c r="F11" s="25"/>
      <c r="G11" s="25"/>
      <c r="I11" s="25"/>
    </row>
    <row r="12">
      <c r="B12" s="16" t="s">
        <v>14</v>
      </c>
      <c r="D12" s="25"/>
      <c r="E12" s="25"/>
      <c r="F12" s="25"/>
      <c r="G12" s="25"/>
      <c r="I12" s="25"/>
    </row>
    <row r="13">
      <c r="B13" s="24" t="s">
        <v>15</v>
      </c>
      <c r="D13" s="26">
        <v>0.3</v>
      </c>
      <c r="E13" s="26">
        <v>0.3</v>
      </c>
      <c r="F13" s="26">
        <v>0.3</v>
      </c>
      <c r="G13" s="26">
        <v>0.3</v>
      </c>
      <c r="I13" s="26">
        <v>0.3</v>
      </c>
    </row>
    <row r="14">
      <c r="B14" s="24" t="s">
        <v>16</v>
      </c>
      <c r="D14" s="27">
        <f t="shared" ref="D14:G14" si="2">(0.05+0.3)/2</f>
        <v>0.175</v>
      </c>
      <c r="E14" s="27">
        <f t="shared" si="2"/>
        <v>0.175</v>
      </c>
      <c r="F14" s="27">
        <f t="shared" si="2"/>
        <v>0.175</v>
      </c>
      <c r="G14" s="27">
        <f t="shared" si="2"/>
        <v>0.175</v>
      </c>
      <c r="I14" s="27">
        <f>(0.05+0.3)/2</f>
        <v>0.175</v>
      </c>
    </row>
    <row r="15">
      <c r="B15" s="15" t="s">
        <v>17</v>
      </c>
      <c r="D15" s="28">
        <f t="shared" ref="D15:G15" si="3">D9*D13*D14</f>
        <v>703298.295</v>
      </c>
      <c r="E15" s="28">
        <f t="shared" si="3"/>
        <v>214673.4625</v>
      </c>
      <c r="F15" s="28">
        <f t="shared" si="3"/>
        <v>64395.12625</v>
      </c>
      <c r="G15" s="28">
        <f t="shared" si="3"/>
        <v>60025.4025</v>
      </c>
      <c r="I15" s="28">
        <f>I9*I13*I14</f>
        <v>1042392.286</v>
      </c>
    </row>
    <row r="16">
      <c r="B16" s="24" t="s">
        <v>18</v>
      </c>
      <c r="D16" s="29">
        <v>4.0</v>
      </c>
      <c r="E16" s="29">
        <v>4.0</v>
      </c>
      <c r="F16" s="29">
        <v>4.0</v>
      </c>
      <c r="G16" s="29">
        <v>4.0</v>
      </c>
      <c r="I16" s="29">
        <v>4.0</v>
      </c>
    </row>
    <row r="17">
      <c r="B17" s="15" t="s">
        <v>19</v>
      </c>
      <c r="D17" s="30">
        <f t="shared" ref="D17:G17" si="4">D15*D16</f>
        <v>2813193.18</v>
      </c>
      <c r="E17" s="30">
        <f t="shared" si="4"/>
        <v>858693.85</v>
      </c>
      <c r="F17" s="30">
        <f t="shared" si="4"/>
        <v>257580.505</v>
      </c>
      <c r="G17" s="30">
        <f t="shared" si="4"/>
        <v>240101.61</v>
      </c>
      <c r="I17" s="30">
        <f>I15*I16</f>
        <v>4169569.145</v>
      </c>
    </row>
    <row r="18">
      <c r="B18" s="15" t="s">
        <v>20</v>
      </c>
      <c r="D18" s="31">
        <f t="shared" ref="D18:G18" si="5">D17*12</f>
        <v>33758318.16</v>
      </c>
      <c r="E18" s="31">
        <f t="shared" si="5"/>
        <v>10304326.2</v>
      </c>
      <c r="F18" s="31">
        <f t="shared" si="5"/>
        <v>3090966.06</v>
      </c>
      <c r="G18" s="31">
        <f t="shared" si="5"/>
        <v>2881219.32</v>
      </c>
      <c r="I18" s="31">
        <f>I17*12</f>
        <v>50034829.74</v>
      </c>
    </row>
    <row r="21">
      <c r="B21" s="16" t="s">
        <v>21</v>
      </c>
    </row>
    <row r="22">
      <c r="B22" s="24" t="s">
        <v>22</v>
      </c>
      <c r="D22" s="32">
        <f t="shared" ref="D22:G22" si="6">(0.5+0.75)/2</f>
        <v>0.625</v>
      </c>
      <c r="E22" s="32">
        <f t="shared" si="6"/>
        <v>0.625</v>
      </c>
      <c r="F22" s="32">
        <f t="shared" si="6"/>
        <v>0.625</v>
      </c>
      <c r="G22" s="32">
        <f t="shared" si="6"/>
        <v>0.625</v>
      </c>
      <c r="I22" s="32">
        <f>(0.5+0.75)/2</f>
        <v>0.625</v>
      </c>
    </row>
    <row r="23">
      <c r="B23" s="24" t="s">
        <v>16</v>
      </c>
      <c r="D23" s="27">
        <f t="shared" ref="D23:G23" si="7">(0.05+0.3)/2</f>
        <v>0.175</v>
      </c>
      <c r="E23" s="27">
        <f t="shared" si="7"/>
        <v>0.175</v>
      </c>
      <c r="F23" s="27">
        <f t="shared" si="7"/>
        <v>0.175</v>
      </c>
      <c r="G23" s="27">
        <f t="shared" si="7"/>
        <v>0.175</v>
      </c>
      <c r="I23" s="27">
        <f>(0.05+0.3)/2</f>
        <v>0.175</v>
      </c>
    </row>
    <row r="24">
      <c r="B24" s="15" t="s">
        <v>17</v>
      </c>
      <c r="D24" s="28">
        <f t="shared" ref="D24:G24" si="8">D9*D22*D23</f>
        <v>1465204.781</v>
      </c>
      <c r="E24" s="28">
        <f t="shared" si="8"/>
        <v>447236.3802</v>
      </c>
      <c r="F24" s="28">
        <f t="shared" si="8"/>
        <v>134156.513</v>
      </c>
      <c r="G24" s="28">
        <f t="shared" si="8"/>
        <v>125052.9219</v>
      </c>
      <c r="I24" s="28">
        <f>I9*I22*I23</f>
        <v>2171650.596</v>
      </c>
    </row>
    <row r="25">
      <c r="B25" s="24" t="s">
        <v>18</v>
      </c>
      <c r="D25" s="29">
        <v>4.0</v>
      </c>
      <c r="E25" s="29">
        <v>4.0</v>
      </c>
      <c r="F25" s="29">
        <v>4.0</v>
      </c>
      <c r="G25" s="29">
        <v>4.0</v>
      </c>
      <c r="I25" s="29">
        <v>4.0</v>
      </c>
    </row>
    <row r="26">
      <c r="B26" s="15" t="s">
        <v>19</v>
      </c>
      <c r="D26" s="30">
        <f t="shared" ref="D26:G26" si="9">D24*D25</f>
        <v>5860819.125</v>
      </c>
      <c r="E26" s="30">
        <f t="shared" si="9"/>
        <v>1788945.521</v>
      </c>
      <c r="F26" s="30">
        <f t="shared" si="9"/>
        <v>536626.0521</v>
      </c>
      <c r="G26" s="30">
        <f t="shared" si="9"/>
        <v>500211.6875</v>
      </c>
      <c r="I26" s="30">
        <f>I24*I25</f>
        <v>8686602.385</v>
      </c>
    </row>
    <row r="27">
      <c r="B27" s="15" t="s">
        <v>20</v>
      </c>
      <c r="D27" s="31">
        <f t="shared" ref="D27:G27" si="10">D26*12</f>
        <v>70329829.5</v>
      </c>
      <c r="E27" s="31">
        <f t="shared" si="10"/>
        <v>21467346.25</v>
      </c>
      <c r="F27" s="31">
        <f t="shared" si="10"/>
        <v>6439512.625</v>
      </c>
      <c r="G27" s="31">
        <f t="shared" si="10"/>
        <v>6002540.25</v>
      </c>
      <c r="I27" s="31">
        <f>I26*12</f>
        <v>104239228.6</v>
      </c>
    </row>
    <row r="29">
      <c r="D29" s="33" t="s">
        <v>23</v>
      </c>
    </row>
    <row r="30">
      <c r="D30" s="34"/>
    </row>
    <row r="31">
      <c r="D31" s="24" t="s">
        <v>24</v>
      </c>
    </row>
    <row r="32">
      <c r="D32" s="24" t="s">
        <v>25</v>
      </c>
    </row>
    <row r="33">
      <c r="D33" s="24" t="s">
        <v>26</v>
      </c>
    </row>
    <row r="34">
      <c r="D34" s="24" t="s">
        <v>27</v>
      </c>
    </row>
    <row r="35">
      <c r="D35" s="24"/>
    </row>
    <row r="36">
      <c r="D36" s="24" t="s">
        <v>28</v>
      </c>
    </row>
    <row r="37">
      <c r="D37" s="35" t="s">
        <v>29</v>
      </c>
    </row>
    <row r="38">
      <c r="D38" s="35" t="s">
        <v>30</v>
      </c>
    </row>
    <row r="39">
      <c r="D39" s="35" t="s">
        <v>31</v>
      </c>
    </row>
  </sheetData>
  <printOptions gridLines="1"/>
  <pageMargins bottom="0.75" footer="0.0" header="0.0" left="0.21277997364953885" right="0.34716732542819495" top="0.3452807646356033"/>
  <pageSetup scale="85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4.75"/>
    <col customWidth="1" min="2" max="2" width="7.5"/>
    <col customWidth="1" min="3" max="3" width="28.5"/>
    <col customWidth="1" min="4" max="4" width="15.75"/>
    <col customWidth="1" min="5" max="5" width="17.63"/>
    <col customWidth="1" min="6" max="6" width="18.38"/>
    <col customWidth="1" min="7" max="7" width="10.38"/>
    <col customWidth="1" min="9" max="9" width="40.25"/>
    <col customWidth="1" min="10" max="10" width="10.5"/>
  </cols>
  <sheetData>
    <row r="1">
      <c r="A1" s="36" t="s">
        <v>32</v>
      </c>
      <c r="B1" s="37"/>
      <c r="C1" s="34"/>
      <c r="D1" s="38"/>
      <c r="E1" s="34"/>
      <c r="F1" s="34"/>
      <c r="G1" s="37"/>
      <c r="H1" s="34"/>
      <c r="I1" s="34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36" t="s">
        <v>33</v>
      </c>
      <c r="B2" s="37"/>
      <c r="C2" s="34"/>
      <c r="D2" s="38"/>
      <c r="E2" s="34"/>
      <c r="F2" s="34"/>
      <c r="G2" s="37"/>
      <c r="H2" s="34"/>
      <c r="I2" s="34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39"/>
      <c r="B3" s="37"/>
      <c r="C3" s="34"/>
      <c r="D3" s="38"/>
      <c r="E3" s="34"/>
      <c r="F3" s="34"/>
      <c r="G3" s="37"/>
      <c r="H3" s="34"/>
      <c r="I3" s="34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39"/>
      <c r="B4" s="40" t="s">
        <v>34</v>
      </c>
      <c r="C4" s="34"/>
      <c r="D4" s="38"/>
      <c r="E4" s="34"/>
      <c r="F4" s="34"/>
      <c r="G4" s="37"/>
      <c r="H4" s="34"/>
      <c r="I4" s="34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39"/>
      <c r="B5" s="40" t="s">
        <v>35</v>
      </c>
      <c r="C5" s="34"/>
      <c r="D5" s="38"/>
      <c r="E5" s="34"/>
      <c r="F5" s="34"/>
      <c r="G5" s="37"/>
      <c r="H5" s="34"/>
      <c r="I5" s="34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9"/>
      <c r="B6" s="40" t="s">
        <v>36</v>
      </c>
      <c r="C6" s="34"/>
      <c r="D6" s="38"/>
      <c r="E6" s="34"/>
      <c r="F6" s="34"/>
      <c r="G6" s="37"/>
      <c r="H6" s="34"/>
      <c r="I6" s="34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39"/>
      <c r="B7" s="41" t="s">
        <v>37</v>
      </c>
      <c r="C7" s="34"/>
      <c r="D7" s="38"/>
      <c r="E7" s="34"/>
      <c r="F7" s="34"/>
      <c r="G7" s="37"/>
      <c r="H7" s="34"/>
      <c r="I7" s="34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39"/>
      <c r="B8" s="42"/>
      <c r="C8" s="34"/>
      <c r="D8" s="38"/>
      <c r="E8" s="34"/>
      <c r="F8" s="34"/>
      <c r="G8" s="37"/>
      <c r="H8" s="34"/>
      <c r="I8" s="34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9"/>
      <c r="B9" s="41" t="s">
        <v>38</v>
      </c>
      <c r="C9" s="34"/>
      <c r="D9" s="38"/>
      <c r="E9" s="34"/>
      <c r="F9" s="34"/>
      <c r="G9" s="37"/>
      <c r="H9" s="34"/>
      <c r="I9" s="34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/>
      <c r="B10" s="43" t="s">
        <v>39</v>
      </c>
      <c r="C10" s="43" t="s">
        <v>40</v>
      </c>
      <c r="D10" s="44" t="s">
        <v>7</v>
      </c>
      <c r="E10" s="43" t="s">
        <v>41</v>
      </c>
      <c r="F10" s="43" t="s">
        <v>42</v>
      </c>
      <c r="G10" s="43" t="s">
        <v>43</v>
      </c>
      <c r="H10" s="43" t="s">
        <v>44</v>
      </c>
      <c r="I10" s="43" t="s">
        <v>45</v>
      </c>
      <c r="J10" s="45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46">
        <v>1.0</v>
      </c>
      <c r="C11" s="47" t="s">
        <v>46</v>
      </c>
      <c r="D11" s="48">
        <v>107601.0</v>
      </c>
      <c r="E11" s="49" t="s">
        <v>47</v>
      </c>
      <c r="F11" s="49" t="s">
        <v>48</v>
      </c>
      <c r="G11" s="46">
        <v>1927.0</v>
      </c>
      <c r="H11" s="50" t="s">
        <v>49</v>
      </c>
      <c r="I11" s="47" t="s">
        <v>50</v>
      </c>
      <c r="J11" s="51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39"/>
      <c r="B12" s="46">
        <v>2.0</v>
      </c>
      <c r="C12" s="47" t="s">
        <v>51</v>
      </c>
      <c r="D12" s="48">
        <v>106572.0</v>
      </c>
      <c r="E12" s="49" t="s">
        <v>52</v>
      </c>
      <c r="F12" s="49" t="s">
        <v>53</v>
      </c>
      <c r="G12" s="46">
        <v>1960.0</v>
      </c>
      <c r="H12" s="50" t="s">
        <v>49</v>
      </c>
      <c r="I12" s="47" t="s">
        <v>54</v>
      </c>
      <c r="J12" s="51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39"/>
      <c r="B13" s="46">
        <v>3.0</v>
      </c>
      <c r="C13" s="47" t="s">
        <v>55</v>
      </c>
      <c r="D13" s="48">
        <v>102780.0</v>
      </c>
      <c r="E13" s="49" t="s">
        <v>56</v>
      </c>
      <c r="F13" s="49" t="s">
        <v>57</v>
      </c>
      <c r="G13" s="46">
        <v>1922.0</v>
      </c>
      <c r="H13" s="50" t="s">
        <v>49</v>
      </c>
      <c r="I13" s="47" t="s">
        <v>58</v>
      </c>
      <c r="J13" s="51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39"/>
      <c r="B14" s="46">
        <v>4.0</v>
      </c>
      <c r="C14" s="49" t="s">
        <v>59</v>
      </c>
      <c r="D14" s="48">
        <v>102733.0</v>
      </c>
      <c r="E14" s="49" t="s">
        <v>60</v>
      </c>
      <c r="F14" s="49" t="s">
        <v>61</v>
      </c>
      <c r="G14" s="46">
        <v>1927.0</v>
      </c>
      <c r="H14" s="50" t="s">
        <v>49</v>
      </c>
      <c r="I14" s="47" t="s">
        <v>62</v>
      </c>
      <c r="J14" s="51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39"/>
      <c r="B15" s="46">
        <v>5.0</v>
      </c>
      <c r="C15" s="47" t="s">
        <v>63</v>
      </c>
      <c r="D15" s="48">
        <v>102321.0</v>
      </c>
      <c r="E15" s="49" t="s">
        <v>64</v>
      </c>
      <c r="F15" s="49" t="s">
        <v>65</v>
      </c>
      <c r="G15" s="46">
        <v>1924.0</v>
      </c>
      <c r="H15" s="50" t="s">
        <v>49</v>
      </c>
      <c r="I15" s="47" t="s">
        <v>66</v>
      </c>
      <c r="J15" s="51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9"/>
      <c r="B16" s="46">
        <v>6.0</v>
      </c>
      <c r="C16" s="47" t="s">
        <v>67</v>
      </c>
      <c r="D16" s="48">
        <v>101915.0</v>
      </c>
      <c r="E16" s="49" t="s">
        <v>68</v>
      </c>
      <c r="F16" s="49" t="s">
        <v>69</v>
      </c>
      <c r="G16" s="46">
        <v>1921.0</v>
      </c>
      <c r="H16" s="50" t="s">
        <v>49</v>
      </c>
      <c r="I16" s="47" t="s">
        <v>70</v>
      </c>
      <c r="J16" s="51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46">
        <v>7.0</v>
      </c>
      <c r="C17" s="47" t="s">
        <v>71</v>
      </c>
      <c r="D17" s="48">
        <v>100119.0</v>
      </c>
      <c r="E17" s="49" t="s">
        <v>72</v>
      </c>
      <c r="F17" s="49" t="s">
        <v>61</v>
      </c>
      <c r="G17" s="46">
        <v>1924.0</v>
      </c>
      <c r="H17" s="50" t="s">
        <v>49</v>
      </c>
      <c r="I17" s="47" t="s">
        <v>73</v>
      </c>
      <c r="J17" s="51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39"/>
      <c r="B18" s="46">
        <v>8.0</v>
      </c>
      <c r="C18" s="47" t="s">
        <v>74</v>
      </c>
      <c r="D18" s="48">
        <v>100077.0</v>
      </c>
      <c r="E18" s="49" t="s">
        <v>75</v>
      </c>
      <c r="F18" s="49" t="s">
        <v>76</v>
      </c>
      <c r="G18" s="46">
        <v>1929.0</v>
      </c>
      <c r="H18" s="50" t="s">
        <v>49</v>
      </c>
      <c r="I18" s="47" t="s">
        <v>77</v>
      </c>
      <c r="J18" s="51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39"/>
      <c r="B19" s="46">
        <v>9.0</v>
      </c>
      <c r="C19" s="47" t="s">
        <v>78</v>
      </c>
      <c r="D19" s="48">
        <v>92746.0</v>
      </c>
      <c r="E19" s="49" t="s">
        <v>79</v>
      </c>
      <c r="F19" s="49" t="s">
        <v>80</v>
      </c>
      <c r="G19" s="46">
        <v>1929.0</v>
      </c>
      <c r="H19" s="50" t="s">
        <v>49</v>
      </c>
      <c r="I19" s="47" t="s">
        <v>81</v>
      </c>
      <c r="J19" s="51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39"/>
      <c r="B20" s="46">
        <v>10.0</v>
      </c>
      <c r="C20" s="47" t="s">
        <v>82</v>
      </c>
      <c r="D20" s="48">
        <v>92542.0</v>
      </c>
      <c r="E20" s="49" t="s">
        <v>83</v>
      </c>
      <c r="F20" s="49" t="s">
        <v>84</v>
      </c>
      <c r="G20" s="46">
        <v>1922.0</v>
      </c>
      <c r="H20" s="50" t="s">
        <v>49</v>
      </c>
      <c r="I20" s="47" t="s">
        <v>85</v>
      </c>
      <c r="J20" s="51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9"/>
      <c r="B21" s="46">
        <v>11.0</v>
      </c>
      <c r="C21" s="49" t="s">
        <v>86</v>
      </c>
      <c r="D21" s="48">
        <v>92100.0</v>
      </c>
      <c r="E21" s="49" t="s">
        <v>87</v>
      </c>
      <c r="F21" s="49" t="s">
        <v>61</v>
      </c>
      <c r="G21" s="46">
        <v>1930.0</v>
      </c>
      <c r="H21" s="50" t="s">
        <v>49</v>
      </c>
      <c r="I21" s="47" t="s">
        <v>88</v>
      </c>
      <c r="J21" s="51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39"/>
      <c r="B22" s="46">
        <v>12.0</v>
      </c>
      <c r="C22" s="47" t="s">
        <v>89</v>
      </c>
      <c r="D22" s="48">
        <v>88548.0</v>
      </c>
      <c r="E22" s="49" t="s">
        <v>90</v>
      </c>
      <c r="F22" s="49" t="s">
        <v>91</v>
      </c>
      <c r="G22" s="46">
        <v>1930.0</v>
      </c>
      <c r="H22" s="50" t="s">
        <v>49</v>
      </c>
      <c r="I22" s="47" t="s">
        <v>92</v>
      </c>
      <c r="J22" s="51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46">
        <v>13.0</v>
      </c>
      <c r="C23" s="47" t="s">
        <v>93</v>
      </c>
      <c r="D23" s="48">
        <v>88043.0</v>
      </c>
      <c r="E23" s="49" t="s">
        <v>94</v>
      </c>
      <c r="F23" s="49" t="s">
        <v>76</v>
      </c>
      <c r="G23" s="46">
        <v>1939.0</v>
      </c>
      <c r="H23" s="50" t="s">
        <v>49</v>
      </c>
      <c r="I23" s="47" t="s">
        <v>95</v>
      </c>
      <c r="J23" s="51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39"/>
      <c r="B24" s="46">
        <v>14.0</v>
      </c>
      <c r="C24" s="47" t="s">
        <v>96</v>
      </c>
      <c r="D24" s="48">
        <v>85458.0</v>
      </c>
      <c r="E24" s="49" t="s">
        <v>97</v>
      </c>
      <c r="F24" s="49" t="s">
        <v>98</v>
      </c>
      <c r="G24" s="46">
        <v>1923.0</v>
      </c>
      <c r="H24" s="50" t="s">
        <v>49</v>
      </c>
      <c r="I24" s="47" t="s">
        <v>99</v>
      </c>
      <c r="J24" s="51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39"/>
      <c r="B25" s="52">
        <v>15.0</v>
      </c>
      <c r="C25" s="49" t="s">
        <v>100</v>
      </c>
      <c r="D25" s="53">
        <v>82500.0</v>
      </c>
      <c r="E25" s="49" t="s">
        <v>101</v>
      </c>
      <c r="F25" s="49" t="s">
        <v>102</v>
      </c>
      <c r="G25" s="52">
        <v>2010.0</v>
      </c>
      <c r="H25" s="54" t="s">
        <v>49</v>
      </c>
      <c r="I25" s="47" t="s">
        <v>103</v>
      </c>
      <c r="J25" s="51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9"/>
      <c r="B26" s="46">
        <v>16.0</v>
      </c>
      <c r="C26" s="49" t="s">
        <v>104</v>
      </c>
      <c r="D26" s="48">
        <v>81500.0</v>
      </c>
      <c r="E26" s="49" t="s">
        <v>105</v>
      </c>
      <c r="F26" s="49" t="s">
        <v>106</v>
      </c>
      <c r="G26" s="46">
        <v>1942.0</v>
      </c>
      <c r="H26" s="50" t="s">
        <v>49</v>
      </c>
      <c r="I26" s="47" t="s">
        <v>107</v>
      </c>
      <c r="J26" s="51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39"/>
      <c r="B27" s="52">
        <v>17.0</v>
      </c>
      <c r="C27" s="49" t="s">
        <v>108</v>
      </c>
      <c r="D27" s="53">
        <v>81441.0</v>
      </c>
      <c r="E27" s="49" t="s">
        <v>109</v>
      </c>
      <c r="F27" s="49" t="s">
        <v>110</v>
      </c>
      <c r="G27" s="52">
        <v>1957.0</v>
      </c>
      <c r="H27" s="54" t="s">
        <v>49</v>
      </c>
      <c r="I27" s="47" t="s">
        <v>111</v>
      </c>
      <c r="J27" s="51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9"/>
      <c r="B28" s="46">
        <v>18.0</v>
      </c>
      <c r="C28" s="49" t="s">
        <v>112</v>
      </c>
      <c r="D28" s="48">
        <v>80126.0</v>
      </c>
      <c r="E28" s="49" t="s">
        <v>113</v>
      </c>
      <c r="F28" s="49" t="s">
        <v>114</v>
      </c>
      <c r="G28" s="46">
        <v>1925.0</v>
      </c>
      <c r="H28" s="50" t="s">
        <v>49</v>
      </c>
      <c r="I28" s="47" t="s">
        <v>115</v>
      </c>
      <c r="J28" s="51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39"/>
      <c r="B29" s="52">
        <v>19.0</v>
      </c>
      <c r="C29" s="49" t="s">
        <v>116</v>
      </c>
      <c r="D29" s="53">
        <v>80000.0</v>
      </c>
      <c r="E29" s="49" t="s">
        <v>117</v>
      </c>
      <c r="F29" s="49" t="s">
        <v>61</v>
      </c>
      <c r="G29" s="52">
        <v>2009.0</v>
      </c>
      <c r="H29" s="54" t="s">
        <v>49</v>
      </c>
      <c r="I29" s="47" t="s">
        <v>118</v>
      </c>
      <c r="J29" s="51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39"/>
      <c r="B30" s="46">
        <v>20.0</v>
      </c>
      <c r="C30" s="49" t="s">
        <v>119</v>
      </c>
      <c r="D30" s="48">
        <v>79560.0</v>
      </c>
      <c r="E30" s="49" t="s">
        <v>120</v>
      </c>
      <c r="F30" s="49" t="s">
        <v>91</v>
      </c>
      <c r="G30" s="46">
        <v>1950.0</v>
      </c>
      <c r="H30" s="50" t="s">
        <v>49</v>
      </c>
      <c r="I30" s="47" t="s">
        <v>121</v>
      </c>
      <c r="J30" s="51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39"/>
      <c r="B31" s="46">
        <v>21.0</v>
      </c>
      <c r="C31" s="49" t="s">
        <v>122</v>
      </c>
      <c r="D31" s="48">
        <v>77662.0</v>
      </c>
      <c r="E31" s="49" t="s">
        <v>123</v>
      </c>
      <c r="F31" s="49" t="s">
        <v>124</v>
      </c>
      <c r="G31" s="46">
        <v>1930.0</v>
      </c>
      <c r="H31" s="50" t="s">
        <v>49</v>
      </c>
      <c r="I31" s="47" t="s">
        <v>125</v>
      </c>
      <c r="J31" s="51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B32" s="46">
        <v>22.0</v>
      </c>
      <c r="C32" s="49" t="s">
        <v>126</v>
      </c>
      <c r="D32" s="48">
        <v>77559.0</v>
      </c>
      <c r="E32" s="49" t="s">
        <v>127</v>
      </c>
      <c r="F32" s="49" t="s">
        <v>106</v>
      </c>
      <c r="G32" s="46">
        <v>1934.0</v>
      </c>
      <c r="H32" s="50" t="s">
        <v>49</v>
      </c>
      <c r="I32" s="47" t="s">
        <v>128</v>
      </c>
      <c r="J32" s="51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39"/>
      <c r="B33" s="46">
        <v>23.0</v>
      </c>
      <c r="C33" s="49" t="s">
        <v>129</v>
      </c>
      <c r="D33" s="48">
        <v>77500.0</v>
      </c>
      <c r="E33" s="49" t="s">
        <v>130</v>
      </c>
      <c r="F33" s="49" t="s">
        <v>84</v>
      </c>
      <c r="G33" s="46">
        <v>1923.0</v>
      </c>
      <c r="H33" s="50" t="s">
        <v>131</v>
      </c>
      <c r="I33" s="47" t="s">
        <v>132</v>
      </c>
      <c r="J33" s="51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39"/>
      <c r="B34" s="52">
        <v>24.0</v>
      </c>
      <c r="C34" s="49" t="s">
        <v>133</v>
      </c>
      <c r="D34" s="53">
        <v>76416.0</v>
      </c>
      <c r="E34" s="49" t="s">
        <v>134</v>
      </c>
      <c r="F34" s="49" t="s">
        <v>135</v>
      </c>
      <c r="G34" s="52">
        <v>1972.0</v>
      </c>
      <c r="H34" s="54" t="s">
        <v>49</v>
      </c>
      <c r="I34" s="47" t="s">
        <v>136</v>
      </c>
      <c r="J34" s="51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/>
      <c r="B35" s="46">
        <v>25.0</v>
      </c>
      <c r="C35" s="49" t="s">
        <v>137</v>
      </c>
      <c r="D35" s="48">
        <v>76212.0</v>
      </c>
      <c r="E35" s="49" t="s">
        <v>138</v>
      </c>
      <c r="F35" s="49" t="s">
        <v>139</v>
      </c>
      <c r="G35" s="46">
        <v>1938.0</v>
      </c>
      <c r="H35" s="50" t="s">
        <v>49</v>
      </c>
      <c r="I35" s="47" t="s">
        <v>140</v>
      </c>
      <c r="J35" s="51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52">
        <v>26.0</v>
      </c>
      <c r="C36" s="49" t="s">
        <v>141</v>
      </c>
      <c r="D36" s="53">
        <v>76125.0</v>
      </c>
      <c r="E36" s="49" t="s">
        <v>142</v>
      </c>
      <c r="F36" s="49" t="s">
        <v>143</v>
      </c>
      <c r="G36" s="52">
        <v>2001.0</v>
      </c>
      <c r="H36" s="54" t="s">
        <v>49</v>
      </c>
      <c r="I36" s="47" t="s">
        <v>144</v>
      </c>
      <c r="J36" s="51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39"/>
      <c r="B37" s="46">
        <v>27.0</v>
      </c>
      <c r="C37" s="49" t="s">
        <v>145</v>
      </c>
      <c r="D37" s="48">
        <v>75822.0</v>
      </c>
      <c r="E37" s="49" t="s">
        <v>146</v>
      </c>
      <c r="F37" s="49" t="s">
        <v>110</v>
      </c>
      <c r="G37" s="46">
        <v>1917.0</v>
      </c>
      <c r="H37" s="50" t="s">
        <v>49</v>
      </c>
      <c r="I37" s="47" t="s">
        <v>147</v>
      </c>
      <c r="J37" s="51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39"/>
      <c r="B38" s="46">
        <v>28.0</v>
      </c>
      <c r="C38" s="49" t="s">
        <v>148</v>
      </c>
      <c r="D38" s="48">
        <v>75005.0</v>
      </c>
      <c r="E38" s="49" t="s">
        <v>149</v>
      </c>
      <c r="F38" s="49" t="s">
        <v>48</v>
      </c>
      <c r="G38" s="46">
        <v>1923.0</v>
      </c>
      <c r="H38" s="50" t="s">
        <v>49</v>
      </c>
      <c r="I38" s="47" t="s">
        <v>150</v>
      </c>
      <c r="J38" s="51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/>
      <c r="B39" s="52">
        <v>29.0</v>
      </c>
      <c r="C39" s="49" t="s">
        <v>151</v>
      </c>
      <c r="D39" s="53">
        <v>74867.0</v>
      </c>
      <c r="E39" s="49" t="s">
        <v>152</v>
      </c>
      <c r="F39" s="49" t="s">
        <v>153</v>
      </c>
      <c r="G39" s="52">
        <v>1996.0</v>
      </c>
      <c r="H39" s="54" t="s">
        <v>49</v>
      </c>
      <c r="I39" s="47" t="s">
        <v>154</v>
      </c>
      <c r="J39" s="51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52">
        <v>30.0</v>
      </c>
      <c r="C40" s="49" t="s">
        <v>155</v>
      </c>
      <c r="D40" s="53">
        <v>73208.0</v>
      </c>
      <c r="E40" s="49" t="s">
        <v>156</v>
      </c>
      <c r="F40" s="49" t="s">
        <v>65</v>
      </c>
      <c r="G40" s="52">
        <v>1975.0</v>
      </c>
      <c r="H40" s="54" t="s">
        <v>49</v>
      </c>
      <c r="I40" s="47" t="s">
        <v>157</v>
      </c>
      <c r="J40" s="51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52">
        <v>31.0</v>
      </c>
      <c r="C41" s="49" t="s">
        <v>158</v>
      </c>
      <c r="D41" s="53">
        <v>72220.0</v>
      </c>
      <c r="E41" s="49" t="s">
        <v>159</v>
      </c>
      <c r="F41" s="49" t="s">
        <v>61</v>
      </c>
      <c r="G41" s="52">
        <v>2002.0</v>
      </c>
      <c r="H41" s="54" t="s">
        <v>49</v>
      </c>
      <c r="I41" s="47" t="s">
        <v>160</v>
      </c>
      <c r="J41" s="51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9"/>
      <c r="B42" s="52">
        <v>32.0</v>
      </c>
      <c r="C42" s="49" t="s">
        <v>161</v>
      </c>
      <c r="D42" s="53">
        <v>71608.0</v>
      </c>
      <c r="E42" s="49" t="s">
        <v>162</v>
      </c>
      <c r="F42" s="49" t="s">
        <v>163</v>
      </c>
      <c r="G42" s="52">
        <v>1973.0</v>
      </c>
      <c r="H42" s="54" t="s">
        <v>49</v>
      </c>
      <c r="I42" s="47" t="s">
        <v>164</v>
      </c>
      <c r="J42" s="51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39"/>
      <c r="B43" s="46">
        <v>33.0</v>
      </c>
      <c r="C43" s="49" t="s">
        <v>165</v>
      </c>
      <c r="D43" s="48">
        <v>71594.0</v>
      </c>
      <c r="E43" s="49" t="s">
        <v>166</v>
      </c>
      <c r="F43" s="49" t="s">
        <v>76</v>
      </c>
      <c r="G43" s="46">
        <v>1926.0</v>
      </c>
      <c r="H43" s="50" t="s">
        <v>49</v>
      </c>
      <c r="I43" s="55"/>
      <c r="J43" s="51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9"/>
      <c r="B44" s="52">
        <v>34.0</v>
      </c>
      <c r="C44" s="49" t="s">
        <v>167</v>
      </c>
      <c r="D44" s="53">
        <v>71000.0</v>
      </c>
      <c r="E44" s="49" t="s">
        <v>168</v>
      </c>
      <c r="F44" s="49" t="s">
        <v>80</v>
      </c>
      <c r="G44" s="52">
        <v>2017.0</v>
      </c>
      <c r="H44" s="54" t="s">
        <v>169</v>
      </c>
      <c r="I44" s="47" t="s">
        <v>170</v>
      </c>
      <c r="J44" s="51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39"/>
      <c r="B45" s="52">
        <v>35.0</v>
      </c>
      <c r="C45" s="49" t="s">
        <v>171</v>
      </c>
      <c r="D45" s="53">
        <v>70745.0</v>
      </c>
      <c r="E45" s="49" t="s">
        <v>172</v>
      </c>
      <c r="F45" s="49" t="s">
        <v>173</v>
      </c>
      <c r="G45" s="52">
        <v>1998.0</v>
      </c>
      <c r="H45" s="54" t="s">
        <v>49</v>
      </c>
      <c r="I45" s="47" t="s">
        <v>174</v>
      </c>
      <c r="J45" s="51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/>
      <c r="B46" s="52">
        <v>36.0</v>
      </c>
      <c r="C46" s="49" t="s">
        <v>175</v>
      </c>
      <c r="D46" s="53">
        <v>70240.0</v>
      </c>
      <c r="E46" s="49" t="s">
        <v>176</v>
      </c>
      <c r="F46" s="49" t="s">
        <v>84</v>
      </c>
      <c r="G46" s="52">
        <v>2020.0</v>
      </c>
      <c r="H46" s="54" t="s">
        <v>49</v>
      </c>
      <c r="I46" s="47" t="s">
        <v>177</v>
      </c>
      <c r="J46" s="51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39"/>
      <c r="B47" s="46">
        <v>37.0</v>
      </c>
      <c r="C47" s="49" t="s">
        <v>178</v>
      </c>
      <c r="D47" s="48">
        <v>70083.0</v>
      </c>
      <c r="E47" s="49" t="s">
        <v>179</v>
      </c>
      <c r="F47" s="49" t="s">
        <v>180</v>
      </c>
      <c r="G47" s="46">
        <v>1920.0</v>
      </c>
      <c r="H47" s="50" t="s">
        <v>49</v>
      </c>
      <c r="I47" s="47" t="s">
        <v>181</v>
      </c>
      <c r="J47" s="51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9"/>
      <c r="B48" s="46">
        <v>38.0</v>
      </c>
      <c r="C48" s="49" t="s">
        <v>182</v>
      </c>
      <c r="D48" s="48">
        <v>69250.0</v>
      </c>
      <c r="E48" s="49" t="s">
        <v>183</v>
      </c>
      <c r="F48" s="49" t="s">
        <v>184</v>
      </c>
      <c r="G48" s="46">
        <v>1929.0</v>
      </c>
      <c r="H48" s="50" t="s">
        <v>49</v>
      </c>
      <c r="I48" s="47" t="s">
        <v>185</v>
      </c>
      <c r="J48" s="51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9"/>
      <c r="B49" s="52">
        <v>39.0</v>
      </c>
      <c r="C49" s="49" t="s">
        <v>186</v>
      </c>
      <c r="D49" s="53">
        <v>69218.0</v>
      </c>
      <c r="E49" s="49" t="s">
        <v>187</v>
      </c>
      <c r="F49" s="49" t="s">
        <v>91</v>
      </c>
      <c r="G49" s="52">
        <v>1998.0</v>
      </c>
      <c r="H49" s="54" t="s">
        <v>49</v>
      </c>
      <c r="I49" s="47" t="s">
        <v>188</v>
      </c>
      <c r="J49" s="51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52">
        <v>40.0</v>
      </c>
      <c r="C50" s="49" t="s">
        <v>189</v>
      </c>
      <c r="D50" s="53">
        <v>69143.0</v>
      </c>
      <c r="E50" s="49" t="s">
        <v>190</v>
      </c>
      <c r="F50" s="49" t="s">
        <v>69</v>
      </c>
      <c r="G50" s="52">
        <v>1999.0</v>
      </c>
      <c r="H50" s="54" t="s">
        <v>49</v>
      </c>
      <c r="I50" s="47" t="s">
        <v>191</v>
      </c>
      <c r="J50" s="51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9"/>
      <c r="B51" s="52">
        <v>41.0</v>
      </c>
      <c r="C51" s="49" t="s">
        <v>192</v>
      </c>
      <c r="D51" s="53">
        <v>68740.0</v>
      </c>
      <c r="E51" s="49" t="s">
        <v>179</v>
      </c>
      <c r="F51" s="49" t="s">
        <v>180</v>
      </c>
      <c r="G51" s="52">
        <v>2002.0</v>
      </c>
      <c r="H51" s="54" t="s">
        <v>169</v>
      </c>
      <c r="I51" s="47" t="s">
        <v>193</v>
      </c>
      <c r="J51" s="51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B52" s="52">
        <v>42.0</v>
      </c>
      <c r="C52" s="49" t="s">
        <v>194</v>
      </c>
      <c r="D52" s="53">
        <v>68500.0</v>
      </c>
      <c r="E52" s="49" t="s">
        <v>195</v>
      </c>
      <c r="F52" s="49" t="s">
        <v>84</v>
      </c>
      <c r="G52" s="52">
        <v>2014.0</v>
      </c>
      <c r="H52" s="54" t="s">
        <v>49</v>
      </c>
      <c r="I52" s="47" t="s">
        <v>196</v>
      </c>
      <c r="J52" s="51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52">
        <v>43.0</v>
      </c>
      <c r="C53" s="49" t="s">
        <v>197</v>
      </c>
      <c r="D53" s="53">
        <v>68400.0</v>
      </c>
      <c r="E53" s="49" t="s">
        <v>198</v>
      </c>
      <c r="F53" s="49" t="s">
        <v>53</v>
      </c>
      <c r="G53" s="52">
        <v>2001.0</v>
      </c>
      <c r="H53" s="54" t="s">
        <v>49</v>
      </c>
      <c r="I53" s="47" t="s">
        <v>199</v>
      </c>
      <c r="J53" s="51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52">
        <v>44.0</v>
      </c>
      <c r="C54" s="49" t="s">
        <v>200</v>
      </c>
      <c r="D54" s="53">
        <v>67814.0</v>
      </c>
      <c r="E54" s="49" t="s">
        <v>201</v>
      </c>
      <c r="F54" s="49" t="s">
        <v>91</v>
      </c>
      <c r="G54" s="52">
        <v>1995.0</v>
      </c>
      <c r="H54" s="54" t="s">
        <v>49</v>
      </c>
      <c r="I54" s="47" t="s">
        <v>202</v>
      </c>
      <c r="J54" s="51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52">
        <v>45.0</v>
      </c>
      <c r="C55" s="49" t="s">
        <v>203</v>
      </c>
      <c r="D55" s="53">
        <v>67594.0</v>
      </c>
      <c r="E55" s="49" t="s">
        <v>204</v>
      </c>
      <c r="F55" s="49" t="s">
        <v>53</v>
      </c>
      <c r="G55" s="52">
        <v>2003.0</v>
      </c>
      <c r="H55" s="54" t="s">
        <v>49</v>
      </c>
      <c r="I55" s="47" t="s">
        <v>205</v>
      </c>
      <c r="J55" s="51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52">
        <v>46.0</v>
      </c>
      <c r="C56" s="49" t="s">
        <v>206</v>
      </c>
      <c r="D56" s="53">
        <v>67431.0</v>
      </c>
      <c r="E56" s="49" t="s">
        <v>207</v>
      </c>
      <c r="F56" s="49" t="s">
        <v>57</v>
      </c>
      <c r="G56" s="52">
        <v>1999.0</v>
      </c>
      <c r="H56" s="54" t="s">
        <v>49</v>
      </c>
      <c r="I56" s="47" t="s">
        <v>208</v>
      </c>
      <c r="J56" s="51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46">
        <v>47.0</v>
      </c>
      <c r="C57" s="49" t="s">
        <v>209</v>
      </c>
      <c r="D57" s="48">
        <v>67277.0</v>
      </c>
      <c r="E57" s="49" t="s">
        <v>210</v>
      </c>
      <c r="F57" s="49" t="s">
        <v>135</v>
      </c>
      <c r="G57" s="46">
        <v>1995.0</v>
      </c>
      <c r="H57" s="50" t="s">
        <v>49</v>
      </c>
      <c r="I57" s="47" t="s">
        <v>211</v>
      </c>
      <c r="J57" s="51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52">
        <v>48.0</v>
      </c>
      <c r="C58" s="49" t="s">
        <v>212</v>
      </c>
      <c r="D58" s="53">
        <v>66655.0</v>
      </c>
      <c r="E58" s="49" t="s">
        <v>213</v>
      </c>
      <c r="F58" s="49" t="s">
        <v>214</v>
      </c>
      <c r="G58" s="52">
        <v>2016.0</v>
      </c>
      <c r="H58" s="54" t="s">
        <v>49</v>
      </c>
      <c r="I58" s="47" t="s">
        <v>215</v>
      </c>
      <c r="J58" s="51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52">
        <v>49.0</v>
      </c>
      <c r="C59" s="49" t="s">
        <v>216</v>
      </c>
      <c r="D59" s="53">
        <v>65878.0</v>
      </c>
      <c r="E59" s="49" t="s">
        <v>217</v>
      </c>
      <c r="F59" s="49" t="s">
        <v>218</v>
      </c>
      <c r="G59" s="52">
        <v>2002.0</v>
      </c>
      <c r="H59" s="54" t="s">
        <v>169</v>
      </c>
      <c r="I59" s="47" t="s">
        <v>219</v>
      </c>
      <c r="J59" s="51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46">
        <v>50.0</v>
      </c>
      <c r="C60" s="49" t="s">
        <v>220</v>
      </c>
      <c r="D60" s="48">
        <v>65632.0</v>
      </c>
      <c r="E60" s="49" t="s">
        <v>221</v>
      </c>
      <c r="F60" s="49" t="s">
        <v>222</v>
      </c>
      <c r="G60" s="46">
        <v>1965.0</v>
      </c>
      <c r="H60" s="50" t="s">
        <v>49</v>
      </c>
      <c r="I60" s="47" t="s">
        <v>223</v>
      </c>
      <c r="J60" s="51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52">
        <v>51.0</v>
      </c>
      <c r="C61" s="49" t="s">
        <v>224</v>
      </c>
      <c r="D61" s="53">
        <v>65515.0</v>
      </c>
      <c r="E61" s="49" t="s">
        <v>225</v>
      </c>
      <c r="F61" s="49" t="s">
        <v>57</v>
      </c>
      <c r="G61" s="52">
        <v>2000.0</v>
      </c>
      <c r="H61" s="54" t="s">
        <v>49</v>
      </c>
      <c r="I61" s="47" t="s">
        <v>226</v>
      </c>
      <c r="J61" s="51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52">
        <v>52.0</v>
      </c>
      <c r="C62" s="49" t="s">
        <v>227</v>
      </c>
      <c r="D62" s="53">
        <v>65000.0</v>
      </c>
      <c r="E62" s="49" t="s">
        <v>228</v>
      </c>
      <c r="F62" s="49" t="s">
        <v>48</v>
      </c>
      <c r="G62" s="52">
        <v>2002.0</v>
      </c>
      <c r="H62" s="54" t="s">
        <v>49</v>
      </c>
      <c r="I62" s="47" t="s">
        <v>229</v>
      </c>
      <c r="J62" s="51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52">
        <v>53.0</v>
      </c>
      <c r="C63" s="49" t="s">
        <v>230</v>
      </c>
      <c r="D63" s="53">
        <v>65000.0</v>
      </c>
      <c r="E63" s="49" t="s">
        <v>231</v>
      </c>
      <c r="F63" s="49" t="s">
        <v>232</v>
      </c>
      <c r="G63" s="52">
        <v>2020.0</v>
      </c>
      <c r="H63" s="54" t="s">
        <v>49</v>
      </c>
      <c r="I63" s="47" t="s">
        <v>233</v>
      </c>
      <c r="J63" s="51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46">
        <v>54.0</v>
      </c>
      <c r="C64" s="49" t="s">
        <v>234</v>
      </c>
      <c r="D64" s="48">
        <v>64038.0</v>
      </c>
      <c r="E64" s="49" t="s">
        <v>235</v>
      </c>
      <c r="F64" s="49" t="s">
        <v>236</v>
      </c>
      <c r="G64" s="46">
        <v>1915.0</v>
      </c>
      <c r="H64" s="50" t="s">
        <v>49</v>
      </c>
      <c r="I64" s="47" t="s">
        <v>237</v>
      </c>
      <c r="J64" s="51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46">
        <v>55.0</v>
      </c>
      <c r="C65" s="49" t="s">
        <v>238</v>
      </c>
      <c r="D65" s="48">
        <v>64000.0</v>
      </c>
      <c r="E65" s="49" t="s">
        <v>239</v>
      </c>
      <c r="F65" s="49" t="s">
        <v>61</v>
      </c>
      <c r="G65" s="46">
        <v>1993.0</v>
      </c>
      <c r="H65" s="50" t="s">
        <v>49</v>
      </c>
      <c r="I65" s="47" t="s">
        <v>240</v>
      </c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46">
        <v>56.0</v>
      </c>
      <c r="C66" s="49" t="s">
        <v>241</v>
      </c>
      <c r="D66" s="48">
        <v>63470.0</v>
      </c>
      <c r="E66" s="49" t="s">
        <v>242</v>
      </c>
      <c r="F66" s="49" t="s">
        <v>243</v>
      </c>
      <c r="G66" s="46">
        <v>1964.0</v>
      </c>
      <c r="H66" s="50" t="s">
        <v>49</v>
      </c>
      <c r="I66" s="47" t="s">
        <v>244</v>
      </c>
      <c r="J66" s="51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52">
        <v>57.0</v>
      </c>
      <c r="C67" s="49" t="s">
        <v>245</v>
      </c>
      <c r="D67" s="53">
        <v>63400.0</v>
      </c>
      <c r="E67" s="49" t="s">
        <v>246</v>
      </c>
      <c r="F67" s="49" t="s">
        <v>247</v>
      </c>
      <c r="G67" s="52">
        <v>2006.0</v>
      </c>
      <c r="H67" s="54" t="s">
        <v>49</v>
      </c>
      <c r="I67" s="47" t="s">
        <v>248</v>
      </c>
      <c r="J67" s="51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46">
        <v>58.0</v>
      </c>
      <c r="C68" s="49" t="s">
        <v>249</v>
      </c>
      <c r="D68" s="48">
        <v>63186.0</v>
      </c>
      <c r="E68" s="49" t="s">
        <v>250</v>
      </c>
      <c r="F68" s="49" t="s">
        <v>84</v>
      </c>
      <c r="G68" s="46">
        <v>1923.0</v>
      </c>
      <c r="H68" s="50" t="s">
        <v>49</v>
      </c>
      <c r="I68" s="47" t="s">
        <v>251</v>
      </c>
      <c r="J68" s="51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52">
        <v>59.0</v>
      </c>
      <c r="C69" s="49" t="s">
        <v>252</v>
      </c>
      <c r="D69" s="53">
        <v>63000.0</v>
      </c>
      <c r="E69" s="49" t="s">
        <v>253</v>
      </c>
      <c r="F69" s="49" t="s">
        <v>124</v>
      </c>
      <c r="G69" s="52">
        <v>2008.0</v>
      </c>
      <c r="H69" s="54" t="s">
        <v>49</v>
      </c>
      <c r="I69" s="47" t="s">
        <v>254</v>
      </c>
      <c r="J69" s="51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52">
        <v>60.0</v>
      </c>
      <c r="C70" s="47" t="s">
        <v>255</v>
      </c>
      <c r="D70" s="53">
        <v>62000.0</v>
      </c>
      <c r="E70" s="49" t="s">
        <v>256</v>
      </c>
      <c r="F70" s="49" t="s">
        <v>173</v>
      </c>
      <c r="G70" s="52">
        <v>1997.0</v>
      </c>
      <c r="H70" s="54" t="s">
        <v>49</v>
      </c>
      <c r="I70" s="47" t="s">
        <v>257</v>
      </c>
      <c r="J70" s="51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46">
        <v>61.0</v>
      </c>
      <c r="C71" s="49" t="s">
        <v>258</v>
      </c>
      <c r="D71" s="48">
        <v>61620.0</v>
      </c>
      <c r="E71" s="49" t="s">
        <v>127</v>
      </c>
      <c r="F71" s="49" t="s">
        <v>135</v>
      </c>
      <c r="G71" s="46">
        <v>1926.0</v>
      </c>
      <c r="H71" s="50" t="s">
        <v>49</v>
      </c>
      <c r="I71" s="47" t="s">
        <v>259</v>
      </c>
      <c r="J71" s="51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52">
        <v>62.0</v>
      </c>
      <c r="C72" s="49" t="s">
        <v>260</v>
      </c>
      <c r="D72" s="53">
        <v>61500.0</v>
      </c>
      <c r="E72" s="49" t="s">
        <v>261</v>
      </c>
      <c r="F72" s="49" t="s">
        <v>262</v>
      </c>
      <c r="G72" s="52" t="s">
        <v>263</v>
      </c>
      <c r="H72" s="54" t="s">
        <v>169</v>
      </c>
      <c r="I72" s="47" t="s">
        <v>264</v>
      </c>
      <c r="J72" s="51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46">
        <v>63.0</v>
      </c>
      <c r="C73" s="49" t="s">
        <v>265</v>
      </c>
      <c r="D73" s="48">
        <v>61500.0</v>
      </c>
      <c r="E73" s="49" t="s">
        <v>266</v>
      </c>
      <c r="F73" s="49" t="s">
        <v>222</v>
      </c>
      <c r="G73" s="46">
        <v>1931.0</v>
      </c>
      <c r="H73" s="50" t="s">
        <v>49</v>
      </c>
      <c r="I73" s="47" t="s">
        <v>267</v>
      </c>
      <c r="J73" s="51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46">
        <v>64.0</v>
      </c>
      <c r="C74" s="49" t="s">
        <v>268</v>
      </c>
      <c r="D74" s="48">
        <v>61500.0</v>
      </c>
      <c r="E74" s="49" t="s">
        <v>269</v>
      </c>
      <c r="F74" s="49" t="s">
        <v>184</v>
      </c>
      <c r="G74" s="46">
        <v>1975.0</v>
      </c>
      <c r="H74" s="50" t="s">
        <v>49</v>
      </c>
      <c r="I74" s="47" t="s">
        <v>270</v>
      </c>
      <c r="J74" s="51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46">
        <v>65.0</v>
      </c>
      <c r="C75" s="49" t="s">
        <v>271</v>
      </c>
      <c r="D75" s="48">
        <v>61446.0</v>
      </c>
      <c r="E75" s="49" t="s">
        <v>272</v>
      </c>
      <c r="F75" s="49" t="s">
        <v>273</v>
      </c>
      <c r="G75" s="46">
        <v>1914.0</v>
      </c>
      <c r="H75" s="50" t="s">
        <v>49</v>
      </c>
      <c r="I75" s="47" t="s">
        <v>274</v>
      </c>
      <c r="J75" s="51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46">
        <v>66.0</v>
      </c>
      <c r="C76" s="49" t="s">
        <v>275</v>
      </c>
      <c r="D76" s="48">
        <v>61441.0</v>
      </c>
      <c r="E76" s="49" t="s">
        <v>276</v>
      </c>
      <c r="F76" s="49" t="s">
        <v>124</v>
      </c>
      <c r="G76" s="46">
        <v>1924.0</v>
      </c>
      <c r="H76" s="50" t="s">
        <v>49</v>
      </c>
      <c r="I76" s="47" t="s">
        <v>277</v>
      </c>
      <c r="J76" s="51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52">
        <v>67.0</v>
      </c>
      <c r="C77" s="49" t="s">
        <v>278</v>
      </c>
      <c r="D77" s="53">
        <v>64767.0</v>
      </c>
      <c r="E77" s="49" t="s">
        <v>279</v>
      </c>
      <c r="F77" s="49" t="s">
        <v>91</v>
      </c>
      <c r="G77" s="52">
        <v>1987.0</v>
      </c>
      <c r="H77" s="54" t="s">
        <v>49</v>
      </c>
      <c r="I77" s="47" t="s">
        <v>280</v>
      </c>
      <c r="J77" s="51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46">
        <v>68.0</v>
      </c>
      <c r="C78" s="49" t="s">
        <v>281</v>
      </c>
      <c r="D78" s="48">
        <v>61337.0</v>
      </c>
      <c r="E78" s="49" t="s">
        <v>282</v>
      </c>
      <c r="F78" s="49" t="s">
        <v>236</v>
      </c>
      <c r="G78" s="46">
        <v>1914.0</v>
      </c>
      <c r="H78" s="50" t="s">
        <v>49</v>
      </c>
      <c r="I78" s="47" t="s">
        <v>283</v>
      </c>
      <c r="J78" s="51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46">
        <v>69.0</v>
      </c>
      <c r="C79" s="49" t="s">
        <v>284</v>
      </c>
      <c r="D79" s="48">
        <v>61000.0</v>
      </c>
      <c r="E79" s="49" t="s">
        <v>285</v>
      </c>
      <c r="F79" s="49" t="s">
        <v>286</v>
      </c>
      <c r="G79" s="46">
        <v>1973.0</v>
      </c>
      <c r="H79" s="50" t="s">
        <v>49</v>
      </c>
      <c r="I79" s="47" t="s">
        <v>287</v>
      </c>
      <c r="J79" s="51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46">
        <v>70.0</v>
      </c>
      <c r="C80" s="49" t="s">
        <v>288</v>
      </c>
      <c r="D80" s="48">
        <v>60219.0</v>
      </c>
      <c r="E80" s="49" t="s">
        <v>289</v>
      </c>
      <c r="F80" s="49" t="s">
        <v>91</v>
      </c>
      <c r="G80" s="46">
        <v>1936.0</v>
      </c>
      <c r="H80" s="50" t="s">
        <v>49</v>
      </c>
      <c r="I80" s="47" t="s">
        <v>290</v>
      </c>
      <c r="J80" s="51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46">
        <v>71.0</v>
      </c>
      <c r="C81" s="49" t="s">
        <v>291</v>
      </c>
      <c r="D81" s="48">
        <v>60800.0</v>
      </c>
      <c r="E81" s="49" t="s">
        <v>292</v>
      </c>
      <c r="F81" s="49" t="s">
        <v>286</v>
      </c>
      <c r="G81" s="46">
        <v>1998.0</v>
      </c>
      <c r="H81" s="50" t="s">
        <v>49</v>
      </c>
      <c r="I81" s="47" t="s">
        <v>293</v>
      </c>
      <c r="J81" s="51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46">
        <v>72.0</v>
      </c>
      <c r="C82" s="49" t="s">
        <v>104</v>
      </c>
      <c r="D82" s="48">
        <v>60670.0</v>
      </c>
      <c r="E82" s="49" t="s">
        <v>294</v>
      </c>
      <c r="F82" s="49" t="s">
        <v>262</v>
      </c>
      <c r="G82" s="46">
        <v>1923.0</v>
      </c>
      <c r="H82" s="50" t="s">
        <v>49</v>
      </c>
      <c r="I82" s="47" t="s">
        <v>295</v>
      </c>
      <c r="J82" s="51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46">
        <v>73.0</v>
      </c>
      <c r="C83" s="49" t="s">
        <v>296</v>
      </c>
      <c r="D83" s="48">
        <v>60492.0</v>
      </c>
      <c r="E83" s="49" t="s">
        <v>297</v>
      </c>
      <c r="F83" s="49" t="s">
        <v>236</v>
      </c>
      <c r="G83" s="46">
        <v>1941.0</v>
      </c>
      <c r="H83" s="50" t="s">
        <v>49</v>
      </c>
      <c r="I83" s="47" t="s">
        <v>298</v>
      </c>
      <c r="J83" s="51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46">
        <v>74.0</v>
      </c>
      <c r="C84" s="49" t="s">
        <v>299</v>
      </c>
      <c r="D84" s="48">
        <v>60454.0</v>
      </c>
      <c r="E84" s="49" t="s">
        <v>300</v>
      </c>
      <c r="F84" s="49" t="s">
        <v>61</v>
      </c>
      <c r="G84" s="46">
        <v>1947.0</v>
      </c>
      <c r="H84" s="50" t="s">
        <v>49</v>
      </c>
      <c r="I84" s="47" t="s">
        <v>301</v>
      </c>
      <c r="J84" s="51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46">
        <v>75.0</v>
      </c>
      <c r="C85" s="47" t="s">
        <v>302</v>
      </c>
      <c r="D85" s="48">
        <v>60000.0</v>
      </c>
      <c r="E85" s="49" t="s">
        <v>303</v>
      </c>
      <c r="F85" s="49" t="s">
        <v>304</v>
      </c>
      <c r="G85" s="46">
        <v>1980.0</v>
      </c>
      <c r="H85" s="50" t="s">
        <v>49</v>
      </c>
      <c r="I85" s="47" t="s">
        <v>305</v>
      </c>
      <c r="J85" s="51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46">
        <v>76.0</v>
      </c>
      <c r="C86" s="49" t="s">
        <v>306</v>
      </c>
      <c r="D86" s="48">
        <v>58325.0</v>
      </c>
      <c r="E86" s="49" t="s">
        <v>307</v>
      </c>
      <c r="F86" s="49" t="s">
        <v>69</v>
      </c>
      <c r="G86" s="46">
        <v>1965.0</v>
      </c>
      <c r="H86" s="50" t="s">
        <v>49</v>
      </c>
      <c r="I86" s="47" t="s">
        <v>308</v>
      </c>
      <c r="J86" s="51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46">
        <v>77.0</v>
      </c>
      <c r="C87" s="47" t="s">
        <v>309</v>
      </c>
      <c r="D87" s="48">
        <v>56919.0</v>
      </c>
      <c r="E87" s="49" t="s">
        <v>310</v>
      </c>
      <c r="F87" s="49" t="s">
        <v>153</v>
      </c>
      <c r="G87" s="46">
        <v>1966.0</v>
      </c>
      <c r="H87" s="50" t="s">
        <v>49</v>
      </c>
      <c r="I87" s="47" t="s">
        <v>311</v>
      </c>
      <c r="J87" s="51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52">
        <v>78.0</v>
      </c>
      <c r="C88" s="47" t="s">
        <v>312</v>
      </c>
      <c r="D88" s="53">
        <v>56000.0</v>
      </c>
      <c r="E88" s="49" t="s">
        <v>130</v>
      </c>
      <c r="F88" s="49" t="s">
        <v>84</v>
      </c>
      <c r="G88" s="52">
        <v>1962.0</v>
      </c>
      <c r="H88" s="54" t="s">
        <v>313</v>
      </c>
      <c r="I88" s="47" t="s">
        <v>314</v>
      </c>
      <c r="J88" s="51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46">
        <v>79.0</v>
      </c>
      <c r="C89" s="49" t="s">
        <v>315</v>
      </c>
      <c r="D89" s="48">
        <v>55509.0</v>
      </c>
      <c r="E89" s="49" t="s">
        <v>316</v>
      </c>
      <c r="F89" s="49" t="s">
        <v>114</v>
      </c>
      <c r="G89" s="46">
        <v>1920.0</v>
      </c>
      <c r="H89" s="50" t="s">
        <v>49</v>
      </c>
      <c r="I89" s="47" t="s">
        <v>317</v>
      </c>
      <c r="J89" s="51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46">
        <v>80.0</v>
      </c>
      <c r="C90" s="49" t="s">
        <v>318</v>
      </c>
      <c r="D90" s="48">
        <v>55000.0</v>
      </c>
      <c r="E90" s="49" t="s">
        <v>168</v>
      </c>
      <c r="F90" s="49" t="s">
        <v>80</v>
      </c>
      <c r="G90" s="46">
        <v>1913.0</v>
      </c>
      <c r="H90" s="50" t="s">
        <v>49</v>
      </c>
      <c r="I90" s="47" t="s">
        <v>319</v>
      </c>
      <c r="J90" s="51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46">
        <v>81.0</v>
      </c>
      <c r="C91" s="49" t="s">
        <v>320</v>
      </c>
      <c r="D91" s="48">
        <v>54120.0</v>
      </c>
      <c r="E91" s="49" t="s">
        <v>321</v>
      </c>
      <c r="F91" s="49" t="s">
        <v>139</v>
      </c>
      <c r="G91" s="46">
        <v>1948.0</v>
      </c>
      <c r="H91" s="50" t="s">
        <v>49</v>
      </c>
      <c r="I91" s="47" t="s">
        <v>322</v>
      </c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46">
        <v>82.0</v>
      </c>
      <c r="C92" s="49" t="s">
        <v>323</v>
      </c>
      <c r="D92" s="48">
        <v>54000.0</v>
      </c>
      <c r="E92" s="49" t="s">
        <v>324</v>
      </c>
      <c r="F92" s="49" t="s">
        <v>325</v>
      </c>
      <c r="G92" s="46">
        <v>1967.0</v>
      </c>
      <c r="H92" s="50" t="s">
        <v>49</v>
      </c>
      <c r="I92" s="47" t="s">
        <v>326</v>
      </c>
      <c r="J92" s="51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46">
        <v>83.0</v>
      </c>
      <c r="C93" s="49" t="s">
        <v>327</v>
      </c>
      <c r="D93" s="48">
        <v>53599.0</v>
      </c>
      <c r="E93" s="49" t="s">
        <v>328</v>
      </c>
      <c r="F93" s="49" t="s">
        <v>247</v>
      </c>
      <c r="G93" s="46">
        <v>1958.0</v>
      </c>
      <c r="H93" s="50" t="s">
        <v>49</v>
      </c>
      <c r="I93" s="47" t="s">
        <v>329</v>
      </c>
      <c r="J93" s="51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46">
        <v>84.0</v>
      </c>
      <c r="C94" s="49" t="s">
        <v>104</v>
      </c>
      <c r="D94" s="48">
        <v>52626.0</v>
      </c>
      <c r="E94" s="49" t="s">
        <v>330</v>
      </c>
      <c r="F94" s="49" t="s">
        <v>124</v>
      </c>
      <c r="G94" s="46">
        <v>1960.0</v>
      </c>
      <c r="H94" s="50" t="s">
        <v>49</v>
      </c>
      <c r="I94" s="47" t="s">
        <v>331</v>
      </c>
      <c r="J94" s="51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46">
        <v>85.0</v>
      </c>
      <c r="C95" s="49" t="s">
        <v>332</v>
      </c>
      <c r="D95" s="48">
        <v>52593.0</v>
      </c>
      <c r="E95" s="49" t="s">
        <v>204</v>
      </c>
      <c r="F95" s="49" t="s">
        <v>53</v>
      </c>
      <c r="G95" s="46">
        <v>1895.0</v>
      </c>
      <c r="H95" s="50" t="s">
        <v>49</v>
      </c>
      <c r="I95" s="47" t="s">
        <v>333</v>
      </c>
      <c r="J95" s="51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46">
        <v>86.0</v>
      </c>
      <c r="C96" s="49" t="s">
        <v>334</v>
      </c>
      <c r="D96" s="48">
        <v>52454.0</v>
      </c>
      <c r="E96" s="49" t="s">
        <v>335</v>
      </c>
      <c r="F96" s="49" t="s">
        <v>102</v>
      </c>
      <c r="G96" s="46">
        <v>1994.0</v>
      </c>
      <c r="H96" s="50" t="s">
        <v>49</v>
      </c>
      <c r="I96" s="47" t="s">
        <v>336</v>
      </c>
      <c r="J96" s="51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46">
        <v>87.0</v>
      </c>
      <c r="C97" s="49" t="s">
        <v>337</v>
      </c>
      <c r="D97" s="48">
        <v>51802.0</v>
      </c>
      <c r="E97" s="49" t="s">
        <v>338</v>
      </c>
      <c r="F97" s="49" t="s">
        <v>173</v>
      </c>
      <c r="G97" s="46">
        <v>1950.0</v>
      </c>
      <c r="H97" s="50" t="s">
        <v>49</v>
      </c>
      <c r="I97" s="47" t="s">
        <v>339</v>
      </c>
      <c r="J97" s="51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46">
        <v>88.0</v>
      </c>
      <c r="C98" s="49" t="s">
        <v>340</v>
      </c>
      <c r="D98" s="48">
        <v>51500.0</v>
      </c>
      <c r="E98" s="49" t="s">
        <v>341</v>
      </c>
      <c r="F98" s="49" t="s">
        <v>61</v>
      </c>
      <c r="G98" s="46">
        <v>1963.0</v>
      </c>
      <c r="H98" s="50" t="s">
        <v>49</v>
      </c>
      <c r="I98" s="47" t="s">
        <v>342</v>
      </c>
      <c r="J98" s="51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46">
        <v>89.0</v>
      </c>
      <c r="C99" s="49" t="s">
        <v>343</v>
      </c>
      <c r="D99" s="48">
        <v>51444.0</v>
      </c>
      <c r="E99" s="49" t="s">
        <v>344</v>
      </c>
      <c r="F99" s="49" t="s">
        <v>243</v>
      </c>
      <c r="G99" s="46">
        <v>1998.0</v>
      </c>
      <c r="H99" s="50" t="s">
        <v>49</v>
      </c>
      <c r="I99" s="47" t="s">
        <v>345</v>
      </c>
      <c r="J99" s="51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46">
        <v>90.0</v>
      </c>
      <c r="C100" s="49" t="s">
        <v>346</v>
      </c>
      <c r="D100" s="48">
        <v>51000.0</v>
      </c>
      <c r="E100" s="49" t="s">
        <v>347</v>
      </c>
      <c r="F100" s="49" t="s">
        <v>153</v>
      </c>
      <c r="G100" s="46">
        <v>1963.0</v>
      </c>
      <c r="H100" s="50" t="s">
        <v>49</v>
      </c>
      <c r="I100" s="47" t="s">
        <v>348</v>
      </c>
      <c r="J100" s="51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46">
        <v>91.0</v>
      </c>
      <c r="C101" s="49" t="s">
        <v>349</v>
      </c>
      <c r="D101" s="48">
        <v>50832.0</v>
      </c>
      <c r="E101" s="49" t="s">
        <v>350</v>
      </c>
      <c r="F101" s="49" t="s">
        <v>65</v>
      </c>
      <c r="G101" s="46">
        <v>1925.0</v>
      </c>
      <c r="H101" s="50" t="s">
        <v>49</v>
      </c>
      <c r="I101" s="47" t="s">
        <v>351</v>
      </c>
      <c r="J101" s="51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46">
        <v>92.0</v>
      </c>
      <c r="C102" s="49" t="s">
        <v>352</v>
      </c>
      <c r="D102" s="48">
        <v>50805.0</v>
      </c>
      <c r="E102" s="49" t="s">
        <v>213</v>
      </c>
      <c r="F102" s="49" t="s">
        <v>214</v>
      </c>
      <c r="G102" s="46">
        <v>2009.0</v>
      </c>
      <c r="H102" s="50" t="s">
        <v>49</v>
      </c>
      <c r="I102" s="47" t="s">
        <v>353</v>
      </c>
      <c r="J102" s="51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46">
        <v>93.0</v>
      </c>
      <c r="C103" s="49" t="s">
        <v>354</v>
      </c>
      <c r="D103" s="48">
        <v>50800.0</v>
      </c>
      <c r="E103" s="49" t="s">
        <v>355</v>
      </c>
      <c r="F103" s="49" t="s">
        <v>247</v>
      </c>
      <c r="G103" s="46">
        <v>1928.0</v>
      </c>
      <c r="H103" s="50" t="s">
        <v>49</v>
      </c>
      <c r="I103" s="47" t="s">
        <v>356</v>
      </c>
      <c r="J103" s="51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46">
        <v>94.0</v>
      </c>
      <c r="C104" s="49" t="s">
        <v>357</v>
      </c>
      <c r="D104" s="48">
        <v>50500.0</v>
      </c>
      <c r="E104" s="49" t="s">
        <v>358</v>
      </c>
      <c r="F104" s="49" t="s">
        <v>153</v>
      </c>
      <c r="G104" s="46">
        <v>1927.0</v>
      </c>
      <c r="H104" s="50" t="s">
        <v>49</v>
      </c>
      <c r="I104" s="47" t="s">
        <v>359</v>
      </c>
      <c r="J104" s="51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46">
        <v>95.0</v>
      </c>
      <c r="C105" s="49" t="s">
        <v>360</v>
      </c>
      <c r="D105" s="48">
        <v>50424.0</v>
      </c>
      <c r="E105" s="49" t="s">
        <v>361</v>
      </c>
      <c r="F105" s="49" t="s">
        <v>84</v>
      </c>
      <c r="G105" s="46" t="s">
        <v>362</v>
      </c>
      <c r="H105" s="50" t="s">
        <v>49</v>
      </c>
      <c r="I105" s="47" t="s">
        <v>363</v>
      </c>
      <c r="J105" s="51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46">
        <v>96.0</v>
      </c>
      <c r="C106" s="49" t="s">
        <v>364</v>
      </c>
      <c r="D106" s="48">
        <v>50183.0</v>
      </c>
      <c r="E106" s="49" t="s">
        <v>365</v>
      </c>
      <c r="F106" s="49" t="s">
        <v>143</v>
      </c>
      <c r="G106" s="46">
        <v>1924.0</v>
      </c>
      <c r="H106" s="50" t="s">
        <v>49</v>
      </c>
      <c r="I106" s="47" t="s">
        <v>366</v>
      </c>
      <c r="J106" s="51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46">
        <v>97.0</v>
      </c>
      <c r="C107" s="49" t="s">
        <v>367</v>
      </c>
      <c r="D107" s="48">
        <v>50000.0</v>
      </c>
      <c r="E107" s="49" t="s">
        <v>368</v>
      </c>
      <c r="F107" s="49" t="s">
        <v>369</v>
      </c>
      <c r="G107" s="46">
        <v>1968.0</v>
      </c>
      <c r="H107" s="50" t="s">
        <v>49</v>
      </c>
      <c r="I107" s="47" t="s">
        <v>370</v>
      </c>
      <c r="J107" s="51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46">
        <v>98.0</v>
      </c>
      <c r="C108" s="49" t="s">
        <v>371</v>
      </c>
      <c r="D108" s="48">
        <v>50000.0</v>
      </c>
      <c r="E108" s="49" t="s">
        <v>372</v>
      </c>
      <c r="F108" s="49" t="s">
        <v>373</v>
      </c>
      <c r="G108" s="46">
        <v>1975.0</v>
      </c>
      <c r="H108" s="50" t="s">
        <v>49</v>
      </c>
      <c r="I108" s="50" t="s">
        <v>374</v>
      </c>
      <c r="J108" s="51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46">
        <v>99.0</v>
      </c>
      <c r="C109" s="49" t="s">
        <v>375</v>
      </c>
      <c r="D109" s="48">
        <v>49057.0</v>
      </c>
      <c r="E109" s="49" t="s">
        <v>376</v>
      </c>
      <c r="F109" s="49" t="s">
        <v>163</v>
      </c>
      <c r="G109" s="46">
        <v>1980.0</v>
      </c>
      <c r="H109" s="50" t="s">
        <v>377</v>
      </c>
      <c r="I109" s="47" t="s">
        <v>378</v>
      </c>
      <c r="J109" s="51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52">
        <v>100.0</v>
      </c>
      <c r="C110" s="47" t="s">
        <v>379</v>
      </c>
      <c r="D110" s="53">
        <v>48405.0</v>
      </c>
      <c r="E110" s="49" t="s">
        <v>380</v>
      </c>
      <c r="F110" s="49" t="s">
        <v>247</v>
      </c>
      <c r="G110" s="52">
        <v>1998.0</v>
      </c>
      <c r="H110" s="54" t="s">
        <v>313</v>
      </c>
      <c r="I110" s="47" t="s">
        <v>381</v>
      </c>
      <c r="J110" s="51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46">
        <v>101.0</v>
      </c>
      <c r="C111" s="49" t="s">
        <v>382</v>
      </c>
      <c r="D111" s="48">
        <v>48114.0</v>
      </c>
      <c r="E111" s="49" t="s">
        <v>117</v>
      </c>
      <c r="F111" s="49" t="s">
        <v>61</v>
      </c>
      <c r="G111" s="46">
        <v>1994.0</v>
      </c>
      <c r="H111" s="50" t="s">
        <v>377</v>
      </c>
      <c r="I111" s="47" t="s">
        <v>383</v>
      </c>
      <c r="J111" s="51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52">
        <v>102.0</v>
      </c>
      <c r="C112" s="49" t="s">
        <v>384</v>
      </c>
      <c r="D112" s="53">
        <v>47929.0</v>
      </c>
      <c r="E112" s="49" t="s">
        <v>179</v>
      </c>
      <c r="F112" s="49" t="s">
        <v>180</v>
      </c>
      <c r="G112" s="52">
        <v>1999.0</v>
      </c>
      <c r="H112" s="54" t="s">
        <v>313</v>
      </c>
      <c r="I112" s="47" t="s">
        <v>385</v>
      </c>
      <c r="J112" s="51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46">
        <v>103.0</v>
      </c>
      <c r="C113" s="49" t="s">
        <v>386</v>
      </c>
      <c r="D113" s="48">
        <v>47233.0</v>
      </c>
      <c r="E113" s="49" t="s">
        <v>387</v>
      </c>
      <c r="F113" s="49" t="s">
        <v>369</v>
      </c>
      <c r="G113" s="46">
        <v>1921.0</v>
      </c>
      <c r="H113" s="50" t="s">
        <v>49</v>
      </c>
      <c r="I113" s="47" t="s">
        <v>388</v>
      </c>
      <c r="J113" s="51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46">
        <v>104.0</v>
      </c>
      <c r="C114" s="49" t="s">
        <v>389</v>
      </c>
      <c r="D114" s="48">
        <v>47130.0</v>
      </c>
      <c r="E114" s="49" t="s">
        <v>390</v>
      </c>
      <c r="F114" s="49" t="s">
        <v>262</v>
      </c>
      <c r="G114" s="46">
        <v>1996.0</v>
      </c>
      <c r="H114" s="50" t="s">
        <v>49</v>
      </c>
      <c r="I114" s="47" t="s">
        <v>391</v>
      </c>
      <c r="J114" s="51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46">
        <v>105.0</v>
      </c>
      <c r="C115" s="49" t="s">
        <v>392</v>
      </c>
      <c r="D115" s="48">
        <v>47100.0</v>
      </c>
      <c r="E115" s="49" t="s">
        <v>166</v>
      </c>
      <c r="F115" s="49" t="s">
        <v>76</v>
      </c>
      <c r="G115" s="46">
        <v>2021.0</v>
      </c>
      <c r="H115" s="50" t="s">
        <v>49</v>
      </c>
      <c r="I115" s="47" t="s">
        <v>393</v>
      </c>
      <c r="J115" s="51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46">
        <v>106.0</v>
      </c>
      <c r="C116" s="49" t="s">
        <v>394</v>
      </c>
      <c r="D116" s="48">
        <v>47000.0</v>
      </c>
      <c r="E116" s="49" t="s">
        <v>159</v>
      </c>
      <c r="F116" s="49" t="s">
        <v>61</v>
      </c>
      <c r="G116" s="46">
        <v>1950.0</v>
      </c>
      <c r="H116" s="50" t="s">
        <v>49</v>
      </c>
      <c r="I116" s="47" t="s">
        <v>395</v>
      </c>
      <c r="J116" s="51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46">
        <v>107.0</v>
      </c>
      <c r="C117" s="49" t="s">
        <v>396</v>
      </c>
      <c r="D117" s="48">
        <v>47000.0</v>
      </c>
      <c r="E117" s="49" t="s">
        <v>397</v>
      </c>
      <c r="F117" s="49" t="s">
        <v>61</v>
      </c>
      <c r="G117" s="46">
        <v>1930.0</v>
      </c>
      <c r="H117" s="50" t="s">
        <v>49</v>
      </c>
      <c r="I117" s="47" t="s">
        <v>398</v>
      </c>
      <c r="J117" s="51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52">
        <v>108.0</v>
      </c>
      <c r="C118" s="47" t="s">
        <v>399</v>
      </c>
      <c r="D118" s="53">
        <v>46897.0</v>
      </c>
      <c r="E118" s="49" t="s">
        <v>142</v>
      </c>
      <c r="F118" s="49" t="s">
        <v>143</v>
      </c>
      <c r="G118" s="52">
        <v>1995.0</v>
      </c>
      <c r="H118" s="54" t="s">
        <v>313</v>
      </c>
      <c r="I118" s="47" t="s">
        <v>400</v>
      </c>
      <c r="J118" s="51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52">
        <v>109.0</v>
      </c>
      <c r="C119" s="49" t="s">
        <v>401</v>
      </c>
      <c r="D119" s="53">
        <v>46847.0</v>
      </c>
      <c r="E119" s="49" t="s">
        <v>402</v>
      </c>
      <c r="F119" s="49" t="s">
        <v>84</v>
      </c>
      <c r="G119" s="52">
        <v>1966.0</v>
      </c>
      <c r="H119" s="54" t="s">
        <v>377</v>
      </c>
      <c r="I119" s="47" t="s">
        <v>403</v>
      </c>
      <c r="J119" s="51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46">
        <v>110.0</v>
      </c>
      <c r="C120" s="49" t="s">
        <v>404</v>
      </c>
      <c r="D120" s="48">
        <v>46692.0</v>
      </c>
      <c r="E120" s="49" t="s">
        <v>405</v>
      </c>
      <c r="F120" s="49" t="s">
        <v>143</v>
      </c>
      <c r="G120" s="46">
        <v>1962.0</v>
      </c>
      <c r="H120" s="50" t="s">
        <v>49</v>
      </c>
      <c r="I120" s="47" t="s">
        <v>406</v>
      </c>
      <c r="J120" s="51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52">
        <v>111.0</v>
      </c>
      <c r="C121" s="47" t="s">
        <v>407</v>
      </c>
      <c r="D121" s="53">
        <v>46537.0</v>
      </c>
      <c r="E121" s="49" t="s">
        <v>163</v>
      </c>
      <c r="F121" s="49" t="s">
        <v>163</v>
      </c>
      <c r="G121" s="52">
        <v>2009.0</v>
      </c>
      <c r="H121" s="54" t="s">
        <v>408</v>
      </c>
      <c r="I121" s="47" t="s">
        <v>409</v>
      </c>
      <c r="J121" s="51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52">
        <v>112.0</v>
      </c>
      <c r="C122" s="47" t="s">
        <v>410</v>
      </c>
      <c r="D122" s="53">
        <v>45517.0</v>
      </c>
      <c r="E122" s="49" t="s">
        <v>411</v>
      </c>
      <c r="F122" s="49" t="s">
        <v>84</v>
      </c>
      <c r="G122" s="52">
        <v>1966.0</v>
      </c>
      <c r="H122" s="54" t="s">
        <v>313</v>
      </c>
      <c r="I122" s="47" t="s">
        <v>412</v>
      </c>
      <c r="J122" s="51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46">
        <v>113.0</v>
      </c>
      <c r="C123" s="49" t="s">
        <v>413</v>
      </c>
      <c r="D123" s="48">
        <v>45301.0</v>
      </c>
      <c r="E123" s="49" t="s">
        <v>289</v>
      </c>
      <c r="F123" s="49" t="s">
        <v>91</v>
      </c>
      <c r="G123" s="46">
        <v>2007.0</v>
      </c>
      <c r="H123" s="50" t="s">
        <v>49</v>
      </c>
      <c r="I123" s="47" t="s">
        <v>414</v>
      </c>
      <c r="J123" s="51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46">
        <v>114.0</v>
      </c>
      <c r="C124" s="49" t="s">
        <v>415</v>
      </c>
      <c r="D124" s="48">
        <v>45140.0</v>
      </c>
      <c r="E124" s="49" t="s">
        <v>416</v>
      </c>
      <c r="F124" s="49" t="s">
        <v>61</v>
      </c>
      <c r="G124" s="46">
        <v>2014.0</v>
      </c>
      <c r="H124" s="50" t="s">
        <v>49</v>
      </c>
      <c r="I124" s="47" t="s">
        <v>417</v>
      </c>
      <c r="J124" s="51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46">
        <v>115.0</v>
      </c>
      <c r="C125" s="49" t="s">
        <v>418</v>
      </c>
      <c r="D125" s="48">
        <v>44500.0</v>
      </c>
      <c r="E125" s="49" t="s">
        <v>419</v>
      </c>
      <c r="F125" s="49" t="s">
        <v>218</v>
      </c>
      <c r="G125" s="46">
        <v>1957.0</v>
      </c>
      <c r="H125" s="50" t="s">
        <v>49</v>
      </c>
      <c r="I125" s="47" t="s">
        <v>420</v>
      </c>
      <c r="J125" s="51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52">
        <v>116.0</v>
      </c>
      <c r="C126" s="47" t="s">
        <v>421</v>
      </c>
      <c r="D126" s="53">
        <v>44970.0</v>
      </c>
      <c r="E126" s="49" t="s">
        <v>172</v>
      </c>
      <c r="F126" s="49" t="s">
        <v>173</v>
      </c>
      <c r="G126" s="52">
        <v>1992.0</v>
      </c>
      <c r="H126" s="54" t="s">
        <v>313</v>
      </c>
      <c r="I126" s="47" t="s">
        <v>422</v>
      </c>
      <c r="J126" s="51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52">
        <v>117.0</v>
      </c>
      <c r="C127" s="47" t="s">
        <v>423</v>
      </c>
      <c r="D127" s="53">
        <v>44383.0</v>
      </c>
      <c r="E127" s="49" t="s">
        <v>210</v>
      </c>
      <c r="F127" s="49" t="s">
        <v>135</v>
      </c>
      <c r="G127" s="52">
        <v>2006.0</v>
      </c>
      <c r="H127" s="54" t="s">
        <v>313</v>
      </c>
      <c r="I127" s="47" t="s">
        <v>424</v>
      </c>
      <c r="J127" s="51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52">
        <v>118.0</v>
      </c>
      <c r="C128" s="47" t="s">
        <v>425</v>
      </c>
      <c r="D128" s="53">
        <v>43500.0</v>
      </c>
      <c r="E128" s="49" t="s">
        <v>225</v>
      </c>
      <c r="F128" s="49" t="s">
        <v>57</v>
      </c>
      <c r="G128" s="52">
        <v>2003.0</v>
      </c>
      <c r="H128" s="54" t="s">
        <v>313</v>
      </c>
      <c r="I128" s="47" t="s">
        <v>426</v>
      </c>
      <c r="J128" s="51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52">
        <v>119.0</v>
      </c>
      <c r="C129" s="47" t="s">
        <v>427</v>
      </c>
      <c r="D129" s="53">
        <v>42901.0</v>
      </c>
      <c r="E129" s="49" t="s">
        <v>204</v>
      </c>
      <c r="F129" s="49" t="s">
        <v>53</v>
      </c>
      <c r="G129" s="52">
        <v>2004.0</v>
      </c>
      <c r="H129" s="54" t="s">
        <v>313</v>
      </c>
      <c r="I129" s="47" t="s">
        <v>428</v>
      </c>
      <c r="J129" s="51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52">
        <v>120.0</v>
      </c>
      <c r="C130" s="47" t="s">
        <v>429</v>
      </c>
      <c r="D130" s="53">
        <v>42735.0</v>
      </c>
      <c r="E130" s="49" t="s">
        <v>430</v>
      </c>
      <c r="F130" s="49" t="s">
        <v>91</v>
      </c>
      <c r="G130" s="52">
        <v>1990.0</v>
      </c>
      <c r="H130" s="54" t="s">
        <v>313</v>
      </c>
      <c r="I130" s="47" t="s">
        <v>431</v>
      </c>
      <c r="J130" s="51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52">
        <v>121.0</v>
      </c>
      <c r="C131" s="47" t="s">
        <v>432</v>
      </c>
      <c r="D131" s="53">
        <v>41922.0</v>
      </c>
      <c r="E131" s="49" t="s">
        <v>163</v>
      </c>
      <c r="F131" s="49" t="s">
        <v>163</v>
      </c>
      <c r="G131" s="52">
        <v>2009.0</v>
      </c>
      <c r="H131" s="54" t="s">
        <v>313</v>
      </c>
      <c r="I131" s="47" t="s">
        <v>433</v>
      </c>
      <c r="J131" s="51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52">
        <v>122.0</v>
      </c>
      <c r="C132" s="47" t="s">
        <v>434</v>
      </c>
      <c r="D132" s="53">
        <v>41915.0</v>
      </c>
      <c r="E132" s="49" t="s">
        <v>435</v>
      </c>
      <c r="F132" s="49" t="s">
        <v>84</v>
      </c>
      <c r="G132" s="52">
        <v>2000.0</v>
      </c>
      <c r="H132" s="54" t="s">
        <v>313</v>
      </c>
      <c r="I132" s="47" t="s">
        <v>436</v>
      </c>
      <c r="J132" s="51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52">
        <v>123.0</v>
      </c>
      <c r="C133" s="47" t="s">
        <v>437</v>
      </c>
      <c r="D133" s="53">
        <v>41900.0</v>
      </c>
      <c r="E133" s="49" t="s">
        <v>438</v>
      </c>
      <c r="F133" s="49" t="s">
        <v>110</v>
      </c>
      <c r="G133" s="52">
        <v>2001.0</v>
      </c>
      <c r="H133" s="54" t="s">
        <v>313</v>
      </c>
      <c r="I133" s="47" t="s">
        <v>439</v>
      </c>
      <c r="J133" s="51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52">
        <v>124.0</v>
      </c>
      <c r="C134" s="47" t="s">
        <v>440</v>
      </c>
      <c r="D134" s="53">
        <v>41649.0</v>
      </c>
      <c r="E134" s="49" t="s">
        <v>261</v>
      </c>
      <c r="F134" s="49" t="s">
        <v>262</v>
      </c>
      <c r="G134" s="52">
        <v>1914.0</v>
      </c>
      <c r="H134" s="54" t="s">
        <v>313</v>
      </c>
      <c r="I134" s="47" t="s">
        <v>441</v>
      </c>
      <c r="J134" s="51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52">
        <v>125.0</v>
      </c>
      <c r="C135" s="47" t="s">
        <v>442</v>
      </c>
      <c r="D135" s="53">
        <v>41339.0</v>
      </c>
      <c r="E135" s="49" t="s">
        <v>443</v>
      </c>
      <c r="F135" s="49" t="s">
        <v>444</v>
      </c>
      <c r="G135" s="52">
        <v>2008.0</v>
      </c>
      <c r="H135" s="54" t="s">
        <v>313</v>
      </c>
      <c r="I135" s="47" t="s">
        <v>445</v>
      </c>
      <c r="J135" s="51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46">
        <v>126.0</v>
      </c>
      <c r="C136" s="49" t="s">
        <v>446</v>
      </c>
      <c r="D136" s="48">
        <v>41264.0</v>
      </c>
      <c r="E136" s="49" t="s">
        <v>447</v>
      </c>
      <c r="F136" s="49" t="s">
        <v>65</v>
      </c>
      <c r="G136" s="46">
        <v>1971.0</v>
      </c>
      <c r="H136" s="50" t="s">
        <v>49</v>
      </c>
      <c r="I136" s="47" t="s">
        <v>448</v>
      </c>
      <c r="J136" s="51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52">
        <v>127.0</v>
      </c>
      <c r="C137" s="47" t="s">
        <v>449</v>
      </c>
      <c r="D137" s="53">
        <v>41168.0</v>
      </c>
      <c r="E137" s="49" t="s">
        <v>159</v>
      </c>
      <c r="F137" s="49" t="s">
        <v>61</v>
      </c>
      <c r="G137" s="52">
        <v>2000.0</v>
      </c>
      <c r="H137" s="54" t="s">
        <v>313</v>
      </c>
      <c r="I137" s="47" t="s">
        <v>450</v>
      </c>
      <c r="J137" s="51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52">
        <v>128.0</v>
      </c>
      <c r="C138" s="49" t="s">
        <v>451</v>
      </c>
      <c r="D138" s="53">
        <v>41084.0</v>
      </c>
      <c r="E138" s="49" t="s">
        <v>452</v>
      </c>
      <c r="F138" s="49" t="s">
        <v>80</v>
      </c>
      <c r="G138" s="52">
        <v>2017.0</v>
      </c>
      <c r="H138" s="54" t="s">
        <v>313</v>
      </c>
      <c r="I138" s="47" t="s">
        <v>453</v>
      </c>
      <c r="J138" s="51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52">
        <v>129.0</v>
      </c>
      <c r="C139" s="47" t="s">
        <v>454</v>
      </c>
      <c r="D139" s="53">
        <v>41083.0</v>
      </c>
      <c r="E139" s="49" t="s">
        <v>228</v>
      </c>
      <c r="F139" s="49" t="s">
        <v>48</v>
      </c>
      <c r="G139" s="52">
        <v>2000.0</v>
      </c>
      <c r="H139" s="54" t="s">
        <v>313</v>
      </c>
      <c r="I139" s="47" t="s">
        <v>455</v>
      </c>
      <c r="J139" s="51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46">
        <v>130.0</v>
      </c>
      <c r="C140" s="49" t="s">
        <v>456</v>
      </c>
      <c r="D140" s="48">
        <v>40727.0</v>
      </c>
      <c r="E140" s="49" t="s">
        <v>457</v>
      </c>
      <c r="F140" s="49" t="s">
        <v>84</v>
      </c>
      <c r="G140" s="46">
        <v>1980.0</v>
      </c>
      <c r="H140" s="50" t="s">
        <v>49</v>
      </c>
      <c r="I140" s="47" t="s">
        <v>458</v>
      </c>
      <c r="J140" s="51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52">
        <v>131.0</v>
      </c>
      <c r="C141" s="47" t="s">
        <v>459</v>
      </c>
      <c r="D141" s="53">
        <v>40615.0</v>
      </c>
      <c r="E141" s="49" t="s">
        <v>261</v>
      </c>
      <c r="F141" s="49" t="s">
        <v>262</v>
      </c>
      <c r="G141" s="52">
        <v>1991.0</v>
      </c>
      <c r="H141" s="54" t="s">
        <v>313</v>
      </c>
      <c r="I141" s="47" t="s">
        <v>460</v>
      </c>
      <c r="J141" s="51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46">
        <v>132.0</v>
      </c>
      <c r="C142" s="49" t="s">
        <v>461</v>
      </c>
      <c r="D142" s="48">
        <v>40350.0</v>
      </c>
      <c r="E142" s="49" t="s">
        <v>190</v>
      </c>
      <c r="F142" s="49" t="s">
        <v>69</v>
      </c>
      <c r="G142" s="46">
        <v>1922.0</v>
      </c>
      <c r="H142" s="50" t="s">
        <v>49</v>
      </c>
      <c r="I142" s="47" t="s">
        <v>462</v>
      </c>
      <c r="J142" s="51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52">
        <v>133.0</v>
      </c>
      <c r="C143" s="49" t="s">
        <v>463</v>
      </c>
      <c r="D143" s="53">
        <v>40300.0</v>
      </c>
      <c r="E143" s="49" t="s">
        <v>117</v>
      </c>
      <c r="F143" s="49" t="s">
        <v>61</v>
      </c>
      <c r="G143" s="52">
        <v>2020.0</v>
      </c>
      <c r="H143" s="54" t="s">
        <v>313</v>
      </c>
      <c r="I143" s="47" t="s">
        <v>464</v>
      </c>
      <c r="J143" s="51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52">
        <v>134.0</v>
      </c>
      <c r="C144" s="47" t="s">
        <v>465</v>
      </c>
      <c r="D144" s="53">
        <v>40209.0</v>
      </c>
      <c r="E144" s="49" t="s">
        <v>466</v>
      </c>
      <c r="F144" s="49" t="s">
        <v>84</v>
      </c>
      <c r="G144" s="52">
        <v>2004.0</v>
      </c>
      <c r="H144" s="54" t="s">
        <v>313</v>
      </c>
      <c r="I144" s="47" t="s">
        <v>467</v>
      </c>
      <c r="J144" s="51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46">
        <v>135.0</v>
      </c>
      <c r="C145" s="49" t="s">
        <v>468</v>
      </c>
      <c r="D145" s="48">
        <v>40000.0</v>
      </c>
      <c r="E145" s="49" t="s">
        <v>469</v>
      </c>
      <c r="F145" s="49" t="s">
        <v>76</v>
      </c>
      <c r="G145" s="46">
        <v>1948.0</v>
      </c>
      <c r="H145" s="50" t="s">
        <v>49</v>
      </c>
      <c r="I145" s="50" t="s">
        <v>470</v>
      </c>
      <c r="J145" s="51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46">
        <v>136.0</v>
      </c>
      <c r="C146" s="49" t="s">
        <v>471</v>
      </c>
      <c r="D146" s="48">
        <v>40000.0</v>
      </c>
      <c r="E146" s="49" t="s">
        <v>159</v>
      </c>
      <c r="F146" s="50" t="s">
        <v>61</v>
      </c>
      <c r="G146" s="46">
        <v>2014.0</v>
      </c>
      <c r="H146" s="50" t="s">
        <v>49</v>
      </c>
      <c r="I146" s="47" t="s">
        <v>472</v>
      </c>
      <c r="J146" s="51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46">
        <v>137.0</v>
      </c>
      <c r="C147" s="49" t="s">
        <v>473</v>
      </c>
      <c r="D147" s="48">
        <v>39224.0</v>
      </c>
      <c r="E147" s="49" t="s">
        <v>474</v>
      </c>
      <c r="F147" s="49" t="s">
        <v>475</v>
      </c>
      <c r="G147" s="46">
        <v>1960.0</v>
      </c>
      <c r="H147" s="50" t="s">
        <v>49</v>
      </c>
      <c r="I147" s="47" t="s">
        <v>476</v>
      </c>
      <c r="J147" s="51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52">
        <v>138.0</v>
      </c>
      <c r="C148" s="47" t="s">
        <v>477</v>
      </c>
      <c r="D148" s="53">
        <v>38747.0</v>
      </c>
      <c r="E148" s="49" t="s">
        <v>198</v>
      </c>
      <c r="F148" s="49" t="s">
        <v>53</v>
      </c>
      <c r="G148" s="52">
        <v>2001.0</v>
      </c>
      <c r="H148" s="54" t="s">
        <v>313</v>
      </c>
      <c r="I148" s="47" t="s">
        <v>478</v>
      </c>
      <c r="J148" s="51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52">
        <v>139.0</v>
      </c>
      <c r="C149" s="47" t="s">
        <v>479</v>
      </c>
      <c r="D149" s="53">
        <v>38544.0</v>
      </c>
      <c r="E149" s="49" t="s">
        <v>213</v>
      </c>
      <c r="F149" s="49" t="s">
        <v>214</v>
      </c>
      <c r="G149" s="52">
        <v>2010.0</v>
      </c>
      <c r="H149" s="54" t="s">
        <v>313</v>
      </c>
      <c r="I149" s="47" t="s">
        <v>480</v>
      </c>
      <c r="J149" s="51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46">
        <v>140.0</v>
      </c>
      <c r="C150" s="49" t="s">
        <v>481</v>
      </c>
      <c r="D150" s="56">
        <v>38088.0</v>
      </c>
      <c r="E150" s="49" t="s">
        <v>225</v>
      </c>
      <c r="F150" s="49" t="s">
        <v>57</v>
      </c>
      <c r="G150" s="46">
        <v>1915.0</v>
      </c>
      <c r="H150" s="50" t="s">
        <v>49</v>
      </c>
      <c r="I150" s="47" t="s">
        <v>482</v>
      </c>
      <c r="J150" s="51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46">
        <v>141.0</v>
      </c>
      <c r="C151" s="49" t="s">
        <v>483</v>
      </c>
      <c r="D151" s="48">
        <v>38066.0</v>
      </c>
      <c r="E151" s="49" t="s">
        <v>484</v>
      </c>
      <c r="F151" s="49" t="s">
        <v>273</v>
      </c>
      <c r="G151" s="46">
        <v>2003.0</v>
      </c>
      <c r="H151" s="50" t="s">
        <v>49</v>
      </c>
      <c r="I151" s="47" t="s">
        <v>485</v>
      </c>
      <c r="J151" s="51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46">
        <v>142.0</v>
      </c>
      <c r="C152" s="49" t="s">
        <v>486</v>
      </c>
      <c r="D152" s="48">
        <v>38000.0</v>
      </c>
      <c r="E152" s="49" t="s">
        <v>487</v>
      </c>
      <c r="F152" s="49" t="s">
        <v>163</v>
      </c>
      <c r="G152" s="46">
        <v>1924.0</v>
      </c>
      <c r="H152" s="50" t="s">
        <v>49</v>
      </c>
      <c r="I152" s="47" t="s">
        <v>488</v>
      </c>
      <c r="J152" s="51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52">
        <v>143.0</v>
      </c>
      <c r="C153" s="47" t="s">
        <v>489</v>
      </c>
      <c r="D153" s="53">
        <v>37903.0</v>
      </c>
      <c r="E153" s="49" t="s">
        <v>134</v>
      </c>
      <c r="F153" s="49" t="s">
        <v>135</v>
      </c>
      <c r="G153" s="52">
        <v>1973.0</v>
      </c>
      <c r="H153" s="54" t="s">
        <v>313</v>
      </c>
      <c r="I153" s="47" t="s">
        <v>490</v>
      </c>
      <c r="J153" s="51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52">
        <v>144.0</v>
      </c>
      <c r="C154" s="47" t="s">
        <v>491</v>
      </c>
      <c r="D154" s="53">
        <v>37755.0</v>
      </c>
      <c r="E154" s="49" t="s">
        <v>492</v>
      </c>
      <c r="F154" s="49" t="s">
        <v>218</v>
      </c>
      <c r="G154" s="52">
        <v>1912.0</v>
      </c>
      <c r="H154" s="54" t="s">
        <v>313</v>
      </c>
      <c r="I154" s="47" t="s">
        <v>493</v>
      </c>
      <c r="J154" s="51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46">
        <v>145.0</v>
      </c>
      <c r="C155" s="49" t="s">
        <v>494</v>
      </c>
      <c r="D155" s="48">
        <v>36800.0</v>
      </c>
      <c r="E155" s="49" t="s">
        <v>231</v>
      </c>
      <c r="F155" s="49" t="s">
        <v>232</v>
      </c>
      <c r="G155" s="46">
        <v>1971.0</v>
      </c>
      <c r="H155" s="50" t="s">
        <v>49</v>
      </c>
      <c r="I155" s="47" t="s">
        <v>495</v>
      </c>
      <c r="J155" s="51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52">
        <v>146.0</v>
      </c>
      <c r="C156" s="47" t="s">
        <v>496</v>
      </c>
      <c r="D156" s="53">
        <v>36742.0</v>
      </c>
      <c r="E156" s="49" t="s">
        <v>497</v>
      </c>
      <c r="F156" s="49" t="s">
        <v>91</v>
      </c>
      <c r="G156" s="52">
        <v>2012.0</v>
      </c>
      <c r="H156" s="54" t="s">
        <v>313</v>
      </c>
      <c r="I156" s="47" t="s">
        <v>498</v>
      </c>
      <c r="J156" s="51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46">
        <v>147.0</v>
      </c>
      <c r="C157" s="49" t="s">
        <v>499</v>
      </c>
      <c r="D157" s="48">
        <v>36500.0</v>
      </c>
      <c r="E157" s="49" t="s">
        <v>500</v>
      </c>
      <c r="F157" s="49" t="s">
        <v>143</v>
      </c>
      <c r="G157" s="46">
        <v>2017.0</v>
      </c>
      <c r="H157" s="50" t="s">
        <v>49</v>
      </c>
      <c r="I157" s="47" t="s">
        <v>501</v>
      </c>
      <c r="J157" s="51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46">
        <v>148.0</v>
      </c>
      <c r="C158" s="49" t="s">
        <v>502</v>
      </c>
      <c r="D158" s="48">
        <v>36387.0</v>
      </c>
      <c r="E158" s="49" t="s">
        <v>503</v>
      </c>
      <c r="F158" s="49" t="s">
        <v>504</v>
      </c>
      <c r="G158" s="46">
        <v>1970.0</v>
      </c>
      <c r="H158" s="50" t="s">
        <v>49</v>
      </c>
      <c r="I158" s="47" t="s">
        <v>505</v>
      </c>
      <c r="J158" s="51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46">
        <v>149.0</v>
      </c>
      <c r="C159" s="49" t="s">
        <v>506</v>
      </c>
      <c r="D159" s="48">
        <v>36000.0</v>
      </c>
      <c r="E159" s="49" t="s">
        <v>507</v>
      </c>
      <c r="F159" s="49" t="s">
        <v>236</v>
      </c>
      <c r="G159" s="46">
        <v>1932.0</v>
      </c>
      <c r="H159" s="50" t="s">
        <v>49</v>
      </c>
      <c r="I159" s="47" t="s">
        <v>508</v>
      </c>
      <c r="J159" s="51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46">
        <v>150.0</v>
      </c>
      <c r="C160" s="49" t="s">
        <v>509</v>
      </c>
      <c r="D160" s="48">
        <v>35548.0</v>
      </c>
      <c r="E160" s="49" t="s">
        <v>510</v>
      </c>
      <c r="F160" s="49" t="s">
        <v>325</v>
      </c>
      <c r="G160" s="46">
        <v>1953.0</v>
      </c>
      <c r="H160" s="50" t="s">
        <v>49</v>
      </c>
      <c r="I160" s="47" t="s">
        <v>511</v>
      </c>
      <c r="J160" s="51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46">
        <v>151.0</v>
      </c>
      <c r="C161" s="49" t="s">
        <v>512</v>
      </c>
      <c r="D161" s="48">
        <v>35018.0</v>
      </c>
      <c r="E161" s="49" t="s">
        <v>513</v>
      </c>
      <c r="F161" s="49" t="s">
        <v>153</v>
      </c>
      <c r="G161" s="46">
        <v>1929.0</v>
      </c>
      <c r="H161" s="50" t="s">
        <v>49</v>
      </c>
      <c r="I161" s="47" t="s">
        <v>514</v>
      </c>
      <c r="J161" s="51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46">
        <v>152.0</v>
      </c>
      <c r="C162" s="49" t="s">
        <v>515</v>
      </c>
      <c r="D162" s="48">
        <v>35000.0</v>
      </c>
      <c r="E162" s="49" t="s">
        <v>466</v>
      </c>
      <c r="F162" s="49" t="s">
        <v>84</v>
      </c>
      <c r="G162" s="46">
        <v>2022.0</v>
      </c>
      <c r="H162" s="50" t="s">
        <v>49</v>
      </c>
      <c r="I162" s="47" t="s">
        <v>516</v>
      </c>
      <c r="J162" s="51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52">
        <v>153.0</v>
      </c>
      <c r="C163" s="47" t="s">
        <v>517</v>
      </c>
      <c r="D163" s="53">
        <v>34788.0</v>
      </c>
      <c r="E163" s="49" t="s">
        <v>207</v>
      </c>
      <c r="F163" s="49" t="s">
        <v>57</v>
      </c>
      <c r="G163" s="52">
        <v>1994.0</v>
      </c>
      <c r="H163" s="54" t="s">
        <v>313</v>
      </c>
      <c r="I163" s="47" t="s">
        <v>518</v>
      </c>
      <c r="J163" s="51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46">
        <v>154.0</v>
      </c>
      <c r="C164" s="49" t="s">
        <v>519</v>
      </c>
      <c r="D164" s="48">
        <v>34000.0</v>
      </c>
      <c r="E164" s="49" t="s">
        <v>520</v>
      </c>
      <c r="F164" s="49" t="s">
        <v>173</v>
      </c>
      <c r="G164" s="46">
        <v>1959.0</v>
      </c>
      <c r="H164" s="50" t="s">
        <v>49</v>
      </c>
      <c r="I164" s="47" t="s">
        <v>521</v>
      </c>
      <c r="J164" s="51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46">
        <v>155.0</v>
      </c>
      <c r="C165" s="49" t="s">
        <v>522</v>
      </c>
      <c r="D165" s="48">
        <v>32952.0</v>
      </c>
      <c r="E165" s="49" t="s">
        <v>523</v>
      </c>
      <c r="F165" s="49" t="s">
        <v>180</v>
      </c>
      <c r="G165" s="46">
        <v>1972.0</v>
      </c>
      <c r="H165" s="50" t="s">
        <v>49</v>
      </c>
      <c r="I165" s="47" t="s">
        <v>524</v>
      </c>
      <c r="J165" s="51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46">
        <v>156.0</v>
      </c>
      <c r="C166" s="49" t="s">
        <v>525</v>
      </c>
      <c r="D166" s="48">
        <v>32000.0</v>
      </c>
      <c r="E166" s="49" t="s">
        <v>52</v>
      </c>
      <c r="F166" s="49" t="s">
        <v>61</v>
      </c>
      <c r="G166" s="46">
        <v>2000.0</v>
      </c>
      <c r="H166" s="50" t="s">
        <v>49</v>
      </c>
      <c r="I166" s="47" t="s">
        <v>526</v>
      </c>
      <c r="J166" s="51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46">
        <v>157.0</v>
      </c>
      <c r="C167" s="49" t="s">
        <v>527</v>
      </c>
      <c r="D167" s="48">
        <v>31500.0</v>
      </c>
      <c r="E167" s="49" t="s">
        <v>528</v>
      </c>
      <c r="F167" s="49" t="s">
        <v>153</v>
      </c>
      <c r="G167" s="46">
        <v>1968.0</v>
      </c>
      <c r="H167" s="50" t="s">
        <v>49</v>
      </c>
      <c r="I167" s="47" t="s">
        <v>529</v>
      </c>
      <c r="J167" s="51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46">
        <v>158.0</v>
      </c>
      <c r="C168" s="49" t="s">
        <v>530</v>
      </c>
      <c r="D168" s="48">
        <v>30850.0</v>
      </c>
      <c r="E168" s="49" t="s">
        <v>531</v>
      </c>
      <c r="F168" s="49" t="s">
        <v>61</v>
      </c>
      <c r="G168" s="46">
        <v>2011.0</v>
      </c>
      <c r="H168" s="50" t="s">
        <v>49</v>
      </c>
      <c r="I168" s="47" t="s">
        <v>532</v>
      </c>
      <c r="J168" s="51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46">
        <v>159.0</v>
      </c>
      <c r="C169" s="49" t="s">
        <v>533</v>
      </c>
      <c r="D169" s="48">
        <v>30788.0</v>
      </c>
      <c r="E169" s="49" t="s">
        <v>534</v>
      </c>
      <c r="F169" s="49" t="s">
        <v>69</v>
      </c>
      <c r="G169" s="46">
        <v>1933.0</v>
      </c>
      <c r="H169" s="50" t="s">
        <v>49</v>
      </c>
      <c r="I169" s="47" t="s">
        <v>535</v>
      </c>
      <c r="J169" s="51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46">
        <v>160.0</v>
      </c>
      <c r="C170" s="49" t="s">
        <v>536</v>
      </c>
      <c r="D170" s="48">
        <v>30475.0</v>
      </c>
      <c r="E170" s="49" t="s">
        <v>537</v>
      </c>
      <c r="F170" s="49" t="s">
        <v>304</v>
      </c>
      <c r="G170" s="46">
        <v>1991.0</v>
      </c>
      <c r="H170" s="50" t="s">
        <v>49</v>
      </c>
      <c r="I170" s="47" t="s">
        <v>538</v>
      </c>
      <c r="J170" s="51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46">
        <v>161.0</v>
      </c>
      <c r="C171" s="49" t="s">
        <v>539</v>
      </c>
      <c r="D171" s="48">
        <v>30470.0</v>
      </c>
      <c r="E171" s="49" t="s">
        <v>540</v>
      </c>
      <c r="F171" s="49" t="s">
        <v>76</v>
      </c>
      <c r="G171" s="46">
        <v>1950.0</v>
      </c>
      <c r="H171" s="50" t="s">
        <v>49</v>
      </c>
      <c r="I171" s="47" t="s">
        <v>541</v>
      </c>
      <c r="J171" s="51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46">
        <v>162.0</v>
      </c>
      <c r="C172" s="49" t="s">
        <v>542</v>
      </c>
      <c r="D172" s="48">
        <v>30406.0</v>
      </c>
      <c r="E172" s="49" t="s">
        <v>543</v>
      </c>
      <c r="F172" s="49" t="s">
        <v>139</v>
      </c>
      <c r="G172" s="46">
        <v>1974.0</v>
      </c>
      <c r="H172" s="50" t="s">
        <v>49</v>
      </c>
      <c r="I172" s="47" t="s">
        <v>544</v>
      </c>
      <c r="J172" s="51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46">
        <v>163.0</v>
      </c>
      <c r="C173" s="49" t="s">
        <v>545</v>
      </c>
      <c r="D173" s="48">
        <v>30323.0</v>
      </c>
      <c r="E173" s="49" t="s">
        <v>546</v>
      </c>
      <c r="F173" s="49" t="s">
        <v>218</v>
      </c>
      <c r="G173" s="46">
        <v>1903.0</v>
      </c>
      <c r="H173" s="50" t="s">
        <v>49</v>
      </c>
      <c r="I173" s="47" t="s">
        <v>547</v>
      </c>
      <c r="J173" s="51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46">
        <v>164.0</v>
      </c>
      <c r="C174" s="49" t="s">
        <v>548</v>
      </c>
      <c r="D174" s="48">
        <v>30255.0</v>
      </c>
      <c r="E174" s="49" t="s">
        <v>549</v>
      </c>
      <c r="F174" s="49" t="s">
        <v>48</v>
      </c>
      <c r="G174" s="46">
        <v>1972.0</v>
      </c>
      <c r="H174" s="50" t="s">
        <v>49</v>
      </c>
      <c r="I174" s="47" t="s">
        <v>550</v>
      </c>
      <c r="J174" s="51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46">
        <v>165.0</v>
      </c>
      <c r="C175" s="49" t="s">
        <v>551</v>
      </c>
      <c r="D175" s="48">
        <v>30200.0</v>
      </c>
      <c r="E175" s="49" t="s">
        <v>552</v>
      </c>
      <c r="F175" s="49" t="s">
        <v>48</v>
      </c>
      <c r="G175" s="46">
        <v>1939.0</v>
      </c>
      <c r="H175" s="50" t="s">
        <v>49</v>
      </c>
      <c r="I175" s="47" t="s">
        <v>553</v>
      </c>
      <c r="J175" s="51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46">
        <v>166.0</v>
      </c>
      <c r="C176" s="49" t="s">
        <v>554</v>
      </c>
      <c r="D176" s="48">
        <v>30200.0</v>
      </c>
      <c r="E176" s="49" t="s">
        <v>555</v>
      </c>
      <c r="F176" s="49" t="s">
        <v>48</v>
      </c>
      <c r="G176" s="46">
        <v>1969.0</v>
      </c>
      <c r="H176" s="50" t="s">
        <v>49</v>
      </c>
      <c r="I176" s="47" t="s">
        <v>556</v>
      </c>
      <c r="J176" s="51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46">
        <v>167.0</v>
      </c>
      <c r="C177" s="49" t="s">
        <v>557</v>
      </c>
      <c r="D177" s="48">
        <v>30181.0</v>
      </c>
      <c r="E177" s="49" t="s">
        <v>558</v>
      </c>
      <c r="F177" s="49" t="s">
        <v>559</v>
      </c>
      <c r="G177" s="46">
        <v>1950.0</v>
      </c>
      <c r="H177" s="50" t="s">
        <v>49</v>
      </c>
      <c r="I177" s="47" t="s">
        <v>560</v>
      </c>
      <c r="J177" s="51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46">
        <v>168.0</v>
      </c>
      <c r="C178" s="49" t="s">
        <v>561</v>
      </c>
      <c r="D178" s="48">
        <v>30008.0</v>
      </c>
      <c r="E178" s="49" t="s">
        <v>562</v>
      </c>
      <c r="F178" s="49" t="s">
        <v>61</v>
      </c>
      <c r="G178" s="46">
        <v>1981.0</v>
      </c>
      <c r="H178" s="50" t="s">
        <v>49</v>
      </c>
      <c r="I178" s="47" t="s">
        <v>563</v>
      </c>
      <c r="J178" s="51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46">
        <v>169.0</v>
      </c>
      <c r="C179" s="49" t="s">
        <v>564</v>
      </c>
      <c r="D179" s="48">
        <v>30000.0</v>
      </c>
      <c r="E179" s="49" t="s">
        <v>565</v>
      </c>
      <c r="F179" s="49" t="s">
        <v>114</v>
      </c>
      <c r="G179" s="46">
        <v>1930.0</v>
      </c>
      <c r="H179" s="50" t="s">
        <v>49</v>
      </c>
      <c r="I179" s="47" t="s">
        <v>566</v>
      </c>
      <c r="J179" s="51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46">
        <v>170.0</v>
      </c>
      <c r="C180" s="49" t="s">
        <v>567</v>
      </c>
      <c r="D180" s="48">
        <v>30000.0</v>
      </c>
      <c r="E180" s="49" t="s">
        <v>568</v>
      </c>
      <c r="F180" s="49" t="s">
        <v>153</v>
      </c>
      <c r="G180" s="46">
        <v>1962.0</v>
      </c>
      <c r="H180" s="50" t="s">
        <v>49</v>
      </c>
      <c r="I180" s="47" t="s">
        <v>569</v>
      </c>
      <c r="J180" s="51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46">
        <v>171.0</v>
      </c>
      <c r="C181" s="49" t="s">
        <v>570</v>
      </c>
      <c r="D181" s="48">
        <v>30000.0</v>
      </c>
      <c r="E181" s="49" t="s">
        <v>571</v>
      </c>
      <c r="F181" s="49" t="s">
        <v>222</v>
      </c>
      <c r="G181" s="46">
        <v>1997.0</v>
      </c>
      <c r="H181" s="50" t="s">
        <v>49</v>
      </c>
      <c r="I181" s="47" t="s">
        <v>572</v>
      </c>
      <c r="J181" s="51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46">
        <v>172.0</v>
      </c>
      <c r="C182" s="49" t="s">
        <v>573</v>
      </c>
      <c r="D182" s="48">
        <v>30000.0</v>
      </c>
      <c r="E182" s="49" t="s">
        <v>574</v>
      </c>
      <c r="F182" s="49" t="s">
        <v>57</v>
      </c>
      <c r="G182" s="46">
        <v>2009.0</v>
      </c>
      <c r="H182" s="50" t="s">
        <v>49</v>
      </c>
      <c r="I182" s="47" t="s">
        <v>575</v>
      </c>
      <c r="J182" s="51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46">
        <v>173.0</v>
      </c>
      <c r="C183" s="49" t="s">
        <v>576</v>
      </c>
      <c r="D183" s="48">
        <v>30000.0</v>
      </c>
      <c r="E183" s="49" t="s">
        <v>156</v>
      </c>
      <c r="F183" s="49" t="s">
        <v>65</v>
      </c>
      <c r="G183" s="46">
        <v>2014.0</v>
      </c>
      <c r="H183" s="50" t="s">
        <v>49</v>
      </c>
      <c r="I183" s="47" t="s">
        <v>577</v>
      </c>
      <c r="J183" s="51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52">
        <v>174.0</v>
      </c>
      <c r="C184" s="49" t="s">
        <v>578</v>
      </c>
      <c r="D184" s="53">
        <v>30000.0</v>
      </c>
      <c r="E184" s="49" t="s">
        <v>190</v>
      </c>
      <c r="F184" s="49" t="s">
        <v>69</v>
      </c>
      <c r="G184" s="52">
        <v>2022.0</v>
      </c>
      <c r="H184" s="54" t="s">
        <v>579</v>
      </c>
      <c r="I184" s="47" t="s">
        <v>580</v>
      </c>
      <c r="J184" s="51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46">
        <v>175.0</v>
      </c>
      <c r="C185" s="49" t="s">
        <v>581</v>
      </c>
      <c r="D185" s="48">
        <v>29571.0</v>
      </c>
      <c r="E185" s="49" t="s">
        <v>582</v>
      </c>
      <c r="F185" s="49" t="s">
        <v>91</v>
      </c>
      <c r="G185" s="46">
        <v>2011.0</v>
      </c>
      <c r="H185" s="50" t="s">
        <v>49</v>
      </c>
      <c r="I185" s="47" t="s">
        <v>583</v>
      </c>
      <c r="J185" s="51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46">
        <v>176.0</v>
      </c>
      <c r="C186" s="49" t="s">
        <v>584</v>
      </c>
      <c r="D186" s="48">
        <v>28853.0</v>
      </c>
      <c r="E186" s="49" t="s">
        <v>585</v>
      </c>
      <c r="F186" s="49" t="s">
        <v>475</v>
      </c>
      <c r="G186" s="46">
        <v>1978.0</v>
      </c>
      <c r="H186" s="50" t="s">
        <v>49</v>
      </c>
      <c r="I186" s="47" t="s">
        <v>586</v>
      </c>
      <c r="J186" s="51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46">
        <v>177.0</v>
      </c>
      <c r="C187" s="49" t="s">
        <v>587</v>
      </c>
      <c r="D187" s="48">
        <v>28562.0</v>
      </c>
      <c r="E187" s="49" t="s">
        <v>588</v>
      </c>
      <c r="F187" s="49" t="s">
        <v>65</v>
      </c>
      <c r="G187" s="46">
        <v>1960.0</v>
      </c>
      <c r="H187" s="50" t="s">
        <v>49</v>
      </c>
      <c r="I187" s="47" t="s">
        <v>589</v>
      </c>
      <c r="J187" s="51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46">
        <v>178.0</v>
      </c>
      <c r="C188" s="49" t="s">
        <v>590</v>
      </c>
      <c r="D188" s="48">
        <v>27773.0</v>
      </c>
      <c r="E188" s="49" t="s">
        <v>591</v>
      </c>
      <c r="F188" s="49" t="s">
        <v>102</v>
      </c>
      <c r="G188" s="46">
        <v>1998.0</v>
      </c>
      <c r="H188" s="50" t="s">
        <v>49</v>
      </c>
      <c r="I188" s="47" t="s">
        <v>592</v>
      </c>
      <c r="J188" s="51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46">
        <v>179.0</v>
      </c>
      <c r="C189" s="49" t="s">
        <v>593</v>
      </c>
      <c r="D189" s="48">
        <v>27617.0</v>
      </c>
      <c r="E189" s="49" t="s">
        <v>594</v>
      </c>
      <c r="F189" s="49" t="s">
        <v>65</v>
      </c>
      <c r="G189" s="46">
        <v>1978.0</v>
      </c>
      <c r="H189" s="50" t="s">
        <v>49</v>
      </c>
      <c r="I189" s="47" t="s">
        <v>595</v>
      </c>
      <c r="J189" s="51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46">
        <v>180.0</v>
      </c>
      <c r="C190" s="47" t="s">
        <v>596</v>
      </c>
      <c r="D190" s="48">
        <v>27000.0</v>
      </c>
      <c r="E190" s="49" t="s">
        <v>597</v>
      </c>
      <c r="F190" s="49" t="s">
        <v>232</v>
      </c>
      <c r="G190" s="46">
        <v>1966.0</v>
      </c>
      <c r="H190" s="50" t="s">
        <v>49</v>
      </c>
      <c r="I190" s="47" t="s">
        <v>598</v>
      </c>
      <c r="J190" s="51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52">
        <v>181.0</v>
      </c>
      <c r="C191" s="49" t="s">
        <v>599</v>
      </c>
      <c r="D191" s="53">
        <v>27000.0</v>
      </c>
      <c r="E191" s="49" t="s">
        <v>600</v>
      </c>
      <c r="F191" s="49" t="s">
        <v>84</v>
      </c>
      <c r="G191" s="52">
        <v>2003.0</v>
      </c>
      <c r="H191" s="54" t="s">
        <v>579</v>
      </c>
      <c r="I191" s="47" t="s">
        <v>601</v>
      </c>
      <c r="J191" s="51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46">
        <v>182.0</v>
      </c>
      <c r="C192" s="49" t="s">
        <v>602</v>
      </c>
      <c r="D192" s="48">
        <v>26500.0</v>
      </c>
      <c r="E192" s="49" t="s">
        <v>603</v>
      </c>
      <c r="F192" s="49" t="s">
        <v>76</v>
      </c>
      <c r="G192" s="46">
        <v>2012.0</v>
      </c>
      <c r="H192" s="50" t="s">
        <v>49</v>
      </c>
      <c r="I192" s="47" t="s">
        <v>604</v>
      </c>
      <c r="J192" s="51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46">
        <v>183.0</v>
      </c>
      <c r="C193" s="49" t="s">
        <v>605</v>
      </c>
      <c r="D193" s="48">
        <v>26500.0</v>
      </c>
      <c r="E193" s="49" t="s">
        <v>156</v>
      </c>
      <c r="F193" s="49" t="s">
        <v>65</v>
      </c>
      <c r="G193" s="46">
        <v>1936.0</v>
      </c>
      <c r="H193" s="50" t="s">
        <v>606</v>
      </c>
      <c r="I193" s="55"/>
      <c r="J193" s="51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46">
        <v>184.0</v>
      </c>
      <c r="C194" s="49" t="s">
        <v>607</v>
      </c>
      <c r="D194" s="48">
        <v>26038.0</v>
      </c>
      <c r="E194" s="49" t="s">
        <v>608</v>
      </c>
      <c r="F194" s="49" t="s">
        <v>57</v>
      </c>
      <c r="G194" s="46">
        <v>1937.0</v>
      </c>
      <c r="H194" s="50" t="s">
        <v>49</v>
      </c>
      <c r="I194" s="47" t="s">
        <v>609</v>
      </c>
      <c r="J194" s="51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52">
        <v>185.0</v>
      </c>
      <c r="C195" s="49" t="s">
        <v>610</v>
      </c>
      <c r="D195" s="53">
        <v>25513.0</v>
      </c>
      <c r="E195" s="49" t="s">
        <v>225</v>
      </c>
      <c r="F195" s="49" t="s">
        <v>57</v>
      </c>
      <c r="G195" s="52">
        <v>2021.0</v>
      </c>
      <c r="H195" s="54" t="s">
        <v>579</v>
      </c>
      <c r="I195" s="47" t="s">
        <v>611</v>
      </c>
      <c r="J195" s="51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52">
        <v>186.0</v>
      </c>
      <c r="C196" s="49" t="s">
        <v>612</v>
      </c>
      <c r="D196" s="53">
        <v>25500.0</v>
      </c>
      <c r="E196" s="49" t="s">
        <v>289</v>
      </c>
      <c r="F196" s="49" t="s">
        <v>91</v>
      </c>
      <c r="G196" s="52">
        <v>2017.0</v>
      </c>
      <c r="H196" s="54" t="s">
        <v>579</v>
      </c>
      <c r="I196" s="47" t="s">
        <v>613</v>
      </c>
      <c r="J196" s="51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46">
        <v>187.0</v>
      </c>
      <c r="C197" s="49" t="s">
        <v>614</v>
      </c>
      <c r="D197" s="48">
        <v>25500.0</v>
      </c>
      <c r="E197" s="49" t="s">
        <v>64</v>
      </c>
      <c r="F197" s="49" t="s">
        <v>65</v>
      </c>
      <c r="G197" s="46">
        <v>1928.0</v>
      </c>
      <c r="H197" s="50" t="s">
        <v>49</v>
      </c>
      <c r="I197" s="47" t="s">
        <v>615</v>
      </c>
      <c r="J197" s="51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46">
        <v>188.0</v>
      </c>
      <c r="C198" s="49" t="s">
        <v>616</v>
      </c>
      <c r="D198" s="48">
        <v>25450.0</v>
      </c>
      <c r="E198" s="49" t="s">
        <v>469</v>
      </c>
      <c r="F198" s="49" t="s">
        <v>76</v>
      </c>
      <c r="G198" s="46">
        <v>2020.0</v>
      </c>
      <c r="H198" s="50" t="s">
        <v>49</v>
      </c>
      <c r="I198" s="47" t="s">
        <v>617</v>
      </c>
      <c r="J198" s="51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46">
        <v>189.0</v>
      </c>
      <c r="C199" s="49" t="s">
        <v>618</v>
      </c>
      <c r="D199" s="57" t="s">
        <v>619</v>
      </c>
      <c r="E199" s="49" t="s">
        <v>620</v>
      </c>
      <c r="F199" s="49" t="s">
        <v>57</v>
      </c>
      <c r="G199" s="46">
        <v>1969.0</v>
      </c>
      <c r="H199" s="50" t="s">
        <v>49</v>
      </c>
      <c r="I199" s="47" t="s">
        <v>621</v>
      </c>
      <c r="J199" s="51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52">
        <v>190.0</v>
      </c>
      <c r="C200" s="49" t="s">
        <v>622</v>
      </c>
      <c r="D200" s="53">
        <v>25218.0</v>
      </c>
      <c r="E200" s="49" t="s">
        <v>623</v>
      </c>
      <c r="F200" s="49" t="s">
        <v>325</v>
      </c>
      <c r="G200" s="52">
        <v>1926.0</v>
      </c>
      <c r="H200" s="54" t="s">
        <v>579</v>
      </c>
      <c r="I200" s="47" t="s">
        <v>624</v>
      </c>
      <c r="J200" s="51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46">
        <v>191.0</v>
      </c>
      <c r="C201" s="49" t="s">
        <v>625</v>
      </c>
      <c r="D201" s="48">
        <v>25217.0</v>
      </c>
      <c r="E201" s="49" t="s">
        <v>626</v>
      </c>
      <c r="F201" s="49" t="s">
        <v>627</v>
      </c>
      <c r="G201" s="46">
        <v>1986.0</v>
      </c>
      <c r="H201" s="50" t="s">
        <v>49</v>
      </c>
      <c r="I201" s="47" t="s">
        <v>628</v>
      </c>
      <c r="J201" s="51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46">
        <v>192.0</v>
      </c>
      <c r="C202" s="49" t="s">
        <v>629</v>
      </c>
      <c r="D202" s="48">
        <v>25100.0</v>
      </c>
      <c r="E202" s="49" t="s">
        <v>630</v>
      </c>
      <c r="F202" s="49" t="s">
        <v>243</v>
      </c>
      <c r="G202" s="46">
        <v>1968.0</v>
      </c>
      <c r="H202" s="50" t="s">
        <v>49</v>
      </c>
      <c r="I202" s="47" t="s">
        <v>631</v>
      </c>
      <c r="J202" s="51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46">
        <v>193.0</v>
      </c>
      <c r="C203" s="49" t="s">
        <v>632</v>
      </c>
      <c r="D203" s="48">
        <v>25013.0</v>
      </c>
      <c r="E203" s="49" t="s">
        <v>633</v>
      </c>
      <c r="F203" s="49" t="s">
        <v>163</v>
      </c>
      <c r="G203" s="46">
        <v>1993.0</v>
      </c>
      <c r="H203" s="50" t="s">
        <v>49</v>
      </c>
      <c r="I203" s="47" t="s">
        <v>634</v>
      </c>
      <c r="J203" s="51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52">
        <v>194.0</v>
      </c>
      <c r="C204" s="49" t="s">
        <v>635</v>
      </c>
      <c r="D204" s="53">
        <v>25000.0</v>
      </c>
      <c r="E204" s="49" t="s">
        <v>636</v>
      </c>
      <c r="F204" s="49" t="s">
        <v>102</v>
      </c>
      <c r="G204" s="52">
        <v>2010.0</v>
      </c>
      <c r="H204" s="54" t="s">
        <v>579</v>
      </c>
      <c r="I204" s="47" t="s">
        <v>637</v>
      </c>
      <c r="J204" s="51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46">
        <v>195.0</v>
      </c>
      <c r="C205" s="49" t="s">
        <v>638</v>
      </c>
      <c r="D205" s="48">
        <v>25000.0</v>
      </c>
      <c r="E205" s="49" t="s">
        <v>639</v>
      </c>
      <c r="F205" s="49" t="s">
        <v>80</v>
      </c>
      <c r="G205" s="46">
        <v>1984.0</v>
      </c>
      <c r="H205" s="50" t="s">
        <v>49</v>
      </c>
      <c r="I205" s="47" t="s">
        <v>640</v>
      </c>
      <c r="J205" s="51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46">
        <v>196.0</v>
      </c>
      <c r="C206" s="49" t="s">
        <v>641</v>
      </c>
      <c r="D206" s="48">
        <v>25000.0</v>
      </c>
      <c r="E206" s="49" t="s">
        <v>642</v>
      </c>
      <c r="F206" s="49" t="s">
        <v>222</v>
      </c>
      <c r="G206" s="46">
        <v>1989.0</v>
      </c>
      <c r="H206" s="50" t="s">
        <v>49</v>
      </c>
      <c r="I206" s="47" t="s">
        <v>643</v>
      </c>
      <c r="J206" s="51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46">
        <v>197.0</v>
      </c>
      <c r="C207" s="49" t="s">
        <v>644</v>
      </c>
      <c r="D207" s="48">
        <v>25000.0</v>
      </c>
      <c r="E207" s="49" t="s">
        <v>603</v>
      </c>
      <c r="F207" s="49" t="s">
        <v>76</v>
      </c>
      <c r="G207" s="46">
        <v>1922.0</v>
      </c>
      <c r="H207" s="50" t="s">
        <v>49</v>
      </c>
      <c r="I207" s="47" t="s">
        <v>645</v>
      </c>
      <c r="J207" s="51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46">
        <v>198.0</v>
      </c>
      <c r="C208" s="49" t="s">
        <v>646</v>
      </c>
      <c r="D208" s="48">
        <v>24877.0</v>
      </c>
      <c r="E208" s="49" t="s">
        <v>647</v>
      </c>
      <c r="F208" s="49" t="s">
        <v>222</v>
      </c>
      <c r="G208" s="46">
        <v>1975.0</v>
      </c>
      <c r="H208" s="50" t="s">
        <v>49</v>
      </c>
      <c r="I208" s="47" t="s">
        <v>648</v>
      </c>
      <c r="J208" s="51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46">
        <v>199.0</v>
      </c>
      <c r="C209" s="49" t="s">
        <v>649</v>
      </c>
      <c r="D209" s="48">
        <v>24505.0</v>
      </c>
      <c r="E209" s="49" t="s">
        <v>650</v>
      </c>
      <c r="F209" s="49" t="s">
        <v>98</v>
      </c>
      <c r="G209" s="46">
        <v>2011.0</v>
      </c>
      <c r="H209" s="50" t="s">
        <v>313</v>
      </c>
      <c r="I209" s="47" t="s">
        <v>651</v>
      </c>
      <c r="J209" s="51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46">
        <v>200.0</v>
      </c>
      <c r="C210" s="49" t="s">
        <v>652</v>
      </c>
      <c r="D210" s="48">
        <v>24333.0</v>
      </c>
      <c r="E210" s="49" t="s">
        <v>168</v>
      </c>
      <c r="F210" s="49" t="s">
        <v>80</v>
      </c>
      <c r="G210" s="46">
        <v>1996.0</v>
      </c>
      <c r="H210" s="50" t="s">
        <v>49</v>
      </c>
      <c r="I210" s="47" t="s">
        <v>653</v>
      </c>
      <c r="J210" s="51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46">
        <v>201.0</v>
      </c>
      <c r="C211" s="49" t="s">
        <v>654</v>
      </c>
      <c r="D211" s="48">
        <v>24286.0</v>
      </c>
      <c r="E211" s="49" t="s">
        <v>235</v>
      </c>
      <c r="F211" s="49" t="s">
        <v>57</v>
      </c>
      <c r="G211" s="46">
        <v>1983.0</v>
      </c>
      <c r="H211" s="50" t="s">
        <v>49</v>
      </c>
      <c r="I211" s="47" t="s">
        <v>655</v>
      </c>
      <c r="J211" s="51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46">
        <v>202.0</v>
      </c>
      <c r="C212" s="49" t="s">
        <v>656</v>
      </c>
      <c r="D212" s="48">
        <v>24000.0</v>
      </c>
      <c r="E212" s="49" t="s">
        <v>657</v>
      </c>
      <c r="F212" s="49" t="s">
        <v>57</v>
      </c>
      <c r="G212" s="46">
        <v>1966.0</v>
      </c>
      <c r="H212" s="50" t="s">
        <v>49</v>
      </c>
      <c r="I212" s="47" t="s">
        <v>658</v>
      </c>
      <c r="J212" s="51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46">
        <v>203.0</v>
      </c>
      <c r="C213" s="49" t="s">
        <v>659</v>
      </c>
      <c r="D213" s="48">
        <v>24000.0</v>
      </c>
      <c r="E213" s="49" t="s">
        <v>79</v>
      </c>
      <c r="F213" s="49" t="s">
        <v>57</v>
      </c>
      <c r="G213" s="46">
        <v>1929.0</v>
      </c>
      <c r="H213" s="50" t="s">
        <v>49</v>
      </c>
      <c r="I213" s="47" t="s">
        <v>660</v>
      </c>
      <c r="J213" s="51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46">
        <v>204.0</v>
      </c>
      <c r="C214" s="49" t="s">
        <v>661</v>
      </c>
      <c r="D214" s="48">
        <v>24000.0</v>
      </c>
      <c r="E214" s="49" t="s">
        <v>201</v>
      </c>
      <c r="F214" s="49" t="s">
        <v>76</v>
      </c>
      <c r="G214" s="46">
        <v>1947.0</v>
      </c>
      <c r="H214" s="50" t="s">
        <v>49</v>
      </c>
      <c r="I214" s="47" t="s">
        <v>662</v>
      </c>
      <c r="J214" s="51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46">
        <v>205.0</v>
      </c>
      <c r="C215" s="49" t="s">
        <v>663</v>
      </c>
      <c r="D215" s="48">
        <v>24000.0</v>
      </c>
      <c r="E215" s="49" t="s">
        <v>664</v>
      </c>
      <c r="F215" s="49" t="s">
        <v>262</v>
      </c>
      <c r="G215" s="46">
        <v>1965.0</v>
      </c>
      <c r="H215" s="50" t="s">
        <v>49</v>
      </c>
      <c r="I215" s="47" t="s">
        <v>665</v>
      </c>
      <c r="J215" s="51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46">
        <v>206.0</v>
      </c>
      <c r="C216" s="49" t="s">
        <v>666</v>
      </c>
      <c r="D216" s="48">
        <v>23776.0</v>
      </c>
      <c r="E216" s="49" t="s">
        <v>657</v>
      </c>
      <c r="F216" s="49" t="s">
        <v>286</v>
      </c>
      <c r="G216" s="46">
        <v>1968.0</v>
      </c>
      <c r="H216" s="50" t="s">
        <v>49</v>
      </c>
      <c r="I216" s="47" t="s">
        <v>667</v>
      </c>
      <c r="J216" s="51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46">
        <v>207.0</v>
      </c>
      <c r="C217" s="49" t="s">
        <v>668</v>
      </c>
      <c r="D217" s="48">
        <v>23711.0</v>
      </c>
      <c r="E217" s="49" t="s">
        <v>163</v>
      </c>
      <c r="F217" s="49" t="s">
        <v>163</v>
      </c>
      <c r="G217" s="46">
        <v>1997.0</v>
      </c>
      <c r="H217" s="50" t="s">
        <v>669</v>
      </c>
      <c r="I217" s="49" t="s">
        <v>670</v>
      </c>
      <c r="J217" s="51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46">
        <v>208.0</v>
      </c>
      <c r="C218" s="49" t="s">
        <v>671</v>
      </c>
      <c r="D218" s="48">
        <v>23500.0</v>
      </c>
      <c r="E218" s="49" t="s">
        <v>672</v>
      </c>
      <c r="F218" s="49" t="s">
        <v>218</v>
      </c>
      <c r="G218" s="46">
        <v>1924.0</v>
      </c>
      <c r="H218" s="50" t="s">
        <v>49</v>
      </c>
      <c r="I218" s="47" t="s">
        <v>673</v>
      </c>
      <c r="J218" s="51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46">
        <v>209.0</v>
      </c>
      <c r="C219" s="49" t="s">
        <v>674</v>
      </c>
      <c r="D219" s="48">
        <v>23000.0</v>
      </c>
      <c r="E219" s="49" t="s">
        <v>675</v>
      </c>
      <c r="F219" s="49" t="s">
        <v>57</v>
      </c>
      <c r="G219" s="46">
        <v>1938.0</v>
      </c>
      <c r="H219" s="50" t="s">
        <v>49</v>
      </c>
      <c r="I219" s="47" t="s">
        <v>676</v>
      </c>
      <c r="J219" s="51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46">
        <v>210.0</v>
      </c>
      <c r="C220" s="49" t="s">
        <v>677</v>
      </c>
      <c r="D220" s="48">
        <v>22611.0</v>
      </c>
      <c r="E220" s="49" t="s">
        <v>678</v>
      </c>
      <c r="F220" s="49" t="s">
        <v>222</v>
      </c>
      <c r="G220" s="46">
        <v>1929.0</v>
      </c>
      <c r="H220" s="50" t="s">
        <v>579</v>
      </c>
      <c r="I220" s="47" t="s">
        <v>679</v>
      </c>
      <c r="J220" s="51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46">
        <v>211.0</v>
      </c>
      <c r="C221" s="49" t="s">
        <v>680</v>
      </c>
      <c r="D221" s="48">
        <v>22500.0</v>
      </c>
      <c r="E221" s="49" t="s">
        <v>681</v>
      </c>
      <c r="F221" s="49" t="s">
        <v>236</v>
      </c>
      <c r="G221" s="46">
        <v>1992.0</v>
      </c>
      <c r="H221" s="50" t="s">
        <v>49</v>
      </c>
      <c r="I221" s="47" t="s">
        <v>682</v>
      </c>
      <c r="J221" s="51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46">
        <v>212.0</v>
      </c>
      <c r="C222" s="49" t="s">
        <v>683</v>
      </c>
      <c r="D222" s="48">
        <v>22500.0</v>
      </c>
      <c r="E222" s="49" t="s">
        <v>684</v>
      </c>
      <c r="F222" s="49" t="s">
        <v>124</v>
      </c>
      <c r="G222" s="46">
        <v>1967.0</v>
      </c>
      <c r="H222" s="50" t="s">
        <v>49</v>
      </c>
      <c r="I222" s="47" t="s">
        <v>685</v>
      </c>
      <c r="J222" s="51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52">
        <v>213.0</v>
      </c>
      <c r="C223" s="49" t="s">
        <v>686</v>
      </c>
      <c r="D223" s="53">
        <v>22423.0</v>
      </c>
      <c r="E223" s="49" t="s">
        <v>210</v>
      </c>
      <c r="F223" s="49" t="s">
        <v>135</v>
      </c>
      <c r="G223" s="52">
        <v>2022.0</v>
      </c>
      <c r="H223" s="54" t="s">
        <v>579</v>
      </c>
      <c r="I223" s="47" t="s">
        <v>687</v>
      </c>
      <c r="J223" s="51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46">
        <v>214.0</v>
      </c>
      <c r="C224" s="49" t="s">
        <v>688</v>
      </c>
      <c r="D224" s="48">
        <v>22355.0</v>
      </c>
      <c r="E224" s="49" t="s">
        <v>689</v>
      </c>
      <c r="F224" s="49" t="s">
        <v>84</v>
      </c>
      <c r="G224" s="46">
        <v>1955.0</v>
      </c>
      <c r="H224" s="50" t="s">
        <v>606</v>
      </c>
      <c r="I224" s="47" t="s">
        <v>690</v>
      </c>
      <c r="J224" s="51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52">
        <v>215.0</v>
      </c>
      <c r="C225" s="49" t="s">
        <v>691</v>
      </c>
      <c r="D225" s="53">
        <v>22039.0</v>
      </c>
      <c r="E225" s="49" t="s">
        <v>159</v>
      </c>
      <c r="F225" s="49" t="s">
        <v>61</v>
      </c>
      <c r="G225" s="52">
        <v>2012.0</v>
      </c>
      <c r="H225" s="54" t="s">
        <v>579</v>
      </c>
      <c r="I225" s="47" t="s">
        <v>692</v>
      </c>
      <c r="J225" s="51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46">
        <v>216.0</v>
      </c>
      <c r="C226" s="49" t="s">
        <v>693</v>
      </c>
      <c r="D226" s="48">
        <v>22000.0</v>
      </c>
      <c r="E226" s="49" t="s">
        <v>694</v>
      </c>
      <c r="F226" s="49" t="s">
        <v>106</v>
      </c>
      <c r="G226" s="46">
        <v>1955.0</v>
      </c>
      <c r="H226" s="50" t="s">
        <v>49</v>
      </c>
      <c r="I226" s="47" t="s">
        <v>695</v>
      </c>
      <c r="J226" s="51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52">
        <v>217.0</v>
      </c>
      <c r="C227" s="49" t="s">
        <v>696</v>
      </c>
      <c r="D227" s="53">
        <v>22000.0</v>
      </c>
      <c r="E227" s="49" t="s">
        <v>130</v>
      </c>
      <c r="F227" s="49" t="s">
        <v>84</v>
      </c>
      <c r="G227" s="52">
        <v>2018.0</v>
      </c>
      <c r="H227" s="54" t="s">
        <v>579</v>
      </c>
      <c r="I227" s="47" t="s">
        <v>697</v>
      </c>
      <c r="J227" s="51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46">
        <v>218.0</v>
      </c>
      <c r="C228" s="49" t="s">
        <v>698</v>
      </c>
      <c r="D228" s="48">
        <v>22000.0</v>
      </c>
      <c r="E228" s="49" t="s">
        <v>699</v>
      </c>
      <c r="F228" s="49" t="s">
        <v>700</v>
      </c>
      <c r="G228" s="46">
        <v>1952.0</v>
      </c>
      <c r="H228" s="50" t="s">
        <v>49</v>
      </c>
      <c r="I228" s="47" t="s">
        <v>701</v>
      </c>
      <c r="J228" s="51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46">
        <v>219.0</v>
      </c>
      <c r="C229" s="49" t="s">
        <v>702</v>
      </c>
      <c r="D229" s="48">
        <v>21944.0</v>
      </c>
      <c r="E229" s="49" t="s">
        <v>571</v>
      </c>
      <c r="F229" s="49" t="s">
        <v>222</v>
      </c>
      <c r="G229" s="46">
        <v>1936.0</v>
      </c>
      <c r="H229" s="50" t="s">
        <v>49</v>
      </c>
      <c r="I229" s="47" t="s">
        <v>703</v>
      </c>
      <c r="J229" s="51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46">
        <v>220.0</v>
      </c>
      <c r="C230" s="49" t="s">
        <v>704</v>
      </c>
      <c r="D230" s="48">
        <v>21520.0</v>
      </c>
      <c r="E230" s="49" t="s">
        <v>705</v>
      </c>
      <c r="F230" s="49" t="s">
        <v>84</v>
      </c>
      <c r="G230" s="46">
        <v>1933.0</v>
      </c>
      <c r="H230" s="50" t="s">
        <v>49</v>
      </c>
      <c r="I230" s="47" t="s">
        <v>706</v>
      </c>
      <c r="J230" s="51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46">
        <v>221.0</v>
      </c>
      <c r="C231" s="49" t="s">
        <v>707</v>
      </c>
      <c r="D231" s="48">
        <v>21500.0</v>
      </c>
      <c r="E231" s="49" t="s">
        <v>708</v>
      </c>
      <c r="F231" s="49" t="s">
        <v>163</v>
      </c>
      <c r="G231" s="46">
        <v>1915.0</v>
      </c>
      <c r="H231" s="50" t="s">
        <v>49</v>
      </c>
      <c r="I231" s="47" t="s">
        <v>709</v>
      </c>
      <c r="J231" s="51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46">
        <v>222.0</v>
      </c>
      <c r="C232" s="49" t="s">
        <v>710</v>
      </c>
      <c r="D232" s="48">
        <v>21500.0</v>
      </c>
      <c r="E232" s="49" t="s">
        <v>64</v>
      </c>
      <c r="F232" s="49" t="s">
        <v>65</v>
      </c>
      <c r="G232" s="46">
        <v>1956.0</v>
      </c>
      <c r="H232" s="50" t="s">
        <v>49</v>
      </c>
      <c r="I232" s="50" t="s">
        <v>711</v>
      </c>
      <c r="J232" s="51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46">
        <v>223.0</v>
      </c>
      <c r="C233" s="49" t="s">
        <v>712</v>
      </c>
      <c r="D233" s="48">
        <v>21500.0</v>
      </c>
      <c r="E233" s="49" t="s">
        <v>713</v>
      </c>
      <c r="F233" s="49" t="s">
        <v>153</v>
      </c>
      <c r="G233" s="46">
        <v>1981.0</v>
      </c>
      <c r="H233" s="50" t="s">
        <v>49</v>
      </c>
      <c r="I233" s="47" t="s">
        <v>714</v>
      </c>
      <c r="J233" s="51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46">
        <v>224.0</v>
      </c>
      <c r="C234" s="49" t="s">
        <v>715</v>
      </c>
      <c r="D234" s="48">
        <v>21195.0</v>
      </c>
      <c r="E234" s="49" t="s">
        <v>716</v>
      </c>
      <c r="F234" s="49" t="s">
        <v>84</v>
      </c>
      <c r="G234" s="46">
        <v>1969.0</v>
      </c>
      <c r="H234" s="50" t="s">
        <v>49</v>
      </c>
      <c r="I234" s="47" t="s">
        <v>717</v>
      </c>
      <c r="J234" s="51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46">
        <v>225.0</v>
      </c>
      <c r="C235" s="49" t="s">
        <v>718</v>
      </c>
      <c r="D235" s="48">
        <v>21000.0</v>
      </c>
      <c r="E235" s="49" t="s">
        <v>719</v>
      </c>
      <c r="F235" s="49" t="s">
        <v>76</v>
      </c>
      <c r="G235" s="46">
        <v>1996.0</v>
      </c>
      <c r="H235" s="50" t="s">
        <v>49</v>
      </c>
      <c r="I235" s="47" t="s">
        <v>720</v>
      </c>
      <c r="J235" s="51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46">
        <v>226.0</v>
      </c>
      <c r="C236" s="49" t="s">
        <v>721</v>
      </c>
      <c r="D236" s="48">
        <v>21000.0</v>
      </c>
      <c r="E236" s="49" t="s">
        <v>722</v>
      </c>
      <c r="F236" s="49" t="s">
        <v>106</v>
      </c>
      <c r="G236" s="46">
        <v>2003.0</v>
      </c>
      <c r="H236" s="50" t="s">
        <v>49</v>
      </c>
      <c r="I236" s="47" t="s">
        <v>723</v>
      </c>
      <c r="J236" s="51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52">
        <v>227.0</v>
      </c>
      <c r="C237" s="49" t="s">
        <v>724</v>
      </c>
      <c r="D237" s="53">
        <v>21000.0</v>
      </c>
      <c r="E237" s="49" t="s">
        <v>725</v>
      </c>
      <c r="F237" s="49" t="s">
        <v>91</v>
      </c>
      <c r="G237" s="52">
        <v>2020.0</v>
      </c>
      <c r="H237" s="54" t="s">
        <v>579</v>
      </c>
      <c r="I237" s="47" t="s">
        <v>726</v>
      </c>
      <c r="J237" s="51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46">
        <v>228.0</v>
      </c>
      <c r="C238" s="49" t="s">
        <v>727</v>
      </c>
      <c r="D238" s="48">
        <v>20767.0</v>
      </c>
      <c r="E238" s="49" t="s">
        <v>728</v>
      </c>
      <c r="F238" s="49" t="s">
        <v>627</v>
      </c>
      <c r="G238" s="46">
        <v>1973.0</v>
      </c>
      <c r="H238" s="50" t="s">
        <v>49</v>
      </c>
      <c r="I238" s="47" t="s">
        <v>729</v>
      </c>
      <c r="J238" s="51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52">
        <v>229.0</v>
      </c>
      <c r="C239" s="49" t="s">
        <v>730</v>
      </c>
      <c r="D239" s="53">
        <v>20738.0</v>
      </c>
      <c r="E239" s="49" t="s">
        <v>72</v>
      </c>
      <c r="F239" s="49" t="s">
        <v>61</v>
      </c>
      <c r="G239" s="52">
        <v>2021.0</v>
      </c>
      <c r="H239" s="54" t="s">
        <v>579</v>
      </c>
      <c r="I239" s="47" t="s">
        <v>731</v>
      </c>
      <c r="J239" s="51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46">
        <v>230.0</v>
      </c>
      <c r="C240" s="49" t="s">
        <v>732</v>
      </c>
      <c r="D240" s="48">
        <v>20630.0</v>
      </c>
      <c r="E240" s="49" t="s">
        <v>733</v>
      </c>
      <c r="F240" s="49" t="s">
        <v>57</v>
      </c>
      <c r="G240" s="46">
        <v>1982.0</v>
      </c>
      <c r="H240" s="50" t="s">
        <v>49</v>
      </c>
      <c r="I240" s="47" t="s">
        <v>734</v>
      </c>
      <c r="J240" s="51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52">
        <v>231.0</v>
      </c>
      <c r="C241" s="49" t="s">
        <v>735</v>
      </c>
      <c r="D241" s="53">
        <v>20500.0</v>
      </c>
      <c r="E241" s="49" t="s">
        <v>736</v>
      </c>
      <c r="F241" s="49" t="s">
        <v>61</v>
      </c>
      <c r="G241" s="52">
        <v>2005.0</v>
      </c>
      <c r="H241" s="54" t="s">
        <v>579</v>
      </c>
      <c r="I241" s="47" t="s">
        <v>737</v>
      </c>
      <c r="J241" s="51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46">
        <v>232.0</v>
      </c>
      <c r="C242" s="49" t="s">
        <v>738</v>
      </c>
      <c r="D242" s="48">
        <v>20412.0</v>
      </c>
      <c r="E242" s="49" t="s">
        <v>739</v>
      </c>
      <c r="F242" s="49" t="s">
        <v>69</v>
      </c>
      <c r="G242" s="46">
        <v>1997.0</v>
      </c>
      <c r="H242" s="50" t="s">
        <v>49</v>
      </c>
      <c r="I242" s="47" t="s">
        <v>740</v>
      </c>
      <c r="J242" s="51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52">
        <v>233.0</v>
      </c>
      <c r="C243" s="49" t="s">
        <v>741</v>
      </c>
      <c r="D243" s="53">
        <v>20371.0</v>
      </c>
      <c r="E243" s="49" t="s">
        <v>56</v>
      </c>
      <c r="F243" s="49" t="s">
        <v>57</v>
      </c>
      <c r="G243" s="52">
        <v>2021.0</v>
      </c>
      <c r="H243" s="54" t="s">
        <v>579</v>
      </c>
      <c r="I243" s="47" t="s">
        <v>742</v>
      </c>
      <c r="J243" s="51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46">
        <v>234.0</v>
      </c>
      <c r="C244" s="49" t="s">
        <v>743</v>
      </c>
      <c r="D244" s="48">
        <v>20311.0</v>
      </c>
      <c r="E244" s="49" t="s">
        <v>716</v>
      </c>
      <c r="F244" s="49" t="s">
        <v>84</v>
      </c>
      <c r="G244" s="46">
        <v>1928.0</v>
      </c>
      <c r="H244" s="50" t="s">
        <v>377</v>
      </c>
      <c r="I244" s="55"/>
      <c r="J244" s="51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52">
        <v>235.0</v>
      </c>
      <c r="C245" s="49" t="s">
        <v>744</v>
      </c>
      <c r="D245" s="53">
        <v>20213.0</v>
      </c>
      <c r="E245" s="49" t="s">
        <v>745</v>
      </c>
      <c r="F245" s="49" t="s">
        <v>243</v>
      </c>
      <c r="G245" s="52">
        <v>2008.0</v>
      </c>
      <c r="H245" s="54" t="s">
        <v>579</v>
      </c>
      <c r="I245" s="47" t="s">
        <v>746</v>
      </c>
      <c r="J245" s="51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46">
        <v>236.0</v>
      </c>
      <c r="C246" s="49" t="s">
        <v>747</v>
      </c>
      <c r="D246" s="48">
        <v>20000.0</v>
      </c>
      <c r="E246" s="49" t="s">
        <v>748</v>
      </c>
      <c r="F246" s="49" t="s">
        <v>749</v>
      </c>
      <c r="G246" s="46">
        <v>1925.0</v>
      </c>
      <c r="H246" s="50" t="s">
        <v>49</v>
      </c>
      <c r="I246" s="47" t="s">
        <v>750</v>
      </c>
      <c r="J246" s="51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46">
        <v>237.0</v>
      </c>
      <c r="C247" s="49" t="s">
        <v>751</v>
      </c>
      <c r="D247" s="48">
        <v>20000.0</v>
      </c>
      <c r="E247" s="49" t="s">
        <v>752</v>
      </c>
      <c r="F247" s="49" t="s">
        <v>61</v>
      </c>
      <c r="G247" s="46">
        <v>1959.0</v>
      </c>
      <c r="H247" s="50" t="s">
        <v>49</v>
      </c>
      <c r="I247" s="47" t="s">
        <v>753</v>
      </c>
      <c r="J247" s="51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46">
        <v>238.0</v>
      </c>
      <c r="C248" s="49" t="s">
        <v>754</v>
      </c>
      <c r="D248" s="48">
        <v>20000.0</v>
      </c>
      <c r="E248" s="49" t="s">
        <v>678</v>
      </c>
      <c r="F248" s="49" t="s">
        <v>286</v>
      </c>
      <c r="G248" s="46">
        <v>1969.0</v>
      </c>
      <c r="H248" s="50" t="s">
        <v>49</v>
      </c>
      <c r="I248" s="47" t="s">
        <v>755</v>
      </c>
      <c r="J248" s="51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46">
        <v>239.0</v>
      </c>
      <c r="C249" s="49" t="s">
        <v>756</v>
      </c>
      <c r="D249" s="48">
        <v>20000.0</v>
      </c>
      <c r="E249" s="49" t="s">
        <v>757</v>
      </c>
      <c r="F249" s="49" t="s">
        <v>91</v>
      </c>
      <c r="G249" s="46">
        <v>1969.0</v>
      </c>
      <c r="H249" s="50" t="s">
        <v>606</v>
      </c>
      <c r="I249" s="47" t="s">
        <v>758</v>
      </c>
      <c r="J249" s="51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46">
        <v>240.0</v>
      </c>
      <c r="C250" s="49" t="s">
        <v>320</v>
      </c>
      <c r="D250" s="48">
        <v>20000.0</v>
      </c>
      <c r="E250" s="49" t="s">
        <v>759</v>
      </c>
      <c r="F250" s="49" t="s">
        <v>760</v>
      </c>
      <c r="G250" s="46">
        <v>1969.0</v>
      </c>
      <c r="H250" s="50" t="s">
        <v>606</v>
      </c>
      <c r="I250" s="50" t="s">
        <v>711</v>
      </c>
      <c r="J250" s="51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46">
        <v>241.0</v>
      </c>
      <c r="C251" s="49" t="s">
        <v>761</v>
      </c>
      <c r="D251" s="48">
        <v>20000.0</v>
      </c>
      <c r="E251" s="49" t="s">
        <v>497</v>
      </c>
      <c r="F251" s="49" t="s">
        <v>91</v>
      </c>
      <c r="G251" s="46">
        <v>1995.0</v>
      </c>
      <c r="H251" s="50" t="s">
        <v>49</v>
      </c>
      <c r="I251" s="47" t="s">
        <v>762</v>
      </c>
      <c r="J251" s="51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52">
        <v>242.0</v>
      </c>
      <c r="C252" s="49" t="s">
        <v>763</v>
      </c>
      <c r="D252" s="53">
        <v>20000.0</v>
      </c>
      <c r="E252" s="49" t="s">
        <v>764</v>
      </c>
      <c r="F252" s="49" t="s">
        <v>262</v>
      </c>
      <c r="G252" s="52">
        <v>2006.0</v>
      </c>
      <c r="H252" s="54" t="s">
        <v>579</v>
      </c>
      <c r="I252" s="47" t="s">
        <v>765</v>
      </c>
      <c r="J252" s="51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52">
        <v>243.0</v>
      </c>
      <c r="C253" s="49" t="s">
        <v>766</v>
      </c>
      <c r="D253" s="53">
        <v>20000.0</v>
      </c>
      <c r="E253" s="49" t="s">
        <v>443</v>
      </c>
      <c r="F253" s="49" t="s">
        <v>444</v>
      </c>
      <c r="G253" s="52">
        <v>2018.0</v>
      </c>
      <c r="H253" s="54" t="s">
        <v>606</v>
      </c>
      <c r="I253" s="47" t="s">
        <v>767</v>
      </c>
      <c r="J253" s="51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46">
        <v>244.0</v>
      </c>
      <c r="C254" s="49" t="s">
        <v>768</v>
      </c>
      <c r="D254" s="48">
        <v>19968.0</v>
      </c>
      <c r="E254" s="49" t="s">
        <v>56</v>
      </c>
      <c r="F254" s="49" t="s">
        <v>57</v>
      </c>
      <c r="G254" s="46">
        <v>1999.0</v>
      </c>
      <c r="H254" s="50" t="s">
        <v>579</v>
      </c>
      <c r="I254" s="55"/>
      <c r="J254" s="51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46">
        <v>245.0</v>
      </c>
      <c r="C255" s="49" t="s">
        <v>769</v>
      </c>
      <c r="D255" s="48">
        <v>19633.0</v>
      </c>
      <c r="E255" s="49" t="s">
        <v>120</v>
      </c>
      <c r="F255" s="49" t="s">
        <v>91</v>
      </c>
      <c r="G255" s="46">
        <v>1957.0</v>
      </c>
      <c r="H255" s="50" t="s">
        <v>49</v>
      </c>
      <c r="I255" s="47" t="s">
        <v>770</v>
      </c>
      <c r="J255" s="51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46">
        <v>246.0</v>
      </c>
      <c r="C256" s="49" t="s">
        <v>771</v>
      </c>
      <c r="D256" s="48">
        <v>19600.0</v>
      </c>
      <c r="E256" s="49" t="s">
        <v>772</v>
      </c>
      <c r="F256" s="49" t="s">
        <v>65</v>
      </c>
      <c r="G256" s="46">
        <v>1983.0</v>
      </c>
      <c r="H256" s="50" t="s">
        <v>49</v>
      </c>
      <c r="I256" s="47" t="s">
        <v>773</v>
      </c>
      <c r="J256" s="51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46">
        <v>247.0</v>
      </c>
      <c r="C257" s="49" t="s">
        <v>104</v>
      </c>
      <c r="D257" s="48">
        <v>19468.0</v>
      </c>
      <c r="E257" s="49" t="s">
        <v>774</v>
      </c>
      <c r="F257" s="49" t="s">
        <v>84</v>
      </c>
      <c r="G257" s="46">
        <v>1955.0</v>
      </c>
      <c r="H257" s="50" t="s">
        <v>606</v>
      </c>
      <c r="I257" s="47" t="s">
        <v>775</v>
      </c>
      <c r="J257" s="51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46">
        <v>248.0</v>
      </c>
      <c r="C258" s="49" t="s">
        <v>776</v>
      </c>
      <c r="D258" s="48">
        <v>19400.0</v>
      </c>
      <c r="E258" s="49" t="s">
        <v>777</v>
      </c>
      <c r="F258" s="49" t="s">
        <v>61</v>
      </c>
      <c r="G258" s="46">
        <v>1977.0</v>
      </c>
      <c r="H258" s="50" t="s">
        <v>49</v>
      </c>
      <c r="I258" s="50" t="s">
        <v>711</v>
      </c>
      <c r="J258" s="51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52">
        <v>249.0</v>
      </c>
      <c r="C259" s="49" t="s">
        <v>778</v>
      </c>
      <c r="D259" s="53">
        <v>19400.0</v>
      </c>
      <c r="E259" s="49" t="s">
        <v>779</v>
      </c>
      <c r="F259" s="49" t="s">
        <v>214</v>
      </c>
      <c r="G259" s="52">
        <v>2019.0</v>
      </c>
      <c r="H259" s="54" t="s">
        <v>579</v>
      </c>
      <c r="I259" s="47" t="s">
        <v>780</v>
      </c>
      <c r="J259" s="51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46">
        <v>250.0</v>
      </c>
      <c r="C260" s="49" t="s">
        <v>781</v>
      </c>
      <c r="D260" s="48">
        <v>19340.0</v>
      </c>
      <c r="E260" s="49" t="s">
        <v>782</v>
      </c>
      <c r="F260" s="49" t="s">
        <v>783</v>
      </c>
      <c r="G260" s="46">
        <v>2016.0</v>
      </c>
      <c r="H260" s="50" t="s">
        <v>49</v>
      </c>
      <c r="I260" s="47" t="s">
        <v>784</v>
      </c>
      <c r="J260" s="51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46">
        <v>251.0</v>
      </c>
      <c r="C261" s="49" t="s">
        <v>785</v>
      </c>
      <c r="D261" s="48">
        <v>18700.0</v>
      </c>
      <c r="E261" s="49" t="s">
        <v>786</v>
      </c>
      <c r="F261" s="49" t="s">
        <v>787</v>
      </c>
      <c r="G261" s="46">
        <v>1992.0</v>
      </c>
      <c r="H261" s="50" t="s">
        <v>377</v>
      </c>
      <c r="I261" s="47" t="s">
        <v>788</v>
      </c>
      <c r="J261" s="51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52">
        <v>252.0</v>
      </c>
      <c r="C262" s="49" t="s">
        <v>789</v>
      </c>
      <c r="D262" s="53">
        <v>18500.0</v>
      </c>
      <c r="E262" s="49" t="s">
        <v>790</v>
      </c>
      <c r="F262" s="49" t="s">
        <v>53</v>
      </c>
      <c r="G262" s="52">
        <v>2010.0</v>
      </c>
      <c r="H262" s="54" t="s">
        <v>579</v>
      </c>
      <c r="I262" s="47" t="s">
        <v>791</v>
      </c>
      <c r="J262" s="51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46">
        <v>253.0</v>
      </c>
      <c r="C263" s="49" t="s">
        <v>792</v>
      </c>
      <c r="D263" s="48">
        <v>18500.0</v>
      </c>
      <c r="E263" s="49" t="s">
        <v>793</v>
      </c>
      <c r="F263" s="49" t="s">
        <v>304</v>
      </c>
      <c r="G263" s="46">
        <v>1979.0</v>
      </c>
      <c r="H263" s="50" t="s">
        <v>794</v>
      </c>
      <c r="I263" s="47" t="s">
        <v>795</v>
      </c>
      <c r="J263" s="51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52">
        <v>254.0</v>
      </c>
      <c r="C264" s="49" t="s">
        <v>796</v>
      </c>
      <c r="D264" s="53">
        <v>18467.0</v>
      </c>
      <c r="E264" s="49" t="s">
        <v>134</v>
      </c>
      <c r="F264" s="49" t="s">
        <v>369</v>
      </c>
      <c r="G264" s="52">
        <v>2011.0</v>
      </c>
      <c r="H264" s="54" t="s">
        <v>579</v>
      </c>
      <c r="I264" s="47" t="s">
        <v>797</v>
      </c>
      <c r="J264" s="51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46">
        <v>255.0</v>
      </c>
      <c r="C265" s="49" t="s">
        <v>798</v>
      </c>
      <c r="D265" s="48">
        <v>18264.0</v>
      </c>
      <c r="E265" s="49" t="s">
        <v>799</v>
      </c>
      <c r="F265" s="49" t="s">
        <v>800</v>
      </c>
      <c r="G265" s="46">
        <v>1962.0</v>
      </c>
      <c r="H265" s="50" t="s">
        <v>313</v>
      </c>
      <c r="I265" s="49" t="s">
        <v>801</v>
      </c>
      <c r="J265" s="51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52">
        <v>256.0</v>
      </c>
      <c r="C266" s="49" t="s">
        <v>802</v>
      </c>
      <c r="D266" s="53">
        <v>18061.0</v>
      </c>
      <c r="E266" s="49" t="s">
        <v>803</v>
      </c>
      <c r="F266" s="49" t="s">
        <v>143</v>
      </c>
      <c r="G266" s="52">
        <v>2007.0</v>
      </c>
      <c r="H266" s="54" t="s">
        <v>579</v>
      </c>
      <c r="I266" s="47" t="s">
        <v>804</v>
      </c>
      <c r="J266" s="51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52">
        <v>257.0</v>
      </c>
      <c r="C267" s="49" t="s">
        <v>805</v>
      </c>
      <c r="D267" s="53">
        <v>18000.0</v>
      </c>
      <c r="E267" s="49" t="s">
        <v>705</v>
      </c>
      <c r="F267" s="49" t="s">
        <v>84</v>
      </c>
      <c r="G267" s="52">
        <v>2015.0</v>
      </c>
      <c r="H267" s="54" t="s">
        <v>579</v>
      </c>
      <c r="I267" s="47" t="s">
        <v>806</v>
      </c>
      <c r="J267" s="51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46">
        <v>258.0</v>
      </c>
      <c r="C268" s="49" t="s">
        <v>807</v>
      </c>
      <c r="D268" s="48">
        <v>17931.0</v>
      </c>
      <c r="E268" s="49" t="s">
        <v>808</v>
      </c>
      <c r="F268" s="49" t="s">
        <v>61</v>
      </c>
      <c r="G268" s="46">
        <v>1982.0</v>
      </c>
      <c r="H268" s="50" t="s">
        <v>49</v>
      </c>
      <c r="I268" s="50" t="s">
        <v>711</v>
      </c>
      <c r="J268" s="51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46">
        <v>259.0</v>
      </c>
      <c r="C269" s="49" t="s">
        <v>809</v>
      </c>
      <c r="D269" s="48">
        <v>17610.0</v>
      </c>
      <c r="E269" s="49" t="s">
        <v>810</v>
      </c>
      <c r="F269" s="49" t="s">
        <v>65</v>
      </c>
      <c r="G269" s="46">
        <v>1965.0</v>
      </c>
      <c r="H269" s="50" t="s">
        <v>49</v>
      </c>
      <c r="I269" s="47" t="s">
        <v>811</v>
      </c>
      <c r="J269" s="51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46">
        <v>260.0</v>
      </c>
      <c r="C270" s="49" t="s">
        <v>812</v>
      </c>
      <c r="D270" s="48">
        <v>17500.0</v>
      </c>
      <c r="E270" s="49" t="s">
        <v>813</v>
      </c>
      <c r="F270" s="49" t="s">
        <v>135</v>
      </c>
      <c r="G270" s="46">
        <v>1941.0</v>
      </c>
      <c r="H270" s="50" t="s">
        <v>49</v>
      </c>
      <c r="I270" s="47" t="s">
        <v>814</v>
      </c>
      <c r="J270" s="51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46">
        <v>261.0</v>
      </c>
      <c r="C271" s="49" t="s">
        <v>815</v>
      </c>
      <c r="D271" s="48">
        <v>17312.0</v>
      </c>
      <c r="E271" s="49" t="s">
        <v>816</v>
      </c>
      <c r="F271" s="49" t="s">
        <v>243</v>
      </c>
      <c r="G271" s="46">
        <v>1966.0</v>
      </c>
      <c r="H271" s="50" t="s">
        <v>49</v>
      </c>
      <c r="I271" s="47" t="s">
        <v>817</v>
      </c>
      <c r="J271" s="51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46">
        <v>262.0</v>
      </c>
      <c r="C272" s="49" t="s">
        <v>818</v>
      </c>
      <c r="D272" s="48">
        <v>17000.0</v>
      </c>
      <c r="E272" s="49" t="s">
        <v>163</v>
      </c>
      <c r="F272" s="49" t="s">
        <v>163</v>
      </c>
      <c r="G272" s="46">
        <v>1923.0</v>
      </c>
      <c r="H272" s="50" t="s">
        <v>377</v>
      </c>
      <c r="I272" s="47" t="s">
        <v>819</v>
      </c>
      <c r="J272" s="51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46">
        <v>263.0</v>
      </c>
      <c r="C273" s="49" t="s">
        <v>820</v>
      </c>
      <c r="D273" s="48">
        <v>17000.0</v>
      </c>
      <c r="E273" s="49" t="s">
        <v>821</v>
      </c>
      <c r="F273" s="49" t="s">
        <v>218</v>
      </c>
      <c r="G273" s="46">
        <v>1965.0</v>
      </c>
      <c r="H273" s="50" t="s">
        <v>377</v>
      </c>
      <c r="I273" s="47" t="s">
        <v>822</v>
      </c>
      <c r="J273" s="51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46">
        <v>264.0</v>
      </c>
      <c r="C274" s="49" t="s">
        <v>823</v>
      </c>
      <c r="D274" s="48">
        <v>17000.0</v>
      </c>
      <c r="E274" s="49" t="s">
        <v>824</v>
      </c>
      <c r="F274" s="49" t="s">
        <v>84</v>
      </c>
      <c r="G274" s="46">
        <v>1966.0</v>
      </c>
      <c r="H274" s="50" t="s">
        <v>579</v>
      </c>
      <c r="I274" s="47" t="s">
        <v>825</v>
      </c>
      <c r="J274" s="51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46">
        <v>265.0</v>
      </c>
      <c r="C275" s="49" t="s">
        <v>826</v>
      </c>
      <c r="D275" s="48">
        <v>16909.0</v>
      </c>
      <c r="E275" s="49" t="s">
        <v>372</v>
      </c>
      <c r="F275" s="49" t="s">
        <v>760</v>
      </c>
      <c r="G275" s="46">
        <v>2015.0</v>
      </c>
      <c r="H275" s="50" t="s">
        <v>377</v>
      </c>
      <c r="I275" s="47" t="s">
        <v>827</v>
      </c>
      <c r="J275" s="51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46">
        <v>266.0</v>
      </c>
      <c r="C276" s="49" t="s">
        <v>828</v>
      </c>
      <c r="D276" s="48">
        <v>16800.0</v>
      </c>
      <c r="E276" s="49" t="s">
        <v>829</v>
      </c>
      <c r="F276" s="49" t="s">
        <v>286</v>
      </c>
      <c r="G276" s="46">
        <v>1973.0</v>
      </c>
      <c r="H276" s="50" t="s">
        <v>49</v>
      </c>
      <c r="I276" s="47" t="s">
        <v>830</v>
      </c>
      <c r="J276" s="51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46">
        <v>267.0</v>
      </c>
      <c r="C277" s="49" t="s">
        <v>831</v>
      </c>
      <c r="D277" s="48">
        <v>16600.0</v>
      </c>
      <c r="E277" s="49" t="s">
        <v>832</v>
      </c>
      <c r="F277" s="49" t="s">
        <v>163</v>
      </c>
      <c r="G277" s="46">
        <v>1988.0</v>
      </c>
      <c r="H277" s="50" t="s">
        <v>313</v>
      </c>
      <c r="I277" s="47" t="s">
        <v>833</v>
      </c>
      <c r="J277" s="51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46">
        <v>268.0</v>
      </c>
      <c r="C278" s="49" t="s">
        <v>834</v>
      </c>
      <c r="D278" s="48">
        <v>16600.0</v>
      </c>
      <c r="E278" s="49" t="s">
        <v>835</v>
      </c>
      <c r="F278" s="49" t="s">
        <v>57</v>
      </c>
      <c r="G278" s="46">
        <v>1939.0</v>
      </c>
      <c r="H278" s="50" t="s">
        <v>49</v>
      </c>
      <c r="I278" s="47" t="s">
        <v>836</v>
      </c>
      <c r="J278" s="51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46">
        <v>269.0</v>
      </c>
      <c r="C279" s="49" t="s">
        <v>837</v>
      </c>
      <c r="D279" s="48">
        <v>16500.0</v>
      </c>
      <c r="E279" s="49" t="s">
        <v>838</v>
      </c>
      <c r="F279" s="49" t="s">
        <v>69</v>
      </c>
      <c r="G279" s="46">
        <v>1966.0</v>
      </c>
      <c r="H279" s="50" t="s">
        <v>49</v>
      </c>
      <c r="I279" s="47" t="s">
        <v>839</v>
      </c>
      <c r="J279" s="51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46">
        <v>270.0</v>
      </c>
      <c r="C280" s="49" t="s">
        <v>840</v>
      </c>
      <c r="D280" s="48">
        <v>16368.0</v>
      </c>
      <c r="E280" s="49" t="s">
        <v>841</v>
      </c>
      <c r="F280" s="49" t="s">
        <v>262</v>
      </c>
      <c r="G280" s="46">
        <v>1950.0</v>
      </c>
      <c r="H280" s="50" t="s">
        <v>49</v>
      </c>
      <c r="I280" s="47" t="s">
        <v>842</v>
      </c>
      <c r="J280" s="51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46">
        <v>271.0</v>
      </c>
      <c r="C281" s="49" t="s">
        <v>843</v>
      </c>
      <c r="D281" s="48">
        <v>16324.0</v>
      </c>
      <c r="E281" s="49" t="s">
        <v>844</v>
      </c>
      <c r="F281" s="49" t="s">
        <v>184</v>
      </c>
      <c r="G281" s="46">
        <v>1976.0</v>
      </c>
      <c r="H281" s="50" t="s">
        <v>49</v>
      </c>
      <c r="I281" s="47" t="s">
        <v>845</v>
      </c>
      <c r="J281" s="51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46">
        <v>272.0</v>
      </c>
      <c r="C282" s="49" t="s">
        <v>846</v>
      </c>
      <c r="D282" s="48">
        <v>16100.0</v>
      </c>
      <c r="E282" s="49" t="s">
        <v>847</v>
      </c>
      <c r="F282" s="49" t="s">
        <v>84</v>
      </c>
      <c r="G282" s="46">
        <v>2014.0</v>
      </c>
      <c r="H282" s="50" t="s">
        <v>669</v>
      </c>
      <c r="I282" s="55"/>
      <c r="J282" s="51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46">
        <v>273.0</v>
      </c>
      <c r="C283" s="49" t="s">
        <v>848</v>
      </c>
      <c r="D283" s="48">
        <v>16000.0</v>
      </c>
      <c r="E283" s="49" t="s">
        <v>849</v>
      </c>
      <c r="F283" s="49" t="s">
        <v>61</v>
      </c>
      <c r="G283" s="46">
        <v>1964.0</v>
      </c>
      <c r="H283" s="50" t="s">
        <v>49</v>
      </c>
      <c r="I283" s="47" t="s">
        <v>850</v>
      </c>
      <c r="J283" s="51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46">
        <v>274.0</v>
      </c>
      <c r="C284" s="49" t="s">
        <v>851</v>
      </c>
      <c r="D284" s="48">
        <v>16000.0</v>
      </c>
      <c r="E284" s="49" t="s">
        <v>852</v>
      </c>
      <c r="F284" s="49" t="s">
        <v>61</v>
      </c>
      <c r="G284" s="46">
        <v>1969.0</v>
      </c>
      <c r="H284" s="50" t="s">
        <v>169</v>
      </c>
      <c r="I284" s="55"/>
      <c r="J284" s="51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46">
        <v>275.0</v>
      </c>
      <c r="C285" s="49" t="s">
        <v>853</v>
      </c>
      <c r="D285" s="48">
        <v>16000.0</v>
      </c>
      <c r="E285" s="49" t="s">
        <v>854</v>
      </c>
      <c r="F285" s="49" t="s">
        <v>504</v>
      </c>
      <c r="G285" s="46">
        <v>1971.0</v>
      </c>
      <c r="H285" s="50" t="s">
        <v>49</v>
      </c>
      <c r="I285" s="47" t="s">
        <v>855</v>
      </c>
      <c r="J285" s="51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46">
        <v>276.0</v>
      </c>
      <c r="C286" s="49" t="s">
        <v>856</v>
      </c>
      <c r="D286" s="48">
        <v>16000.0</v>
      </c>
      <c r="E286" s="49" t="s">
        <v>347</v>
      </c>
      <c r="F286" s="49" t="s">
        <v>106</v>
      </c>
      <c r="G286" s="46">
        <v>1981.0</v>
      </c>
      <c r="H286" s="50" t="s">
        <v>169</v>
      </c>
      <c r="I286" s="47" t="s">
        <v>857</v>
      </c>
      <c r="J286" s="51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46">
        <v>277.0</v>
      </c>
      <c r="C287" s="49" t="s">
        <v>858</v>
      </c>
      <c r="D287" s="48">
        <v>16000.0</v>
      </c>
      <c r="E287" s="49" t="s">
        <v>859</v>
      </c>
      <c r="F287" s="49" t="s">
        <v>53</v>
      </c>
      <c r="G287" s="46">
        <v>1988.0</v>
      </c>
      <c r="H287" s="50" t="s">
        <v>49</v>
      </c>
      <c r="I287" s="47" t="s">
        <v>860</v>
      </c>
      <c r="J287" s="51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46">
        <v>278.0</v>
      </c>
      <c r="C288" s="49" t="s">
        <v>861</v>
      </c>
      <c r="D288" s="48">
        <v>16000.0</v>
      </c>
      <c r="E288" s="49" t="s">
        <v>862</v>
      </c>
      <c r="F288" s="49" t="s">
        <v>139</v>
      </c>
      <c r="G288" s="46">
        <v>2000.0</v>
      </c>
      <c r="H288" s="50" t="s">
        <v>49</v>
      </c>
      <c r="I288" s="47" t="s">
        <v>863</v>
      </c>
      <c r="J288" s="51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46">
        <v>279.0</v>
      </c>
      <c r="C289" s="49" t="s">
        <v>864</v>
      </c>
      <c r="D289" s="48">
        <v>15971.0</v>
      </c>
      <c r="E289" s="49" t="s">
        <v>865</v>
      </c>
      <c r="F289" s="49" t="s">
        <v>65</v>
      </c>
      <c r="G289" s="46">
        <v>1975.0</v>
      </c>
      <c r="H289" s="50" t="s">
        <v>49</v>
      </c>
      <c r="I289" s="47" t="s">
        <v>866</v>
      </c>
      <c r="J289" s="51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46">
        <v>280.0</v>
      </c>
      <c r="C290" s="49" t="s">
        <v>867</v>
      </c>
      <c r="D290" s="48">
        <v>15641.0</v>
      </c>
      <c r="E290" s="49" t="s">
        <v>868</v>
      </c>
      <c r="F290" s="49" t="s">
        <v>53</v>
      </c>
      <c r="G290" s="46">
        <v>1939.0</v>
      </c>
      <c r="H290" s="50" t="s">
        <v>169</v>
      </c>
      <c r="I290" s="55"/>
      <c r="J290" s="51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46">
        <v>281.0</v>
      </c>
      <c r="C291" s="49" t="s">
        <v>869</v>
      </c>
      <c r="D291" s="48">
        <v>15600.0</v>
      </c>
      <c r="E291" s="49" t="s">
        <v>870</v>
      </c>
      <c r="F291" s="49" t="s">
        <v>80</v>
      </c>
      <c r="G291" s="46">
        <v>1968.0</v>
      </c>
      <c r="H291" s="50" t="s">
        <v>49</v>
      </c>
      <c r="I291" s="55"/>
      <c r="J291" s="51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46">
        <v>282.0</v>
      </c>
      <c r="C292" s="49" t="s">
        <v>871</v>
      </c>
      <c r="D292" s="48">
        <v>15314.0</v>
      </c>
      <c r="E292" s="49" t="s">
        <v>152</v>
      </c>
      <c r="F292" s="49" t="s">
        <v>153</v>
      </c>
      <c r="G292" s="46">
        <v>2013.0</v>
      </c>
      <c r="H292" s="50" t="s">
        <v>49</v>
      </c>
      <c r="I292" s="47" t="s">
        <v>872</v>
      </c>
      <c r="J292" s="51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46">
        <v>283.0</v>
      </c>
      <c r="C293" s="49" t="s">
        <v>873</v>
      </c>
      <c r="D293" s="48">
        <v>15000.0</v>
      </c>
      <c r="E293" s="49" t="s">
        <v>874</v>
      </c>
      <c r="F293" s="49" t="s">
        <v>180</v>
      </c>
      <c r="G293" s="46">
        <v>1910.0</v>
      </c>
      <c r="H293" s="50" t="s">
        <v>49</v>
      </c>
      <c r="I293" s="55"/>
      <c r="J293" s="51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46">
        <v>284.0</v>
      </c>
      <c r="C294" s="49" t="s">
        <v>875</v>
      </c>
      <c r="D294" s="56">
        <v>15000.0</v>
      </c>
      <c r="E294" s="49" t="s">
        <v>321</v>
      </c>
      <c r="F294" s="49" t="s">
        <v>139</v>
      </c>
      <c r="G294" s="46">
        <v>1936.0</v>
      </c>
      <c r="H294" s="50" t="s">
        <v>49</v>
      </c>
      <c r="I294" s="55"/>
      <c r="J294" s="51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46">
        <v>285.0</v>
      </c>
      <c r="C295" s="49" t="s">
        <v>876</v>
      </c>
      <c r="D295" s="48">
        <v>15000.0</v>
      </c>
      <c r="E295" s="49" t="s">
        <v>452</v>
      </c>
      <c r="F295" s="49" t="s">
        <v>173</v>
      </c>
      <c r="G295" s="46">
        <v>1937.0</v>
      </c>
      <c r="H295" s="50" t="s">
        <v>49</v>
      </c>
      <c r="I295" s="55"/>
      <c r="J295" s="51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46">
        <v>286.0</v>
      </c>
      <c r="C296" s="49" t="s">
        <v>877</v>
      </c>
      <c r="D296" s="48">
        <v>15000.0</v>
      </c>
      <c r="E296" s="49" t="s">
        <v>878</v>
      </c>
      <c r="F296" s="49" t="s">
        <v>53</v>
      </c>
      <c r="G296" s="46">
        <v>1948.0</v>
      </c>
      <c r="H296" s="50" t="s">
        <v>169</v>
      </c>
      <c r="I296" s="55"/>
      <c r="J296" s="51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46">
        <v>287.0</v>
      </c>
      <c r="C297" s="49" t="s">
        <v>879</v>
      </c>
      <c r="D297" s="48">
        <v>15000.0</v>
      </c>
      <c r="E297" s="49" t="s">
        <v>880</v>
      </c>
      <c r="F297" s="49" t="s">
        <v>61</v>
      </c>
      <c r="G297" s="46">
        <v>1950.0</v>
      </c>
      <c r="H297" s="50" t="s">
        <v>49</v>
      </c>
      <c r="I297" s="55"/>
      <c r="J297" s="51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46">
        <v>288.0</v>
      </c>
      <c r="C298" s="49" t="s">
        <v>881</v>
      </c>
      <c r="D298" s="48">
        <v>15000.0</v>
      </c>
      <c r="E298" s="49" t="s">
        <v>882</v>
      </c>
      <c r="F298" s="49" t="s">
        <v>262</v>
      </c>
      <c r="G298" s="46">
        <v>2010.0</v>
      </c>
      <c r="H298" s="50" t="s">
        <v>49</v>
      </c>
      <c r="I298" s="47" t="s">
        <v>883</v>
      </c>
      <c r="J298" s="51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46">
        <v>289.0</v>
      </c>
      <c r="C299" s="49" t="s">
        <v>884</v>
      </c>
      <c r="D299" s="48">
        <v>15000.0</v>
      </c>
      <c r="E299" s="49" t="s">
        <v>885</v>
      </c>
      <c r="F299" s="49" t="s">
        <v>247</v>
      </c>
      <c r="G299" s="46">
        <v>2014.0</v>
      </c>
      <c r="H299" s="50" t="s">
        <v>313</v>
      </c>
      <c r="I299" s="47" t="s">
        <v>886</v>
      </c>
      <c r="J299" s="51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46">
        <v>290.0</v>
      </c>
      <c r="C300" s="49" t="s">
        <v>887</v>
      </c>
      <c r="D300" s="48">
        <v>15000.0</v>
      </c>
      <c r="E300" s="49" t="s">
        <v>888</v>
      </c>
      <c r="F300" s="49" t="s">
        <v>61</v>
      </c>
      <c r="G300" s="46">
        <v>2016.0</v>
      </c>
      <c r="H300" s="50" t="s">
        <v>49</v>
      </c>
      <c r="I300" s="47" t="s">
        <v>889</v>
      </c>
      <c r="J300" s="51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46">
        <v>291.0</v>
      </c>
      <c r="C301" s="49" t="s">
        <v>890</v>
      </c>
      <c r="D301" s="48">
        <v>14575.0</v>
      </c>
      <c r="E301" s="49" t="s">
        <v>891</v>
      </c>
      <c r="F301" s="49" t="s">
        <v>61</v>
      </c>
      <c r="G301" s="46">
        <v>1973.0</v>
      </c>
      <c r="H301" s="50" t="s">
        <v>49</v>
      </c>
      <c r="I301" s="47" t="s">
        <v>892</v>
      </c>
      <c r="J301" s="51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46">
        <v>292.0</v>
      </c>
      <c r="C302" s="49" t="s">
        <v>893</v>
      </c>
      <c r="D302" s="48">
        <v>14557.0</v>
      </c>
      <c r="E302" s="49" t="s">
        <v>894</v>
      </c>
      <c r="F302" s="49" t="s">
        <v>184</v>
      </c>
      <c r="G302" s="46">
        <v>1925.0</v>
      </c>
      <c r="H302" s="50" t="s">
        <v>169</v>
      </c>
      <c r="I302" s="47" t="s">
        <v>895</v>
      </c>
      <c r="J302" s="51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46">
        <v>293.0</v>
      </c>
      <c r="C303" s="49" t="s">
        <v>896</v>
      </c>
      <c r="D303" s="48">
        <v>14511.0</v>
      </c>
      <c r="E303" s="49" t="s">
        <v>344</v>
      </c>
      <c r="F303" s="49" t="s">
        <v>243</v>
      </c>
      <c r="G303" s="46">
        <v>1994.0</v>
      </c>
      <c r="H303" s="50" t="s">
        <v>313</v>
      </c>
      <c r="I303" s="47" t="s">
        <v>897</v>
      </c>
      <c r="J303" s="51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46">
        <v>294.0</v>
      </c>
      <c r="C304" s="49" t="s">
        <v>898</v>
      </c>
      <c r="D304" s="48">
        <v>14215.0</v>
      </c>
      <c r="E304" s="49" t="s">
        <v>899</v>
      </c>
      <c r="F304" s="49" t="s">
        <v>76</v>
      </c>
      <c r="G304" s="46">
        <v>1949.0</v>
      </c>
      <c r="H304" s="50" t="s">
        <v>49</v>
      </c>
      <c r="I304" s="47" t="s">
        <v>900</v>
      </c>
      <c r="J304" s="51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46">
        <v>295.0</v>
      </c>
      <c r="C305" s="49" t="s">
        <v>901</v>
      </c>
      <c r="D305" s="48">
        <v>14053.0</v>
      </c>
      <c r="E305" s="49" t="s">
        <v>163</v>
      </c>
      <c r="F305" s="49" t="s">
        <v>163</v>
      </c>
      <c r="G305" s="46">
        <v>2018.0</v>
      </c>
      <c r="H305" s="50" t="s">
        <v>669</v>
      </c>
      <c r="I305" s="55"/>
      <c r="J305" s="51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46">
        <v>296.0</v>
      </c>
      <c r="C306" s="49" t="s">
        <v>902</v>
      </c>
      <c r="D306" s="48">
        <v>14000.0</v>
      </c>
      <c r="E306" s="49" t="s">
        <v>719</v>
      </c>
      <c r="F306" s="49" t="s">
        <v>61</v>
      </c>
      <c r="G306" s="46">
        <v>1986.0</v>
      </c>
      <c r="H306" s="50" t="s">
        <v>49</v>
      </c>
      <c r="I306" s="47" t="s">
        <v>903</v>
      </c>
      <c r="J306" s="51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46">
        <v>297.0</v>
      </c>
      <c r="C307" s="49" t="s">
        <v>904</v>
      </c>
      <c r="D307" s="48">
        <v>14000.0</v>
      </c>
      <c r="E307" s="49" t="s">
        <v>905</v>
      </c>
      <c r="F307" s="49" t="s">
        <v>153</v>
      </c>
      <c r="G307" s="46">
        <v>2001.0</v>
      </c>
      <c r="H307" s="50" t="s">
        <v>49</v>
      </c>
      <c r="I307" s="47" t="s">
        <v>906</v>
      </c>
      <c r="J307" s="51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46">
        <v>298.0</v>
      </c>
      <c r="C308" s="49" t="s">
        <v>907</v>
      </c>
      <c r="D308" s="48">
        <v>13768.0</v>
      </c>
      <c r="E308" s="49" t="s">
        <v>908</v>
      </c>
      <c r="F308" s="49" t="s">
        <v>163</v>
      </c>
      <c r="G308" s="46">
        <v>2006.0</v>
      </c>
      <c r="H308" s="50" t="s">
        <v>579</v>
      </c>
      <c r="I308" s="47" t="s">
        <v>909</v>
      </c>
      <c r="J308" s="51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46">
        <v>299.0</v>
      </c>
      <c r="C309" s="49" t="s">
        <v>910</v>
      </c>
      <c r="D309" s="48">
        <v>13742.0</v>
      </c>
      <c r="E309" s="49" t="s">
        <v>911</v>
      </c>
      <c r="F309" s="49" t="s">
        <v>153</v>
      </c>
      <c r="G309" s="46">
        <v>1974.0</v>
      </c>
      <c r="H309" s="50" t="s">
        <v>49</v>
      </c>
      <c r="I309" s="47" t="s">
        <v>912</v>
      </c>
      <c r="J309" s="51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46">
        <v>300.0</v>
      </c>
      <c r="C310" s="49" t="s">
        <v>913</v>
      </c>
      <c r="D310" s="48">
        <v>13500.0</v>
      </c>
      <c r="E310" s="49" t="s">
        <v>914</v>
      </c>
      <c r="F310" s="49" t="s">
        <v>61</v>
      </c>
      <c r="G310" s="46">
        <v>1976.0</v>
      </c>
      <c r="H310" s="50" t="s">
        <v>169</v>
      </c>
      <c r="I310" s="55"/>
      <c r="J310" s="51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46">
        <v>301.0</v>
      </c>
      <c r="C311" s="49" t="s">
        <v>915</v>
      </c>
      <c r="D311" s="48">
        <v>13500.0</v>
      </c>
      <c r="E311" s="49" t="s">
        <v>908</v>
      </c>
      <c r="F311" s="49" t="s">
        <v>163</v>
      </c>
      <c r="G311" s="46">
        <v>1996.0</v>
      </c>
      <c r="H311" s="50" t="s">
        <v>313</v>
      </c>
      <c r="I311" s="47" t="s">
        <v>916</v>
      </c>
      <c r="J311" s="51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46">
        <v>302.0</v>
      </c>
      <c r="C312" s="49" t="s">
        <v>917</v>
      </c>
      <c r="D312" s="48">
        <v>13391.0</v>
      </c>
      <c r="E312" s="49" t="s">
        <v>918</v>
      </c>
      <c r="F312" s="49" t="s">
        <v>262</v>
      </c>
      <c r="G312" s="46">
        <v>1963.0</v>
      </c>
      <c r="H312" s="50" t="s">
        <v>49</v>
      </c>
      <c r="I312" s="47" t="s">
        <v>919</v>
      </c>
      <c r="J312" s="51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46">
        <v>303.0</v>
      </c>
      <c r="C313" s="49" t="s">
        <v>920</v>
      </c>
      <c r="D313" s="48">
        <v>13132.0</v>
      </c>
      <c r="E313" s="49" t="s">
        <v>921</v>
      </c>
      <c r="F313" s="49" t="s">
        <v>53</v>
      </c>
      <c r="G313" s="46">
        <v>1926.0</v>
      </c>
      <c r="H313" s="50" t="s">
        <v>49</v>
      </c>
      <c r="I313" s="47" t="s">
        <v>922</v>
      </c>
      <c r="J313" s="51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46">
        <v>304.0</v>
      </c>
      <c r="C314" s="49" t="s">
        <v>923</v>
      </c>
      <c r="D314" s="48">
        <v>13131.0</v>
      </c>
      <c r="E314" s="49" t="s">
        <v>292</v>
      </c>
      <c r="F314" s="49" t="s">
        <v>286</v>
      </c>
      <c r="G314" s="46">
        <v>2000.0</v>
      </c>
      <c r="H314" s="50" t="s">
        <v>313</v>
      </c>
      <c r="I314" s="47" t="s">
        <v>924</v>
      </c>
      <c r="J314" s="51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46">
        <v>305.0</v>
      </c>
      <c r="C315" s="49" t="s">
        <v>925</v>
      </c>
      <c r="D315" s="48">
        <v>13100.0</v>
      </c>
      <c r="E315" s="49" t="s">
        <v>926</v>
      </c>
      <c r="F315" s="49" t="s">
        <v>53</v>
      </c>
      <c r="G315" s="46">
        <v>1924.0</v>
      </c>
      <c r="H315" s="50" t="s">
        <v>49</v>
      </c>
      <c r="I315" s="47" t="s">
        <v>927</v>
      </c>
      <c r="J315" s="51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46">
        <v>306.0</v>
      </c>
      <c r="C316" s="49" t="s">
        <v>928</v>
      </c>
      <c r="D316" s="48">
        <v>13000.0</v>
      </c>
      <c r="E316" s="49" t="s">
        <v>929</v>
      </c>
      <c r="F316" s="49" t="s">
        <v>106</v>
      </c>
      <c r="G316" s="46">
        <v>1996.0</v>
      </c>
      <c r="H316" s="50" t="s">
        <v>49</v>
      </c>
      <c r="I316" s="47" t="s">
        <v>930</v>
      </c>
      <c r="J316" s="51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46">
        <v>307.0</v>
      </c>
      <c r="C317" s="49" t="s">
        <v>931</v>
      </c>
      <c r="D317" s="48">
        <v>13000.0</v>
      </c>
      <c r="E317" s="49" t="s">
        <v>380</v>
      </c>
      <c r="F317" s="49" t="s">
        <v>247</v>
      </c>
      <c r="G317" s="46">
        <v>2009.0</v>
      </c>
      <c r="H317" s="50" t="s">
        <v>313</v>
      </c>
      <c r="I317" s="47" t="s">
        <v>932</v>
      </c>
      <c r="J317" s="51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46">
        <v>308.0</v>
      </c>
      <c r="C318" s="49" t="s">
        <v>104</v>
      </c>
      <c r="D318" s="48">
        <v>12764.0</v>
      </c>
      <c r="E318" s="49" t="s">
        <v>933</v>
      </c>
      <c r="F318" s="49" t="s">
        <v>124</v>
      </c>
      <c r="G318" s="46">
        <v>1924.0</v>
      </c>
      <c r="H318" s="50" t="s">
        <v>169</v>
      </c>
      <c r="I318" s="47" t="s">
        <v>934</v>
      </c>
      <c r="J318" s="51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46">
        <v>309.0</v>
      </c>
      <c r="C319" s="49" t="s">
        <v>935</v>
      </c>
      <c r="D319" s="48">
        <v>12700.0</v>
      </c>
      <c r="E319" s="49" t="s">
        <v>83</v>
      </c>
      <c r="F319" s="49" t="s">
        <v>61</v>
      </c>
      <c r="G319" s="46">
        <v>1965.0</v>
      </c>
      <c r="H319" s="50" t="s">
        <v>169</v>
      </c>
      <c r="I319" s="55"/>
      <c r="J319" s="51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46">
        <v>310.0</v>
      </c>
      <c r="C320" s="49" t="s">
        <v>936</v>
      </c>
      <c r="D320" s="48">
        <v>12672.0</v>
      </c>
      <c r="E320" s="49" t="s">
        <v>937</v>
      </c>
      <c r="F320" s="49" t="s">
        <v>222</v>
      </c>
      <c r="G320" s="46">
        <v>1935.0</v>
      </c>
      <c r="H320" s="50" t="s">
        <v>49</v>
      </c>
      <c r="I320" s="47" t="s">
        <v>938</v>
      </c>
      <c r="J320" s="51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46">
        <v>311.0</v>
      </c>
      <c r="C321" s="49" t="s">
        <v>939</v>
      </c>
      <c r="D321" s="48">
        <v>12650.0</v>
      </c>
      <c r="E321" s="49" t="s">
        <v>324</v>
      </c>
      <c r="F321" s="49" t="s">
        <v>325</v>
      </c>
      <c r="G321" s="46">
        <v>1919.0</v>
      </c>
      <c r="H321" s="50" t="s">
        <v>940</v>
      </c>
      <c r="I321" s="47" t="s">
        <v>941</v>
      </c>
      <c r="J321" s="51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46">
        <v>312.0</v>
      </c>
      <c r="C322" s="49" t="s">
        <v>942</v>
      </c>
      <c r="D322" s="48">
        <v>12500.0</v>
      </c>
      <c r="E322" s="49" t="s">
        <v>943</v>
      </c>
      <c r="F322" s="49" t="s">
        <v>53</v>
      </c>
      <c r="G322" s="46">
        <v>1927.0</v>
      </c>
      <c r="H322" s="50" t="s">
        <v>944</v>
      </c>
      <c r="I322" s="47" t="s">
        <v>945</v>
      </c>
      <c r="J322" s="51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46">
        <v>313.0</v>
      </c>
      <c r="C323" s="49" t="s">
        <v>946</v>
      </c>
      <c r="D323" s="48">
        <v>12500.0</v>
      </c>
      <c r="E323" s="49" t="s">
        <v>947</v>
      </c>
      <c r="F323" s="49" t="s">
        <v>61</v>
      </c>
      <c r="G323" s="46">
        <v>1987.0</v>
      </c>
      <c r="H323" s="50" t="s">
        <v>169</v>
      </c>
      <c r="I323" s="55"/>
      <c r="J323" s="51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46">
        <v>314.0</v>
      </c>
      <c r="C324" s="49" t="s">
        <v>948</v>
      </c>
      <c r="D324" s="48">
        <v>12500.0</v>
      </c>
      <c r="E324" s="49" t="s">
        <v>949</v>
      </c>
      <c r="F324" s="49" t="s">
        <v>61</v>
      </c>
      <c r="G324" s="42"/>
      <c r="H324" s="50" t="s">
        <v>169</v>
      </c>
      <c r="I324" s="55"/>
      <c r="J324" s="51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46">
        <v>315.0</v>
      </c>
      <c r="C325" s="49" t="s">
        <v>950</v>
      </c>
      <c r="D325" s="48">
        <v>12500.0</v>
      </c>
      <c r="E325" s="49" t="s">
        <v>800</v>
      </c>
      <c r="F325" s="49" t="s">
        <v>951</v>
      </c>
      <c r="G325" s="46">
        <v>1973.0</v>
      </c>
      <c r="H325" s="50" t="s">
        <v>579</v>
      </c>
      <c r="I325" s="49" t="s">
        <v>952</v>
      </c>
      <c r="J325" s="51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46">
        <v>316.0</v>
      </c>
      <c r="C326" s="49" t="s">
        <v>953</v>
      </c>
      <c r="D326" s="48">
        <v>12300.0</v>
      </c>
      <c r="E326" s="49" t="s">
        <v>954</v>
      </c>
      <c r="F326" s="49" t="s">
        <v>163</v>
      </c>
      <c r="G326" s="46">
        <v>2002.0</v>
      </c>
      <c r="H326" s="50" t="s">
        <v>49</v>
      </c>
      <c r="I326" s="47" t="s">
        <v>955</v>
      </c>
      <c r="J326" s="51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46">
        <v>317.0</v>
      </c>
      <c r="C327" s="49" t="s">
        <v>956</v>
      </c>
      <c r="D327" s="48">
        <v>12283.0</v>
      </c>
      <c r="E327" s="49" t="s">
        <v>957</v>
      </c>
      <c r="F327" s="49" t="s">
        <v>787</v>
      </c>
      <c r="G327" s="46">
        <v>2001.0</v>
      </c>
      <c r="H327" s="50" t="s">
        <v>377</v>
      </c>
      <c r="I327" s="47" t="s">
        <v>958</v>
      </c>
      <c r="J327" s="51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46">
        <v>318.0</v>
      </c>
      <c r="C328" s="49" t="s">
        <v>959</v>
      </c>
      <c r="D328" s="48">
        <v>12230.0</v>
      </c>
      <c r="E328" s="49" t="s">
        <v>253</v>
      </c>
      <c r="F328" s="49" t="s">
        <v>124</v>
      </c>
      <c r="G328" s="46">
        <v>1996.0</v>
      </c>
      <c r="H328" s="50" t="s">
        <v>313</v>
      </c>
      <c r="I328" s="47" t="s">
        <v>960</v>
      </c>
      <c r="J328" s="51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46">
        <v>319.0</v>
      </c>
      <c r="C329" s="49" t="s">
        <v>961</v>
      </c>
      <c r="D329" s="48">
        <v>12220.0</v>
      </c>
      <c r="E329" s="49" t="s">
        <v>962</v>
      </c>
      <c r="F329" s="49" t="s">
        <v>304</v>
      </c>
      <c r="G329" s="46">
        <v>1927.0</v>
      </c>
      <c r="H329" s="50" t="s">
        <v>169</v>
      </c>
      <c r="I329" s="55"/>
      <c r="J329" s="51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46">
        <v>320.0</v>
      </c>
      <c r="C330" s="49" t="s">
        <v>963</v>
      </c>
      <c r="D330" s="48">
        <v>12175.0</v>
      </c>
      <c r="E330" s="49" t="s">
        <v>964</v>
      </c>
      <c r="F330" s="49" t="s">
        <v>800</v>
      </c>
      <c r="G330" s="46">
        <v>2010.0</v>
      </c>
      <c r="H330" s="50" t="s">
        <v>579</v>
      </c>
      <c r="I330" s="49" t="s">
        <v>965</v>
      </c>
      <c r="J330" s="51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46">
        <v>321.0</v>
      </c>
      <c r="C331" s="49" t="s">
        <v>966</v>
      </c>
      <c r="D331" s="48">
        <v>12152.0</v>
      </c>
      <c r="E331" s="49" t="s">
        <v>235</v>
      </c>
      <c r="F331" s="49" t="s">
        <v>236</v>
      </c>
      <c r="G331" s="46">
        <v>1988.0</v>
      </c>
      <c r="H331" s="50" t="s">
        <v>313</v>
      </c>
      <c r="I331" s="47" t="s">
        <v>967</v>
      </c>
      <c r="J331" s="51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46">
        <v>322.0</v>
      </c>
      <c r="C332" s="49" t="s">
        <v>968</v>
      </c>
      <c r="D332" s="48">
        <v>12134.0</v>
      </c>
      <c r="E332" s="49" t="s">
        <v>678</v>
      </c>
      <c r="F332" s="49" t="s">
        <v>222</v>
      </c>
      <c r="G332" s="46">
        <v>1985.0</v>
      </c>
      <c r="H332" s="50" t="s">
        <v>313</v>
      </c>
      <c r="I332" s="47" t="s">
        <v>969</v>
      </c>
      <c r="J332" s="51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46">
        <v>323.0</v>
      </c>
      <c r="C333" s="49" t="s">
        <v>970</v>
      </c>
      <c r="D333" s="48">
        <v>12111.0</v>
      </c>
      <c r="E333" s="49" t="s">
        <v>253</v>
      </c>
      <c r="F333" s="49" t="s">
        <v>124</v>
      </c>
      <c r="G333" s="46">
        <v>1982.0</v>
      </c>
      <c r="H333" s="50" t="s">
        <v>579</v>
      </c>
      <c r="I333" s="47" t="s">
        <v>971</v>
      </c>
      <c r="J333" s="51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46">
        <v>324.0</v>
      </c>
      <c r="C334" s="49" t="s">
        <v>972</v>
      </c>
      <c r="D334" s="48">
        <v>12067.0</v>
      </c>
      <c r="E334" s="49" t="s">
        <v>571</v>
      </c>
      <c r="F334" s="49" t="s">
        <v>222</v>
      </c>
      <c r="G334" s="46">
        <v>1993.0</v>
      </c>
      <c r="H334" s="50" t="s">
        <v>313</v>
      </c>
      <c r="I334" s="47" t="s">
        <v>973</v>
      </c>
      <c r="J334" s="51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46">
        <v>325.0</v>
      </c>
      <c r="C335" s="49" t="s">
        <v>974</v>
      </c>
      <c r="D335" s="48">
        <v>12000.0</v>
      </c>
      <c r="E335" s="49" t="s">
        <v>975</v>
      </c>
      <c r="F335" s="49" t="s">
        <v>222</v>
      </c>
      <c r="G335" s="46">
        <v>1928.0</v>
      </c>
      <c r="H335" s="50" t="s">
        <v>49</v>
      </c>
      <c r="I335" s="47" t="s">
        <v>976</v>
      </c>
      <c r="J335" s="51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46">
        <v>326.0</v>
      </c>
      <c r="C336" s="49" t="s">
        <v>104</v>
      </c>
      <c r="D336" s="48">
        <v>12000.0</v>
      </c>
      <c r="E336" s="49" t="s">
        <v>179</v>
      </c>
      <c r="F336" s="49" t="s">
        <v>180</v>
      </c>
      <c r="G336" s="46">
        <v>1947.0</v>
      </c>
      <c r="H336" s="50" t="s">
        <v>377</v>
      </c>
      <c r="I336" s="47" t="s">
        <v>977</v>
      </c>
      <c r="J336" s="51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46">
        <v>327.0</v>
      </c>
      <c r="C337" s="49" t="s">
        <v>978</v>
      </c>
      <c r="D337" s="48">
        <v>12000.0</v>
      </c>
      <c r="E337" s="49" t="s">
        <v>979</v>
      </c>
      <c r="F337" s="49" t="s">
        <v>273</v>
      </c>
      <c r="G337" s="46">
        <v>1964.0</v>
      </c>
      <c r="H337" s="50" t="s">
        <v>377</v>
      </c>
      <c r="I337" s="55"/>
      <c r="J337" s="51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46">
        <v>328.0</v>
      </c>
      <c r="C338" s="49" t="s">
        <v>980</v>
      </c>
      <c r="D338" s="48">
        <v>12000.0</v>
      </c>
      <c r="E338" s="49" t="s">
        <v>981</v>
      </c>
      <c r="F338" s="49" t="s">
        <v>504</v>
      </c>
      <c r="G338" s="46">
        <v>1970.0</v>
      </c>
      <c r="H338" s="50" t="s">
        <v>49</v>
      </c>
      <c r="I338" s="47" t="s">
        <v>982</v>
      </c>
      <c r="J338" s="51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46">
        <v>329.0</v>
      </c>
      <c r="C339" s="49" t="s">
        <v>983</v>
      </c>
      <c r="D339" s="48">
        <v>12000.0</v>
      </c>
      <c r="E339" s="49" t="s">
        <v>984</v>
      </c>
      <c r="F339" s="49" t="s">
        <v>247</v>
      </c>
      <c r="G339" s="46">
        <v>1992.0</v>
      </c>
      <c r="H339" s="50" t="s">
        <v>313</v>
      </c>
      <c r="I339" s="47" t="s">
        <v>985</v>
      </c>
      <c r="J339" s="51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46">
        <v>330.0</v>
      </c>
      <c r="C340" s="49" t="s">
        <v>986</v>
      </c>
      <c r="D340" s="48">
        <v>12000.0</v>
      </c>
      <c r="E340" s="49" t="s">
        <v>531</v>
      </c>
      <c r="F340" s="49" t="s">
        <v>61</v>
      </c>
      <c r="G340" s="46">
        <v>2004.0</v>
      </c>
      <c r="H340" s="50" t="s">
        <v>169</v>
      </c>
      <c r="I340" s="55"/>
      <c r="J340" s="51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46">
        <v>331.0</v>
      </c>
      <c r="C341" s="49" t="s">
        <v>987</v>
      </c>
      <c r="D341" s="48">
        <v>12000.0</v>
      </c>
      <c r="E341" s="49" t="s">
        <v>736</v>
      </c>
      <c r="F341" s="49" t="s">
        <v>61</v>
      </c>
      <c r="G341" s="46">
        <v>2016.0</v>
      </c>
      <c r="H341" s="50" t="s">
        <v>49</v>
      </c>
      <c r="I341" s="55"/>
      <c r="J341" s="51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46">
        <v>332.0</v>
      </c>
      <c r="C342" s="49" t="s">
        <v>988</v>
      </c>
      <c r="D342" s="48">
        <v>12000.0</v>
      </c>
      <c r="E342" s="49" t="s">
        <v>989</v>
      </c>
      <c r="F342" s="49" t="s">
        <v>61</v>
      </c>
      <c r="G342" s="46">
        <v>2017.0</v>
      </c>
      <c r="H342" s="50" t="s">
        <v>49</v>
      </c>
      <c r="I342" s="47" t="s">
        <v>990</v>
      </c>
      <c r="J342" s="51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46">
        <v>333.0</v>
      </c>
      <c r="C343" s="49" t="s">
        <v>991</v>
      </c>
      <c r="D343" s="48">
        <v>11929.0</v>
      </c>
      <c r="E343" s="49" t="s">
        <v>992</v>
      </c>
      <c r="F343" s="49" t="s">
        <v>163</v>
      </c>
      <c r="G343" s="46">
        <v>1963.0</v>
      </c>
      <c r="H343" s="50" t="s">
        <v>377</v>
      </c>
      <c r="I343" s="55"/>
      <c r="J343" s="51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52">
        <v>334.0</v>
      </c>
      <c r="C344" s="49" t="s">
        <v>993</v>
      </c>
      <c r="D344" s="53">
        <v>11700.0</v>
      </c>
      <c r="E344" s="49" t="s">
        <v>292</v>
      </c>
      <c r="F344" s="49" t="s">
        <v>286</v>
      </c>
      <c r="G344" s="52">
        <v>2020.0</v>
      </c>
      <c r="H344" s="54" t="s">
        <v>579</v>
      </c>
      <c r="I344" s="47" t="s">
        <v>994</v>
      </c>
      <c r="J344" s="51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46">
        <v>335.0</v>
      </c>
      <c r="C345" s="49" t="s">
        <v>995</v>
      </c>
      <c r="D345" s="48">
        <v>11631.0</v>
      </c>
      <c r="E345" s="49" t="s">
        <v>996</v>
      </c>
      <c r="F345" s="49" t="s">
        <v>61</v>
      </c>
      <c r="G345" s="46">
        <v>2000.0</v>
      </c>
      <c r="H345" s="50" t="s">
        <v>313</v>
      </c>
      <c r="I345" s="47" t="s">
        <v>997</v>
      </c>
      <c r="J345" s="51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46">
        <v>336.0</v>
      </c>
      <c r="C346" s="49" t="s">
        <v>998</v>
      </c>
      <c r="D346" s="48">
        <v>11582.0</v>
      </c>
      <c r="E346" s="49" t="s">
        <v>999</v>
      </c>
      <c r="F346" s="49" t="s">
        <v>61</v>
      </c>
      <c r="G346" s="46">
        <v>1950.0</v>
      </c>
      <c r="H346" s="50" t="s">
        <v>49</v>
      </c>
      <c r="I346" s="47" t="s">
        <v>1000</v>
      </c>
      <c r="J346" s="51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46">
        <v>337.0</v>
      </c>
      <c r="C347" s="49" t="s">
        <v>1001</v>
      </c>
      <c r="D347" s="48">
        <v>11569.0</v>
      </c>
      <c r="E347" s="49" t="s">
        <v>716</v>
      </c>
      <c r="F347" s="49" t="s">
        <v>84</v>
      </c>
      <c r="G347" s="46">
        <v>2014.0</v>
      </c>
      <c r="H347" s="50" t="s">
        <v>579</v>
      </c>
      <c r="I347" s="47" t="s">
        <v>1002</v>
      </c>
      <c r="J347" s="51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46">
        <v>338.0</v>
      </c>
      <c r="C348" s="49" t="s">
        <v>1003</v>
      </c>
      <c r="D348" s="48">
        <v>11500.0</v>
      </c>
      <c r="E348" s="49" t="s">
        <v>894</v>
      </c>
      <c r="F348" s="49" t="s">
        <v>184</v>
      </c>
      <c r="G348" s="46">
        <v>1992.0</v>
      </c>
      <c r="H348" s="50" t="s">
        <v>313</v>
      </c>
      <c r="I348" s="47" t="s">
        <v>1004</v>
      </c>
      <c r="J348" s="51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46">
        <v>339.0</v>
      </c>
      <c r="C349" s="49" t="s">
        <v>1005</v>
      </c>
      <c r="D349" s="48">
        <v>11500.0</v>
      </c>
      <c r="E349" s="49" t="s">
        <v>355</v>
      </c>
      <c r="F349" s="49" t="s">
        <v>247</v>
      </c>
      <c r="G349" s="46">
        <v>1998.0</v>
      </c>
      <c r="H349" s="50" t="s">
        <v>313</v>
      </c>
      <c r="I349" s="47" t="s">
        <v>1006</v>
      </c>
      <c r="J349" s="51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46">
        <v>340.0</v>
      </c>
      <c r="C350" s="49" t="s">
        <v>1007</v>
      </c>
      <c r="D350" s="48">
        <v>11435.0</v>
      </c>
      <c r="E350" s="49" t="s">
        <v>1008</v>
      </c>
      <c r="F350" s="49" t="s">
        <v>57</v>
      </c>
      <c r="G350" s="46">
        <v>1981.0</v>
      </c>
      <c r="H350" s="50" t="s">
        <v>669</v>
      </c>
      <c r="I350" s="55"/>
      <c r="J350" s="51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46">
        <v>341.0</v>
      </c>
      <c r="C351" s="49" t="s">
        <v>1009</v>
      </c>
      <c r="D351" s="48">
        <v>11427.0</v>
      </c>
      <c r="E351" s="49" t="s">
        <v>793</v>
      </c>
      <c r="F351" s="49" t="s">
        <v>106</v>
      </c>
      <c r="G351" s="46">
        <v>1948.0</v>
      </c>
      <c r="H351" s="50" t="s">
        <v>49</v>
      </c>
      <c r="I351" s="47" t="s">
        <v>1010</v>
      </c>
      <c r="J351" s="51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46">
        <v>342.0</v>
      </c>
      <c r="C352" s="49" t="s">
        <v>1011</v>
      </c>
      <c r="D352" s="48">
        <v>11333.0</v>
      </c>
      <c r="E352" s="49" t="s">
        <v>1012</v>
      </c>
      <c r="F352" s="49" t="s">
        <v>247</v>
      </c>
      <c r="G352" s="46">
        <v>1994.0</v>
      </c>
      <c r="H352" s="50" t="s">
        <v>313</v>
      </c>
      <c r="I352" s="47" t="s">
        <v>1013</v>
      </c>
      <c r="J352" s="51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46">
        <v>343.0</v>
      </c>
      <c r="C353" s="49" t="s">
        <v>1014</v>
      </c>
      <c r="D353" s="48">
        <v>11230.0</v>
      </c>
      <c r="E353" s="49" t="s">
        <v>1015</v>
      </c>
      <c r="F353" s="49" t="s">
        <v>247</v>
      </c>
      <c r="G353" s="46">
        <v>1977.0</v>
      </c>
      <c r="H353" s="50" t="s">
        <v>49</v>
      </c>
      <c r="I353" s="47" t="s">
        <v>1016</v>
      </c>
      <c r="J353" s="51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46">
        <v>344.0</v>
      </c>
      <c r="C354" s="49" t="s">
        <v>1017</v>
      </c>
      <c r="D354" s="48">
        <v>11198.0</v>
      </c>
      <c r="E354" s="49" t="s">
        <v>1018</v>
      </c>
      <c r="F354" s="49" t="s">
        <v>173</v>
      </c>
      <c r="G354" s="46">
        <v>1978.0</v>
      </c>
      <c r="H354" s="50" t="s">
        <v>49</v>
      </c>
      <c r="I354" s="47" t="s">
        <v>1019</v>
      </c>
      <c r="J354" s="51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46">
        <v>345.0</v>
      </c>
      <c r="C355" s="49" t="s">
        <v>1020</v>
      </c>
      <c r="D355" s="48">
        <v>11124.0</v>
      </c>
      <c r="E355" s="49" t="s">
        <v>474</v>
      </c>
      <c r="F355" s="49" t="s">
        <v>475</v>
      </c>
      <c r="G355" s="46">
        <v>2003.0</v>
      </c>
      <c r="H355" s="50" t="s">
        <v>408</v>
      </c>
      <c r="I355" s="47" t="s">
        <v>1021</v>
      </c>
      <c r="J355" s="51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46">
        <v>346.0</v>
      </c>
      <c r="C356" s="49" t="s">
        <v>1022</v>
      </c>
      <c r="D356" s="48">
        <v>11075.0</v>
      </c>
      <c r="E356" s="49" t="s">
        <v>1023</v>
      </c>
      <c r="F356" s="49" t="s">
        <v>84</v>
      </c>
      <c r="G356" s="46">
        <v>1935.0</v>
      </c>
      <c r="H356" s="50" t="s">
        <v>169</v>
      </c>
      <c r="I356" s="47" t="s">
        <v>1024</v>
      </c>
      <c r="J356" s="51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46">
        <v>347.0</v>
      </c>
      <c r="C357" s="49" t="s">
        <v>1025</v>
      </c>
      <c r="D357" s="48">
        <v>11026.0</v>
      </c>
      <c r="E357" s="49" t="s">
        <v>187</v>
      </c>
      <c r="F357" s="49" t="s">
        <v>91</v>
      </c>
      <c r="G357" s="46">
        <v>1996.0</v>
      </c>
      <c r="H357" s="50" t="s">
        <v>313</v>
      </c>
      <c r="I357" s="47" t="s">
        <v>1026</v>
      </c>
      <c r="J357" s="51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46">
        <v>348.0</v>
      </c>
      <c r="C358" s="49" t="s">
        <v>1027</v>
      </c>
      <c r="D358" s="48">
        <v>11015.0</v>
      </c>
      <c r="E358" s="49" t="s">
        <v>513</v>
      </c>
      <c r="F358" s="49" t="s">
        <v>1028</v>
      </c>
      <c r="G358" s="46">
        <v>1936.0</v>
      </c>
      <c r="H358" s="50" t="s">
        <v>49</v>
      </c>
      <c r="I358" s="47" t="s">
        <v>1029</v>
      </c>
      <c r="J358" s="51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46">
        <v>349.0</v>
      </c>
      <c r="C359" s="49" t="s">
        <v>1030</v>
      </c>
      <c r="D359" s="48">
        <v>11000.0</v>
      </c>
      <c r="E359" s="49" t="s">
        <v>1031</v>
      </c>
      <c r="F359" s="49" t="s">
        <v>1028</v>
      </c>
      <c r="G359" s="46">
        <v>1893.0</v>
      </c>
      <c r="H359" s="50" t="s">
        <v>49</v>
      </c>
      <c r="I359" s="47" t="s">
        <v>1032</v>
      </c>
      <c r="J359" s="51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46">
        <v>350.0</v>
      </c>
      <c r="C360" s="49" t="s">
        <v>1033</v>
      </c>
      <c r="D360" s="48">
        <v>11000.0</v>
      </c>
      <c r="E360" s="49" t="s">
        <v>1034</v>
      </c>
      <c r="F360" s="49" t="s">
        <v>48</v>
      </c>
      <c r="G360" s="46">
        <v>1929.0</v>
      </c>
      <c r="H360" s="50" t="s">
        <v>169</v>
      </c>
      <c r="I360" s="47" t="s">
        <v>1035</v>
      </c>
      <c r="J360" s="51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46">
        <v>351.0</v>
      </c>
      <c r="C361" s="49" t="s">
        <v>1036</v>
      </c>
      <c r="D361" s="48">
        <v>11000.0</v>
      </c>
      <c r="E361" s="49" t="s">
        <v>1037</v>
      </c>
      <c r="F361" s="49" t="s">
        <v>57</v>
      </c>
      <c r="G361" s="46">
        <v>1949.0</v>
      </c>
      <c r="H361" s="50" t="s">
        <v>49</v>
      </c>
      <c r="I361" s="47" t="s">
        <v>1038</v>
      </c>
      <c r="J361" s="51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46">
        <v>352.0</v>
      </c>
      <c r="C362" s="49" t="s">
        <v>1039</v>
      </c>
      <c r="D362" s="48">
        <v>11000.0</v>
      </c>
      <c r="E362" s="49" t="s">
        <v>201</v>
      </c>
      <c r="F362" s="49" t="s">
        <v>91</v>
      </c>
      <c r="G362" s="46">
        <v>2003.0</v>
      </c>
      <c r="H362" s="50" t="s">
        <v>313</v>
      </c>
      <c r="I362" s="47" t="s">
        <v>1040</v>
      </c>
      <c r="J362" s="51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46">
        <v>353.0</v>
      </c>
      <c r="C363" s="49" t="s">
        <v>1041</v>
      </c>
      <c r="D363" s="48">
        <v>11000.0</v>
      </c>
      <c r="E363" s="49" t="s">
        <v>984</v>
      </c>
      <c r="F363" s="49" t="s">
        <v>247</v>
      </c>
      <c r="G363" s="46">
        <v>2011.0</v>
      </c>
      <c r="H363" s="50" t="s">
        <v>313</v>
      </c>
      <c r="I363" s="47" t="s">
        <v>1042</v>
      </c>
      <c r="J363" s="51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46">
        <v>354.0</v>
      </c>
      <c r="C364" s="49" t="s">
        <v>1043</v>
      </c>
      <c r="D364" s="48">
        <v>11000.0</v>
      </c>
      <c r="E364" s="49" t="s">
        <v>1044</v>
      </c>
      <c r="F364" s="49" t="s">
        <v>61</v>
      </c>
      <c r="G364" s="42"/>
      <c r="H364" s="50" t="s">
        <v>169</v>
      </c>
      <c r="I364" s="55"/>
      <c r="J364" s="51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46">
        <v>355.0</v>
      </c>
      <c r="C365" s="49" t="s">
        <v>1045</v>
      </c>
      <c r="D365" s="48">
        <v>10815.0</v>
      </c>
      <c r="E365" s="49" t="s">
        <v>376</v>
      </c>
      <c r="F365" s="49" t="s">
        <v>163</v>
      </c>
      <c r="G365" s="46">
        <v>1997.0</v>
      </c>
      <c r="H365" s="50" t="s">
        <v>313</v>
      </c>
      <c r="I365" s="47" t="s">
        <v>1046</v>
      </c>
      <c r="J365" s="51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46">
        <v>356.0</v>
      </c>
      <c r="C366" s="49" t="s">
        <v>1047</v>
      </c>
      <c r="D366" s="48">
        <v>10743.0</v>
      </c>
      <c r="E366" s="49" t="s">
        <v>1048</v>
      </c>
      <c r="F366" s="49" t="s">
        <v>84</v>
      </c>
      <c r="G366" s="46">
        <v>2007.0</v>
      </c>
      <c r="H366" s="50" t="s">
        <v>49</v>
      </c>
      <c r="I366" s="47" t="s">
        <v>1049</v>
      </c>
      <c r="J366" s="51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46">
        <v>357.0</v>
      </c>
      <c r="C367" s="49" t="s">
        <v>1050</v>
      </c>
      <c r="D367" s="48">
        <v>10737.0</v>
      </c>
      <c r="E367" s="49" t="s">
        <v>138</v>
      </c>
      <c r="F367" s="49" t="s">
        <v>139</v>
      </c>
      <c r="G367" s="46">
        <v>1996.0</v>
      </c>
      <c r="H367" s="50" t="s">
        <v>313</v>
      </c>
      <c r="I367" s="47" t="s">
        <v>1051</v>
      </c>
      <c r="J367" s="51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46">
        <v>358.0</v>
      </c>
      <c r="C368" s="49" t="s">
        <v>1052</v>
      </c>
      <c r="D368" s="48">
        <v>10714.0</v>
      </c>
      <c r="E368" s="49" t="s">
        <v>1053</v>
      </c>
      <c r="F368" s="49" t="s">
        <v>247</v>
      </c>
      <c r="G368" s="46">
        <v>2002.0</v>
      </c>
      <c r="H368" s="50" t="s">
        <v>313</v>
      </c>
      <c r="I368" s="47" t="s">
        <v>1054</v>
      </c>
      <c r="J368" s="51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46">
        <v>359.0</v>
      </c>
      <c r="C369" s="49" t="s">
        <v>1055</v>
      </c>
      <c r="D369" s="48">
        <v>10650.0</v>
      </c>
      <c r="E369" s="49" t="s">
        <v>457</v>
      </c>
      <c r="F369" s="49" t="s">
        <v>84</v>
      </c>
      <c r="G369" s="46">
        <v>2002.0</v>
      </c>
      <c r="H369" s="50" t="s">
        <v>313</v>
      </c>
      <c r="I369" s="47" t="s">
        <v>1056</v>
      </c>
      <c r="J369" s="51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46">
        <v>360.0</v>
      </c>
      <c r="C370" s="49" t="s">
        <v>1057</v>
      </c>
      <c r="D370" s="48">
        <v>10624.0</v>
      </c>
      <c r="E370" s="49" t="s">
        <v>716</v>
      </c>
      <c r="F370" s="49" t="s">
        <v>84</v>
      </c>
      <c r="G370" s="46">
        <v>2000.0</v>
      </c>
      <c r="H370" s="50" t="s">
        <v>313</v>
      </c>
      <c r="I370" s="47" t="s">
        <v>1058</v>
      </c>
      <c r="J370" s="51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46">
        <v>361.0</v>
      </c>
      <c r="C371" s="49" t="s">
        <v>1059</v>
      </c>
      <c r="D371" s="48">
        <v>10500.0</v>
      </c>
      <c r="E371" s="49" t="s">
        <v>152</v>
      </c>
      <c r="F371" s="49" t="s">
        <v>153</v>
      </c>
      <c r="G371" s="46">
        <v>1936.0</v>
      </c>
      <c r="H371" s="50" t="s">
        <v>169</v>
      </c>
      <c r="I371" s="58" t="s">
        <v>1060</v>
      </c>
      <c r="J371" s="51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46">
        <v>362.0</v>
      </c>
      <c r="C372" s="49" t="s">
        <v>1061</v>
      </c>
      <c r="D372" s="48">
        <v>10500.0</v>
      </c>
      <c r="E372" s="49" t="s">
        <v>1062</v>
      </c>
      <c r="F372" s="49" t="s">
        <v>65</v>
      </c>
      <c r="G372" s="46">
        <v>1972.0</v>
      </c>
      <c r="H372" s="50" t="s">
        <v>49</v>
      </c>
      <c r="I372" s="47" t="s">
        <v>1063</v>
      </c>
      <c r="J372" s="51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46">
        <v>363.0</v>
      </c>
      <c r="C373" s="49" t="s">
        <v>1064</v>
      </c>
      <c r="D373" s="48">
        <v>10500.0</v>
      </c>
      <c r="E373" s="49" t="s">
        <v>1065</v>
      </c>
      <c r="F373" s="49" t="s">
        <v>243</v>
      </c>
      <c r="G373" s="46">
        <v>1985.0</v>
      </c>
      <c r="H373" s="50" t="s">
        <v>49</v>
      </c>
      <c r="I373" s="47" t="s">
        <v>1066</v>
      </c>
      <c r="J373" s="51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46">
        <v>364.0</v>
      </c>
      <c r="C374" s="49" t="s">
        <v>1067</v>
      </c>
      <c r="D374" s="48">
        <v>10500.0</v>
      </c>
      <c r="E374" s="49" t="s">
        <v>885</v>
      </c>
      <c r="F374" s="49" t="s">
        <v>247</v>
      </c>
      <c r="G374" s="46">
        <v>1997.0</v>
      </c>
      <c r="H374" s="50" t="s">
        <v>313</v>
      </c>
      <c r="I374" s="55"/>
      <c r="J374" s="51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46">
        <v>365.0</v>
      </c>
      <c r="C375" s="49" t="s">
        <v>1068</v>
      </c>
      <c r="D375" s="48">
        <v>10444.0</v>
      </c>
      <c r="E375" s="49" t="s">
        <v>1069</v>
      </c>
      <c r="F375" s="49" t="s">
        <v>48</v>
      </c>
      <c r="G375" s="46">
        <v>1972.0</v>
      </c>
      <c r="H375" s="50" t="s">
        <v>49</v>
      </c>
      <c r="I375" s="47" t="s">
        <v>1070</v>
      </c>
      <c r="J375" s="51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46">
        <v>366.0</v>
      </c>
      <c r="C376" s="49" t="s">
        <v>1071</v>
      </c>
      <c r="D376" s="48">
        <v>10427.0</v>
      </c>
      <c r="E376" s="49" t="s">
        <v>1072</v>
      </c>
      <c r="F376" s="49" t="s">
        <v>80</v>
      </c>
      <c r="G376" s="46">
        <v>2009.0</v>
      </c>
      <c r="H376" s="50" t="s">
        <v>313</v>
      </c>
      <c r="I376" s="47" t="s">
        <v>1073</v>
      </c>
      <c r="J376" s="51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46">
        <v>367.0</v>
      </c>
      <c r="C377" s="49" t="s">
        <v>1074</v>
      </c>
      <c r="D377" s="48">
        <v>10326.0</v>
      </c>
      <c r="E377" s="49" t="s">
        <v>64</v>
      </c>
      <c r="F377" s="49" t="s">
        <v>65</v>
      </c>
      <c r="G377" s="46">
        <v>2009.0</v>
      </c>
      <c r="H377" s="50" t="s">
        <v>313</v>
      </c>
      <c r="I377" s="47" t="s">
        <v>1075</v>
      </c>
      <c r="J377" s="51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46">
        <v>368.0</v>
      </c>
      <c r="C378" s="49" t="s">
        <v>1076</v>
      </c>
      <c r="D378" s="48">
        <v>10221.0</v>
      </c>
      <c r="E378" s="49" t="s">
        <v>1077</v>
      </c>
      <c r="F378" s="49" t="s">
        <v>163</v>
      </c>
      <c r="G378" s="46">
        <v>1939.0</v>
      </c>
      <c r="H378" s="50" t="s">
        <v>1078</v>
      </c>
      <c r="I378" s="47" t="s">
        <v>1079</v>
      </c>
      <c r="J378" s="51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46">
        <v>369.0</v>
      </c>
      <c r="C379" s="49" t="s">
        <v>1080</v>
      </c>
      <c r="D379" s="48">
        <v>10200.0</v>
      </c>
      <c r="E379" s="49" t="s">
        <v>793</v>
      </c>
      <c r="F379" s="49" t="s">
        <v>106</v>
      </c>
      <c r="G379" s="46">
        <v>2001.0</v>
      </c>
      <c r="H379" s="50" t="s">
        <v>669</v>
      </c>
      <c r="I379" s="55"/>
      <c r="J379" s="51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46">
        <v>370.0</v>
      </c>
      <c r="C380" s="49" t="s">
        <v>527</v>
      </c>
      <c r="D380" s="48">
        <v>10200.0</v>
      </c>
      <c r="E380" s="49" t="s">
        <v>152</v>
      </c>
      <c r="F380" s="49" t="s">
        <v>153</v>
      </c>
      <c r="G380" s="46">
        <v>2014.0</v>
      </c>
      <c r="H380" s="50" t="s">
        <v>313</v>
      </c>
      <c r="I380" s="47" t="s">
        <v>1081</v>
      </c>
      <c r="J380" s="51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46">
        <v>371.0</v>
      </c>
      <c r="C381" s="49" t="s">
        <v>1082</v>
      </c>
      <c r="D381" s="48">
        <v>10200.0</v>
      </c>
      <c r="E381" s="49" t="s">
        <v>1083</v>
      </c>
      <c r="F381" s="49" t="s">
        <v>80</v>
      </c>
      <c r="G381" s="46">
        <v>2013.0</v>
      </c>
      <c r="H381" s="50" t="s">
        <v>49</v>
      </c>
      <c r="I381" s="47" t="s">
        <v>1084</v>
      </c>
      <c r="J381" s="51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46">
        <v>372.0</v>
      </c>
      <c r="C382" s="49" t="s">
        <v>1085</v>
      </c>
      <c r="D382" s="48">
        <v>10100.0</v>
      </c>
      <c r="E382" s="49" t="s">
        <v>56</v>
      </c>
      <c r="F382" s="49" t="s">
        <v>57</v>
      </c>
      <c r="G382" s="46">
        <v>2009.0</v>
      </c>
      <c r="H382" s="50" t="s">
        <v>313</v>
      </c>
      <c r="I382" s="47" t="s">
        <v>1086</v>
      </c>
      <c r="J382" s="51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46">
        <v>373.0</v>
      </c>
      <c r="C383" s="49" t="s">
        <v>1087</v>
      </c>
      <c r="D383" s="48">
        <v>10025.0</v>
      </c>
      <c r="E383" s="49" t="s">
        <v>1088</v>
      </c>
      <c r="F383" s="49" t="s">
        <v>369</v>
      </c>
      <c r="G383" s="46">
        <v>2021.0</v>
      </c>
      <c r="H383" s="50" t="s">
        <v>313</v>
      </c>
      <c r="I383" s="47" t="s">
        <v>1089</v>
      </c>
      <c r="J383" s="51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46">
        <v>374.0</v>
      </c>
      <c r="C384" s="49" t="s">
        <v>1090</v>
      </c>
      <c r="D384" s="48">
        <v>10001.0</v>
      </c>
      <c r="E384" s="49" t="s">
        <v>1091</v>
      </c>
      <c r="F384" s="49" t="s">
        <v>61</v>
      </c>
      <c r="G384" s="46">
        <v>2006.0</v>
      </c>
      <c r="H384" s="50" t="s">
        <v>169</v>
      </c>
      <c r="I384" s="55"/>
      <c r="J384" s="51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46">
        <v>375.0</v>
      </c>
      <c r="C385" s="49" t="s">
        <v>1092</v>
      </c>
      <c r="D385" s="48">
        <v>10000.0</v>
      </c>
      <c r="E385" s="49" t="s">
        <v>443</v>
      </c>
      <c r="F385" s="49" t="s">
        <v>444</v>
      </c>
      <c r="G385" s="46">
        <v>1926.0</v>
      </c>
      <c r="H385" s="50" t="s">
        <v>49</v>
      </c>
      <c r="I385" s="47" t="s">
        <v>1093</v>
      </c>
      <c r="J385" s="51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46">
        <v>376.0</v>
      </c>
      <c r="C386" s="49" t="s">
        <v>1094</v>
      </c>
      <c r="D386" s="48">
        <v>10000.0</v>
      </c>
      <c r="E386" s="49" t="s">
        <v>1095</v>
      </c>
      <c r="F386" s="49" t="s">
        <v>304</v>
      </c>
      <c r="G386" s="46">
        <v>1936.0</v>
      </c>
      <c r="H386" s="50" t="s">
        <v>49</v>
      </c>
      <c r="I386" s="55"/>
      <c r="J386" s="51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46">
        <v>377.0</v>
      </c>
      <c r="C387" s="49" t="s">
        <v>1096</v>
      </c>
      <c r="D387" s="56">
        <v>10000.0</v>
      </c>
      <c r="E387" s="49" t="s">
        <v>1097</v>
      </c>
      <c r="F387" s="49" t="s">
        <v>53</v>
      </c>
      <c r="G387" s="46">
        <v>1959.0</v>
      </c>
      <c r="H387" s="50" t="s">
        <v>313</v>
      </c>
      <c r="I387" s="49" t="s">
        <v>1098</v>
      </c>
      <c r="J387" s="51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46">
        <v>378.0</v>
      </c>
      <c r="C388" s="49" t="s">
        <v>743</v>
      </c>
      <c r="D388" s="48">
        <v>10000.0</v>
      </c>
      <c r="E388" s="49" t="s">
        <v>172</v>
      </c>
      <c r="F388" s="49" t="s">
        <v>173</v>
      </c>
      <c r="G388" s="46">
        <v>1937.0</v>
      </c>
      <c r="H388" s="50" t="s">
        <v>49</v>
      </c>
      <c r="I388" s="47" t="s">
        <v>1099</v>
      </c>
      <c r="J388" s="51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46">
        <v>379.0</v>
      </c>
      <c r="C389" s="49" t="s">
        <v>1100</v>
      </c>
      <c r="D389" s="48">
        <v>10000.0</v>
      </c>
      <c r="E389" s="49" t="s">
        <v>722</v>
      </c>
      <c r="F389" s="49" t="s">
        <v>139</v>
      </c>
      <c r="G389" s="46">
        <v>1939.0</v>
      </c>
      <c r="H389" s="50" t="s">
        <v>49</v>
      </c>
      <c r="I389" s="47" t="s">
        <v>1101</v>
      </c>
      <c r="J389" s="51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46">
        <v>380.0</v>
      </c>
      <c r="C390" s="49" t="s">
        <v>1102</v>
      </c>
      <c r="D390" s="48">
        <v>10000.0</v>
      </c>
      <c r="E390" s="49" t="s">
        <v>1103</v>
      </c>
      <c r="F390" s="49" t="s">
        <v>69</v>
      </c>
      <c r="G390" s="46">
        <v>1946.0</v>
      </c>
      <c r="H390" s="50" t="s">
        <v>49</v>
      </c>
      <c r="I390" s="47" t="s">
        <v>1104</v>
      </c>
      <c r="J390" s="51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46">
        <v>381.0</v>
      </c>
      <c r="C391" s="49" t="s">
        <v>1105</v>
      </c>
      <c r="D391" s="48">
        <v>10000.0</v>
      </c>
      <c r="E391" s="49" t="s">
        <v>1106</v>
      </c>
      <c r="F391" s="49" t="s">
        <v>1107</v>
      </c>
      <c r="G391" s="46">
        <v>1947.0</v>
      </c>
      <c r="H391" s="50" t="s">
        <v>49</v>
      </c>
      <c r="I391" s="47" t="s">
        <v>1108</v>
      </c>
      <c r="J391" s="51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46">
        <v>382.0</v>
      </c>
      <c r="C392" s="49" t="s">
        <v>1109</v>
      </c>
      <c r="D392" s="48">
        <v>10000.0</v>
      </c>
      <c r="E392" s="49" t="s">
        <v>1110</v>
      </c>
      <c r="F392" s="49" t="s">
        <v>53</v>
      </c>
      <c r="G392" s="46">
        <v>1951.0</v>
      </c>
      <c r="H392" s="50" t="s">
        <v>313</v>
      </c>
      <c r="I392" s="47" t="s">
        <v>1111</v>
      </c>
      <c r="J392" s="51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46">
        <v>383.0</v>
      </c>
      <c r="C393" s="49" t="s">
        <v>1112</v>
      </c>
      <c r="D393" s="48">
        <v>10000.0</v>
      </c>
      <c r="E393" s="49" t="s">
        <v>1113</v>
      </c>
      <c r="F393" s="49" t="s">
        <v>783</v>
      </c>
      <c r="G393" s="46">
        <v>1957.0</v>
      </c>
      <c r="H393" s="50" t="s">
        <v>169</v>
      </c>
      <c r="I393" s="55"/>
      <c r="J393" s="51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46">
        <v>384.0</v>
      </c>
      <c r="C394" s="49" t="s">
        <v>1114</v>
      </c>
      <c r="D394" s="48">
        <v>10000.0</v>
      </c>
      <c r="E394" s="49" t="s">
        <v>1115</v>
      </c>
      <c r="F394" s="49" t="s">
        <v>236</v>
      </c>
      <c r="G394" s="46">
        <v>1958.0</v>
      </c>
      <c r="H394" s="50" t="s">
        <v>49</v>
      </c>
      <c r="I394" s="47" t="s">
        <v>1116</v>
      </c>
      <c r="J394" s="51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46">
        <v>385.0</v>
      </c>
      <c r="C395" s="49" t="s">
        <v>1117</v>
      </c>
      <c r="D395" s="48">
        <v>10000.0</v>
      </c>
      <c r="E395" s="49" t="s">
        <v>285</v>
      </c>
      <c r="F395" s="49" t="s">
        <v>222</v>
      </c>
      <c r="G395" s="46">
        <v>1962.0</v>
      </c>
      <c r="H395" s="50" t="s">
        <v>49</v>
      </c>
      <c r="I395" s="47" t="s">
        <v>1118</v>
      </c>
      <c r="J395" s="51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46">
        <v>386.0</v>
      </c>
      <c r="C396" s="49" t="s">
        <v>1119</v>
      </c>
      <c r="D396" s="48">
        <v>10000.0</v>
      </c>
      <c r="E396" s="49" t="s">
        <v>1120</v>
      </c>
      <c r="F396" s="49" t="s">
        <v>286</v>
      </c>
      <c r="G396" s="46">
        <v>1964.0</v>
      </c>
      <c r="H396" s="50" t="s">
        <v>49</v>
      </c>
      <c r="I396" s="47" t="s">
        <v>1121</v>
      </c>
      <c r="J396" s="51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46">
        <v>387.0</v>
      </c>
      <c r="C397" s="49" t="s">
        <v>1122</v>
      </c>
      <c r="D397" s="48">
        <v>10000.0</v>
      </c>
      <c r="E397" s="49" t="s">
        <v>793</v>
      </c>
      <c r="F397" s="49" t="s">
        <v>262</v>
      </c>
      <c r="G397" s="46">
        <v>1970.0</v>
      </c>
      <c r="H397" s="50" t="s">
        <v>49</v>
      </c>
      <c r="I397" s="47" t="s">
        <v>1123</v>
      </c>
      <c r="J397" s="51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46">
        <v>388.0</v>
      </c>
      <c r="C398" s="49" t="s">
        <v>1124</v>
      </c>
      <c r="D398" s="48">
        <v>10000.0</v>
      </c>
      <c r="E398" s="49" t="s">
        <v>513</v>
      </c>
      <c r="F398" s="49" t="s">
        <v>153</v>
      </c>
      <c r="G398" s="46">
        <v>1975.0</v>
      </c>
      <c r="H398" s="50" t="s">
        <v>49</v>
      </c>
      <c r="I398" s="47" t="s">
        <v>1125</v>
      </c>
      <c r="J398" s="51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46">
        <v>389.0</v>
      </c>
      <c r="C399" s="49" t="s">
        <v>1126</v>
      </c>
      <c r="D399" s="48">
        <v>10000.0</v>
      </c>
      <c r="E399" s="49" t="s">
        <v>1127</v>
      </c>
      <c r="F399" s="49" t="s">
        <v>53</v>
      </c>
      <c r="G399" s="46">
        <v>1989.0</v>
      </c>
      <c r="H399" s="50" t="s">
        <v>313</v>
      </c>
      <c r="I399" s="47" t="s">
        <v>1128</v>
      </c>
      <c r="J399" s="51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46">
        <v>390.0</v>
      </c>
      <c r="C400" s="49" t="s">
        <v>1129</v>
      </c>
      <c r="D400" s="48">
        <v>10000.0</v>
      </c>
      <c r="E400" s="49" t="s">
        <v>1130</v>
      </c>
      <c r="F400" s="49" t="s">
        <v>262</v>
      </c>
      <c r="G400" s="46">
        <v>1991.0</v>
      </c>
      <c r="H400" s="50" t="s">
        <v>313</v>
      </c>
      <c r="I400" s="47" t="s">
        <v>1131</v>
      </c>
      <c r="J400" s="51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46">
        <v>391.0</v>
      </c>
      <c r="C401" s="49" t="s">
        <v>1132</v>
      </c>
      <c r="D401" s="48">
        <v>10000.0</v>
      </c>
      <c r="E401" s="49" t="s">
        <v>1133</v>
      </c>
      <c r="F401" s="49" t="s">
        <v>173</v>
      </c>
      <c r="G401" s="46">
        <v>1994.0</v>
      </c>
      <c r="H401" s="50" t="s">
        <v>313</v>
      </c>
      <c r="I401" s="47" t="s">
        <v>1134</v>
      </c>
      <c r="J401" s="51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46">
        <v>392.0</v>
      </c>
      <c r="C402" s="49" t="s">
        <v>1135</v>
      </c>
      <c r="D402" s="48">
        <v>10000.0</v>
      </c>
      <c r="E402" s="49" t="s">
        <v>513</v>
      </c>
      <c r="F402" s="49" t="s">
        <v>153</v>
      </c>
      <c r="G402" s="46">
        <v>1995.0</v>
      </c>
      <c r="H402" s="50" t="s">
        <v>313</v>
      </c>
      <c r="I402" s="47" t="s">
        <v>1136</v>
      </c>
      <c r="J402" s="51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46">
        <v>393.0</v>
      </c>
      <c r="C403" s="49" t="s">
        <v>1137</v>
      </c>
      <c r="D403" s="48">
        <v>10000.0</v>
      </c>
      <c r="E403" s="49" t="s">
        <v>1138</v>
      </c>
      <c r="F403" s="49" t="s">
        <v>65</v>
      </c>
      <c r="G403" s="46">
        <v>1997.0</v>
      </c>
      <c r="H403" s="50" t="s">
        <v>606</v>
      </c>
      <c r="I403" s="47" t="s">
        <v>1139</v>
      </c>
      <c r="J403" s="51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46">
        <v>394.0</v>
      </c>
      <c r="C404" s="49" t="s">
        <v>1140</v>
      </c>
      <c r="D404" s="48">
        <v>10000.0</v>
      </c>
      <c r="E404" s="49" t="s">
        <v>380</v>
      </c>
      <c r="F404" s="49" t="s">
        <v>247</v>
      </c>
      <c r="G404" s="46">
        <v>1998.0</v>
      </c>
      <c r="H404" s="50" t="s">
        <v>313</v>
      </c>
      <c r="I404" s="55"/>
      <c r="J404" s="51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46">
        <v>395.0</v>
      </c>
      <c r="C405" s="49" t="s">
        <v>1141</v>
      </c>
      <c r="D405" s="48">
        <v>10000.0</v>
      </c>
      <c r="E405" s="49" t="s">
        <v>307</v>
      </c>
      <c r="F405" s="49" t="s">
        <v>69</v>
      </c>
      <c r="G405" s="46">
        <v>2000.0</v>
      </c>
      <c r="H405" s="50" t="s">
        <v>1142</v>
      </c>
      <c r="I405" s="47" t="s">
        <v>1143</v>
      </c>
      <c r="J405" s="51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52">
        <v>396.0</v>
      </c>
      <c r="C406" s="49" t="s">
        <v>1144</v>
      </c>
      <c r="D406" s="53">
        <v>10000.0</v>
      </c>
      <c r="E406" s="49" t="s">
        <v>1145</v>
      </c>
      <c r="F406" s="49" t="s">
        <v>153</v>
      </c>
      <c r="G406" s="52">
        <v>2002.0</v>
      </c>
      <c r="H406" s="54" t="s">
        <v>579</v>
      </c>
      <c r="I406" s="47" t="s">
        <v>1146</v>
      </c>
      <c r="J406" s="51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46">
        <v>397.0</v>
      </c>
      <c r="C407" s="49" t="s">
        <v>1147</v>
      </c>
      <c r="D407" s="48">
        <v>10000.0</v>
      </c>
      <c r="E407" s="49" t="s">
        <v>190</v>
      </c>
      <c r="F407" s="49" t="s">
        <v>69</v>
      </c>
      <c r="G407" s="46">
        <v>2015.0</v>
      </c>
      <c r="H407" s="50" t="s">
        <v>313</v>
      </c>
      <c r="I407" s="47" t="s">
        <v>1148</v>
      </c>
      <c r="J407" s="51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46">
        <v>398.0</v>
      </c>
      <c r="C408" s="49" t="s">
        <v>1149</v>
      </c>
      <c r="D408" s="48">
        <v>10000.0</v>
      </c>
      <c r="E408" s="49" t="s">
        <v>1150</v>
      </c>
      <c r="F408" s="49" t="s">
        <v>247</v>
      </c>
      <c r="G408" s="46">
        <v>2021.0</v>
      </c>
      <c r="H408" s="50" t="s">
        <v>579</v>
      </c>
      <c r="I408" s="47" t="s">
        <v>1151</v>
      </c>
      <c r="J408" s="51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46">
        <v>399.0</v>
      </c>
      <c r="C409" s="49" t="s">
        <v>1152</v>
      </c>
      <c r="D409" s="48">
        <v>10000.0</v>
      </c>
      <c r="E409" s="49" t="s">
        <v>239</v>
      </c>
      <c r="F409" s="49" t="s">
        <v>61</v>
      </c>
      <c r="G409" s="42"/>
      <c r="H409" s="50" t="s">
        <v>169</v>
      </c>
      <c r="I409" s="55"/>
      <c r="J409" s="51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46">
        <v>400.0</v>
      </c>
      <c r="C410" s="47" t="s">
        <v>1153</v>
      </c>
      <c r="D410" s="48">
        <v>10000.0</v>
      </c>
      <c r="E410" s="49" t="s">
        <v>1154</v>
      </c>
      <c r="F410" s="49" t="s">
        <v>76</v>
      </c>
      <c r="G410" s="42"/>
      <c r="H410" s="50" t="s">
        <v>1155</v>
      </c>
      <c r="I410" s="55"/>
      <c r="J410" s="51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46">
        <v>401.0</v>
      </c>
      <c r="C411" s="49" t="s">
        <v>1156</v>
      </c>
      <c r="D411" s="48">
        <v>10000.0</v>
      </c>
      <c r="E411" s="49" t="s">
        <v>297</v>
      </c>
      <c r="F411" s="49" t="s">
        <v>48</v>
      </c>
      <c r="G411" s="42"/>
      <c r="H411" s="50" t="s">
        <v>1155</v>
      </c>
      <c r="I411" s="55"/>
      <c r="J411" s="51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46">
        <v>402.0</v>
      </c>
      <c r="C412" s="49" t="s">
        <v>1157</v>
      </c>
      <c r="D412" s="48">
        <v>10000.0</v>
      </c>
      <c r="E412" s="49" t="s">
        <v>1158</v>
      </c>
      <c r="F412" s="49" t="s">
        <v>184</v>
      </c>
      <c r="G412" s="46">
        <v>1952.0</v>
      </c>
      <c r="H412" s="50" t="s">
        <v>169</v>
      </c>
      <c r="I412" s="55"/>
      <c r="J412" s="51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46">
        <v>403.0</v>
      </c>
      <c r="C413" s="49" t="s">
        <v>1159</v>
      </c>
      <c r="D413" s="48">
        <v>10000.0</v>
      </c>
      <c r="E413" s="49" t="s">
        <v>1160</v>
      </c>
      <c r="F413" s="49" t="s">
        <v>143</v>
      </c>
      <c r="G413" s="46">
        <v>1949.0</v>
      </c>
      <c r="H413" s="50" t="s">
        <v>313</v>
      </c>
      <c r="I413" s="47" t="s">
        <v>1161</v>
      </c>
      <c r="J413" s="51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46">
        <v>404.0</v>
      </c>
      <c r="C414" s="49" t="s">
        <v>1162</v>
      </c>
      <c r="D414" s="48">
        <v>10000.0</v>
      </c>
      <c r="E414" s="49" t="s">
        <v>1163</v>
      </c>
      <c r="F414" s="49" t="s">
        <v>135</v>
      </c>
      <c r="G414" s="46">
        <v>1930.0</v>
      </c>
      <c r="H414" s="50" t="s">
        <v>49</v>
      </c>
      <c r="I414" s="47" t="s">
        <v>1164</v>
      </c>
      <c r="J414" s="51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46">
        <v>405.0</v>
      </c>
      <c r="C415" s="49" t="s">
        <v>1165</v>
      </c>
      <c r="D415" s="48">
        <v>10000.0</v>
      </c>
      <c r="E415" s="49" t="s">
        <v>1166</v>
      </c>
      <c r="F415" s="49" t="s">
        <v>48</v>
      </c>
      <c r="G415" s="46">
        <v>1994.0</v>
      </c>
      <c r="H415" s="50" t="s">
        <v>313</v>
      </c>
      <c r="I415" s="47" t="s">
        <v>1167</v>
      </c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46">
        <v>406.0</v>
      </c>
      <c r="C416" s="49" t="s">
        <v>1168</v>
      </c>
      <c r="D416" s="48">
        <v>10000.0</v>
      </c>
      <c r="E416" s="49" t="s">
        <v>1169</v>
      </c>
      <c r="F416" s="49" t="s">
        <v>236</v>
      </c>
      <c r="G416" s="42"/>
      <c r="H416" s="50" t="s">
        <v>49</v>
      </c>
      <c r="I416" s="49" t="s">
        <v>1170</v>
      </c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7"/>
      <c r="C417" s="34"/>
      <c r="D417" s="38"/>
      <c r="E417" s="34"/>
      <c r="F417" s="34"/>
      <c r="G417" s="37"/>
      <c r="H417" s="34"/>
      <c r="I417" s="34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7"/>
      <c r="C418" s="15" t="s">
        <v>13</v>
      </c>
      <c r="D418" s="59">
        <f>SUM(D11:D416)</f>
        <v>13396158</v>
      </c>
      <c r="E418" s="34"/>
      <c r="F418" s="34"/>
      <c r="G418" s="37"/>
      <c r="H418" s="34"/>
      <c r="I418" s="34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7"/>
      <c r="C419" s="24" t="s">
        <v>22</v>
      </c>
      <c r="D419" s="60">
        <f>(0.5+0.75)/2</f>
        <v>0.625</v>
      </c>
      <c r="E419" s="34"/>
      <c r="F419" s="34"/>
      <c r="G419" s="37"/>
      <c r="H419" s="34"/>
      <c r="I419" s="34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7"/>
      <c r="C420" s="24" t="s">
        <v>16</v>
      </c>
      <c r="D420" s="61">
        <f>(0.05+0.3)/2</f>
        <v>0.175</v>
      </c>
      <c r="E420" s="34"/>
      <c r="F420" s="34"/>
      <c r="G420" s="37"/>
      <c r="H420" s="34"/>
      <c r="I420" s="34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7"/>
      <c r="C421" s="15" t="s">
        <v>17</v>
      </c>
      <c r="D421" s="28">
        <f>D418*D419*D420</f>
        <v>1465204.781</v>
      </c>
      <c r="E421" s="34"/>
      <c r="F421" s="34"/>
      <c r="G421" s="37"/>
      <c r="H421" s="34"/>
      <c r="I421" s="34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7"/>
      <c r="C422" s="24" t="s">
        <v>18</v>
      </c>
      <c r="D422" s="29">
        <v>4.0</v>
      </c>
      <c r="E422" s="34"/>
      <c r="F422" s="34"/>
      <c r="G422" s="37"/>
      <c r="H422" s="34"/>
      <c r="I422" s="34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7"/>
      <c r="C423" s="15" t="s">
        <v>19</v>
      </c>
      <c r="D423" s="62">
        <f>D421*D422</f>
        <v>5860819.125</v>
      </c>
      <c r="E423" s="34"/>
      <c r="F423" s="34"/>
      <c r="G423" s="37"/>
      <c r="H423" s="34"/>
      <c r="I423" s="34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7"/>
      <c r="C424" s="15" t="s">
        <v>20</v>
      </c>
      <c r="D424" s="31">
        <f>D423*12</f>
        <v>70329829.5</v>
      </c>
      <c r="E424" s="34"/>
      <c r="F424" s="34"/>
      <c r="G424" s="37"/>
      <c r="H424" s="34"/>
      <c r="I424" s="34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7"/>
      <c r="C425" s="34"/>
      <c r="D425" s="63"/>
      <c r="E425" s="34"/>
      <c r="F425" s="34"/>
      <c r="G425" s="37"/>
      <c r="H425" s="34"/>
      <c r="I425" s="34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7"/>
      <c r="C426" s="33" t="s">
        <v>1171</v>
      </c>
      <c r="D426" s="38"/>
      <c r="E426" s="34"/>
      <c r="F426" s="34"/>
      <c r="G426" s="37"/>
      <c r="H426" s="34"/>
      <c r="I426" s="34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7"/>
      <c r="C427" s="34"/>
      <c r="D427" s="38"/>
      <c r="E427" s="34"/>
      <c r="F427" s="34"/>
      <c r="G427" s="37"/>
      <c r="H427" s="34"/>
      <c r="I427" s="34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7"/>
      <c r="C428" s="24" t="s">
        <v>1172</v>
      </c>
      <c r="D428" s="38"/>
      <c r="E428" s="34"/>
      <c r="F428" s="34"/>
      <c r="G428" s="37"/>
      <c r="H428" s="34"/>
      <c r="I428" s="34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7"/>
      <c r="C429" s="24" t="s">
        <v>1173</v>
      </c>
      <c r="D429" s="38"/>
      <c r="E429" s="34"/>
      <c r="F429" s="34"/>
      <c r="G429" s="37"/>
      <c r="H429" s="34"/>
      <c r="I429" s="34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7"/>
      <c r="C430" s="24" t="s">
        <v>1174</v>
      </c>
      <c r="D430" s="38"/>
      <c r="E430" s="34"/>
      <c r="F430" s="34"/>
      <c r="G430" s="37"/>
      <c r="H430" s="34"/>
      <c r="I430" s="34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7"/>
      <c r="C431" s="24" t="s">
        <v>1175</v>
      </c>
      <c r="D431" s="38"/>
      <c r="E431" s="34"/>
      <c r="F431" s="34"/>
      <c r="G431" s="37"/>
      <c r="H431" s="34"/>
      <c r="I431" s="34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7"/>
      <c r="C432" s="34"/>
      <c r="D432" s="38"/>
      <c r="E432" s="34"/>
      <c r="F432" s="34"/>
      <c r="G432" s="37"/>
      <c r="H432" s="34"/>
      <c r="I432" s="34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7"/>
      <c r="C433" s="34"/>
      <c r="D433" s="38"/>
      <c r="E433" s="34"/>
      <c r="F433" s="34"/>
      <c r="G433" s="37"/>
      <c r="H433" s="34"/>
      <c r="I433" s="34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7"/>
      <c r="C434" s="34"/>
      <c r="D434" s="38"/>
      <c r="E434" s="34"/>
      <c r="F434" s="34"/>
      <c r="G434" s="37"/>
      <c r="H434" s="34"/>
      <c r="I434" s="34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7"/>
      <c r="C435" s="34"/>
      <c r="D435" s="38"/>
      <c r="E435" s="34"/>
      <c r="F435" s="34"/>
      <c r="G435" s="37"/>
      <c r="H435" s="34"/>
      <c r="I435" s="34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7"/>
      <c r="C436" s="34"/>
      <c r="D436" s="38"/>
      <c r="E436" s="34"/>
      <c r="F436" s="34"/>
      <c r="G436" s="37"/>
      <c r="H436" s="34"/>
      <c r="I436" s="34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7"/>
      <c r="C437" s="34"/>
      <c r="D437" s="38"/>
      <c r="E437" s="34"/>
      <c r="F437" s="34"/>
      <c r="G437" s="37"/>
      <c r="H437" s="34"/>
      <c r="I437" s="34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7"/>
      <c r="C438" s="34"/>
      <c r="D438" s="38"/>
      <c r="E438" s="34"/>
      <c r="F438" s="34"/>
      <c r="G438" s="37"/>
      <c r="H438" s="34"/>
      <c r="I438" s="34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7"/>
      <c r="C439" s="34"/>
      <c r="D439" s="38"/>
      <c r="E439" s="34"/>
      <c r="F439" s="34"/>
      <c r="G439" s="37"/>
      <c r="H439" s="34"/>
      <c r="I439" s="34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7"/>
      <c r="C440" s="34"/>
      <c r="D440" s="38"/>
      <c r="E440" s="34"/>
      <c r="F440" s="34"/>
      <c r="G440" s="37"/>
      <c r="H440" s="34"/>
      <c r="I440" s="34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7"/>
      <c r="C441" s="34"/>
      <c r="D441" s="38"/>
      <c r="E441" s="34"/>
      <c r="F441" s="34"/>
      <c r="G441" s="37"/>
      <c r="H441" s="34"/>
      <c r="I441" s="34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7"/>
      <c r="C442" s="34"/>
      <c r="D442" s="38"/>
      <c r="E442" s="34"/>
      <c r="F442" s="34"/>
      <c r="G442" s="37"/>
      <c r="H442" s="34"/>
      <c r="I442" s="34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7"/>
      <c r="C443" s="34"/>
      <c r="D443" s="38"/>
      <c r="E443" s="34"/>
      <c r="F443" s="34"/>
      <c r="G443" s="37"/>
      <c r="H443" s="34"/>
      <c r="I443" s="34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7"/>
      <c r="C444" s="34"/>
      <c r="D444" s="38"/>
      <c r="E444" s="34"/>
      <c r="F444" s="34"/>
      <c r="G444" s="37"/>
      <c r="H444" s="34"/>
      <c r="I444" s="34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7"/>
      <c r="C445" s="34"/>
      <c r="D445" s="38"/>
      <c r="E445" s="34"/>
      <c r="F445" s="34"/>
      <c r="G445" s="37"/>
      <c r="H445" s="34"/>
      <c r="I445" s="34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7"/>
      <c r="C446" s="34"/>
      <c r="D446" s="38"/>
      <c r="E446" s="34"/>
      <c r="F446" s="34"/>
      <c r="G446" s="37"/>
      <c r="H446" s="34"/>
      <c r="I446" s="34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7"/>
      <c r="C447" s="34"/>
      <c r="D447" s="38"/>
      <c r="E447" s="34"/>
      <c r="F447" s="34"/>
      <c r="G447" s="37"/>
      <c r="H447" s="34"/>
      <c r="I447" s="34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7"/>
      <c r="C448" s="34"/>
      <c r="D448" s="38"/>
      <c r="E448" s="34"/>
      <c r="F448" s="34"/>
      <c r="G448" s="37"/>
      <c r="H448" s="34"/>
      <c r="I448" s="34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7"/>
      <c r="C449" s="34"/>
      <c r="D449" s="38"/>
      <c r="E449" s="34"/>
      <c r="F449" s="34"/>
      <c r="G449" s="37"/>
      <c r="H449" s="34"/>
      <c r="I449" s="34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7"/>
      <c r="C450" s="34"/>
      <c r="D450" s="38"/>
      <c r="E450" s="34"/>
      <c r="F450" s="34"/>
      <c r="G450" s="37"/>
      <c r="H450" s="34"/>
      <c r="I450" s="34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7"/>
      <c r="C451" s="34"/>
      <c r="D451" s="38"/>
      <c r="E451" s="34"/>
      <c r="F451" s="34"/>
      <c r="G451" s="37"/>
      <c r="H451" s="34"/>
      <c r="I451" s="34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7"/>
      <c r="C452" s="34"/>
      <c r="D452" s="38"/>
      <c r="E452" s="34"/>
      <c r="F452" s="34"/>
      <c r="G452" s="37"/>
      <c r="H452" s="34"/>
      <c r="I452" s="34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7"/>
      <c r="C453" s="34"/>
      <c r="D453" s="38"/>
      <c r="E453" s="34"/>
      <c r="F453" s="34"/>
      <c r="G453" s="37"/>
      <c r="H453" s="34"/>
      <c r="I453" s="34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7"/>
      <c r="C454" s="34"/>
      <c r="D454" s="38"/>
      <c r="E454" s="34"/>
      <c r="F454" s="34"/>
      <c r="G454" s="37"/>
      <c r="H454" s="34"/>
      <c r="I454" s="34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7"/>
      <c r="C455" s="34"/>
      <c r="D455" s="38"/>
      <c r="E455" s="34"/>
      <c r="F455" s="34"/>
      <c r="G455" s="37"/>
      <c r="H455" s="34"/>
      <c r="I455" s="34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7"/>
      <c r="C456" s="34"/>
      <c r="D456" s="38"/>
      <c r="E456" s="34"/>
      <c r="F456" s="34"/>
      <c r="G456" s="37"/>
      <c r="H456" s="34"/>
      <c r="I456" s="34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7"/>
      <c r="C457" s="34"/>
      <c r="D457" s="38"/>
      <c r="E457" s="34"/>
      <c r="F457" s="34"/>
      <c r="G457" s="37"/>
      <c r="H457" s="34"/>
      <c r="I457" s="34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7"/>
      <c r="C458" s="34"/>
      <c r="D458" s="38"/>
      <c r="E458" s="34"/>
      <c r="F458" s="34"/>
      <c r="G458" s="37"/>
      <c r="H458" s="34"/>
      <c r="I458" s="34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7"/>
      <c r="C459" s="34"/>
      <c r="D459" s="38"/>
      <c r="E459" s="34"/>
      <c r="F459" s="34"/>
      <c r="G459" s="37"/>
      <c r="H459" s="34"/>
      <c r="I459" s="34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7"/>
      <c r="C460" s="34"/>
      <c r="D460" s="38"/>
      <c r="E460" s="34"/>
      <c r="F460" s="34"/>
      <c r="G460" s="37"/>
      <c r="H460" s="34"/>
      <c r="I460" s="34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7"/>
      <c r="C461" s="34"/>
      <c r="D461" s="38"/>
      <c r="E461" s="34"/>
      <c r="F461" s="34"/>
      <c r="G461" s="37"/>
      <c r="H461" s="34"/>
      <c r="I461" s="34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7"/>
      <c r="C462" s="34"/>
      <c r="D462" s="38"/>
      <c r="E462" s="34"/>
      <c r="F462" s="34"/>
      <c r="G462" s="37"/>
      <c r="H462" s="34"/>
      <c r="I462" s="34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7"/>
      <c r="C463" s="34"/>
      <c r="D463" s="38"/>
      <c r="E463" s="34"/>
      <c r="F463" s="34"/>
      <c r="G463" s="37"/>
      <c r="H463" s="34"/>
      <c r="I463" s="34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7"/>
      <c r="C464" s="34"/>
      <c r="D464" s="38"/>
      <c r="E464" s="34"/>
      <c r="F464" s="34"/>
      <c r="G464" s="37"/>
      <c r="H464" s="34"/>
      <c r="I464" s="34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7"/>
      <c r="C465" s="34"/>
      <c r="D465" s="38"/>
      <c r="E465" s="34"/>
      <c r="F465" s="34"/>
      <c r="G465" s="37"/>
      <c r="H465" s="34"/>
      <c r="I465" s="34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7"/>
      <c r="C466" s="34"/>
      <c r="D466" s="38"/>
      <c r="E466" s="34"/>
      <c r="F466" s="34"/>
      <c r="G466" s="37"/>
      <c r="H466" s="34"/>
      <c r="I466" s="34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7"/>
      <c r="C467" s="34"/>
      <c r="D467" s="38"/>
      <c r="E467" s="34"/>
      <c r="F467" s="34"/>
      <c r="G467" s="37"/>
      <c r="H467" s="34"/>
      <c r="I467" s="34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7"/>
      <c r="C468" s="34"/>
      <c r="D468" s="38"/>
      <c r="E468" s="34"/>
      <c r="F468" s="34"/>
      <c r="G468" s="37"/>
      <c r="H468" s="34"/>
      <c r="I468" s="34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7"/>
      <c r="C469" s="34"/>
      <c r="D469" s="38"/>
      <c r="E469" s="34"/>
      <c r="F469" s="34"/>
      <c r="G469" s="37"/>
      <c r="H469" s="34"/>
      <c r="I469" s="34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7"/>
      <c r="C470" s="34"/>
      <c r="D470" s="38"/>
      <c r="E470" s="34"/>
      <c r="F470" s="34"/>
      <c r="G470" s="37"/>
      <c r="H470" s="34"/>
      <c r="I470" s="34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7"/>
      <c r="C471" s="34"/>
      <c r="D471" s="38"/>
      <c r="E471" s="34"/>
      <c r="F471" s="34"/>
      <c r="G471" s="37"/>
      <c r="H471" s="34"/>
      <c r="I471" s="34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7"/>
      <c r="C472" s="34"/>
      <c r="D472" s="38"/>
      <c r="E472" s="34"/>
      <c r="F472" s="34"/>
      <c r="G472" s="37"/>
      <c r="H472" s="34"/>
      <c r="I472" s="34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7"/>
      <c r="C473" s="34"/>
      <c r="D473" s="38"/>
      <c r="E473" s="34"/>
      <c r="F473" s="34"/>
      <c r="G473" s="37"/>
      <c r="H473" s="34"/>
      <c r="I473" s="34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7"/>
      <c r="C474" s="34"/>
      <c r="D474" s="38"/>
      <c r="E474" s="34"/>
      <c r="F474" s="34"/>
      <c r="G474" s="37"/>
      <c r="H474" s="34"/>
      <c r="I474" s="34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7"/>
      <c r="C475" s="34"/>
      <c r="D475" s="38"/>
      <c r="E475" s="34"/>
      <c r="F475" s="34"/>
      <c r="G475" s="37"/>
      <c r="H475" s="34"/>
      <c r="I475" s="34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7"/>
      <c r="C476" s="34"/>
      <c r="D476" s="38"/>
      <c r="E476" s="34"/>
      <c r="F476" s="34"/>
      <c r="G476" s="37"/>
      <c r="H476" s="34"/>
      <c r="I476" s="34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7"/>
      <c r="C477" s="34"/>
      <c r="D477" s="38"/>
      <c r="E477" s="34"/>
      <c r="F477" s="34"/>
      <c r="G477" s="37"/>
      <c r="H477" s="34"/>
      <c r="I477" s="34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7"/>
      <c r="C478" s="34"/>
      <c r="D478" s="38"/>
      <c r="E478" s="34"/>
      <c r="F478" s="34"/>
      <c r="G478" s="37"/>
      <c r="H478" s="34"/>
      <c r="I478" s="34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7"/>
      <c r="C479" s="34"/>
      <c r="D479" s="38"/>
      <c r="E479" s="34"/>
      <c r="F479" s="34"/>
      <c r="G479" s="37"/>
      <c r="H479" s="34"/>
      <c r="I479" s="34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7"/>
      <c r="C480" s="34"/>
      <c r="D480" s="38"/>
      <c r="E480" s="34"/>
      <c r="F480" s="34"/>
      <c r="G480" s="37"/>
      <c r="H480" s="34"/>
      <c r="I480" s="34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7"/>
      <c r="C481" s="34"/>
      <c r="D481" s="38"/>
      <c r="E481" s="34"/>
      <c r="F481" s="34"/>
      <c r="G481" s="37"/>
      <c r="H481" s="34"/>
      <c r="I481" s="34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7"/>
      <c r="C482" s="34"/>
      <c r="D482" s="38"/>
      <c r="E482" s="34"/>
      <c r="F482" s="34"/>
      <c r="G482" s="37"/>
      <c r="H482" s="34"/>
      <c r="I482" s="34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7"/>
      <c r="C483" s="34"/>
      <c r="D483" s="38"/>
      <c r="E483" s="34"/>
      <c r="F483" s="34"/>
      <c r="G483" s="37"/>
      <c r="H483" s="34"/>
      <c r="I483" s="34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7"/>
      <c r="C484" s="34"/>
      <c r="D484" s="38"/>
      <c r="E484" s="34"/>
      <c r="F484" s="34"/>
      <c r="G484" s="37"/>
      <c r="H484" s="34"/>
      <c r="I484" s="34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7"/>
      <c r="C485" s="34"/>
      <c r="D485" s="38"/>
      <c r="E485" s="34"/>
      <c r="F485" s="34"/>
      <c r="G485" s="37"/>
      <c r="H485" s="34"/>
      <c r="I485" s="34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7"/>
      <c r="C486" s="34"/>
      <c r="D486" s="38"/>
      <c r="E486" s="34"/>
      <c r="F486" s="34"/>
      <c r="G486" s="37"/>
      <c r="H486" s="34"/>
      <c r="I486" s="34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7"/>
      <c r="C487" s="34"/>
      <c r="D487" s="38"/>
      <c r="E487" s="34"/>
      <c r="F487" s="34"/>
      <c r="G487" s="37"/>
      <c r="H487" s="34"/>
      <c r="I487" s="34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7"/>
      <c r="C488" s="34"/>
      <c r="D488" s="38"/>
      <c r="E488" s="34"/>
      <c r="F488" s="34"/>
      <c r="G488" s="37"/>
      <c r="H488" s="34"/>
      <c r="I488" s="34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7"/>
      <c r="C489" s="34"/>
      <c r="D489" s="38"/>
      <c r="E489" s="34"/>
      <c r="F489" s="34"/>
      <c r="G489" s="37"/>
      <c r="H489" s="34"/>
      <c r="I489" s="34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7"/>
      <c r="C490" s="34"/>
      <c r="D490" s="38"/>
      <c r="E490" s="34"/>
      <c r="F490" s="34"/>
      <c r="G490" s="37"/>
      <c r="H490" s="34"/>
      <c r="I490" s="34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7"/>
      <c r="C491" s="34"/>
      <c r="D491" s="38"/>
      <c r="E491" s="34"/>
      <c r="F491" s="34"/>
      <c r="G491" s="37"/>
      <c r="H491" s="34"/>
      <c r="I491" s="34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7"/>
      <c r="C492" s="34"/>
      <c r="D492" s="38"/>
      <c r="E492" s="34"/>
      <c r="F492" s="34"/>
      <c r="G492" s="37"/>
      <c r="H492" s="34"/>
      <c r="I492" s="34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7"/>
      <c r="C493" s="34"/>
      <c r="D493" s="38"/>
      <c r="E493" s="34"/>
      <c r="F493" s="34"/>
      <c r="G493" s="37"/>
      <c r="H493" s="34"/>
      <c r="I493" s="34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7"/>
      <c r="C494" s="34"/>
      <c r="D494" s="38"/>
      <c r="E494" s="34"/>
      <c r="F494" s="34"/>
      <c r="G494" s="37"/>
      <c r="H494" s="34"/>
      <c r="I494" s="34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7"/>
      <c r="C495" s="34"/>
      <c r="D495" s="38"/>
      <c r="E495" s="34"/>
      <c r="F495" s="34"/>
      <c r="G495" s="37"/>
      <c r="H495" s="34"/>
      <c r="I495" s="34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7"/>
      <c r="C496" s="34"/>
      <c r="D496" s="38"/>
      <c r="E496" s="34"/>
      <c r="F496" s="34"/>
      <c r="G496" s="37"/>
      <c r="H496" s="34"/>
      <c r="I496" s="34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7"/>
      <c r="C497" s="34"/>
      <c r="D497" s="38"/>
      <c r="E497" s="34"/>
      <c r="F497" s="34"/>
      <c r="G497" s="37"/>
      <c r="H497" s="34"/>
      <c r="I497" s="34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7"/>
      <c r="C498" s="34"/>
      <c r="D498" s="38"/>
      <c r="E498" s="34"/>
      <c r="F498" s="34"/>
      <c r="G498" s="37"/>
      <c r="H498" s="34"/>
      <c r="I498" s="34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7"/>
      <c r="C499" s="34"/>
      <c r="D499" s="38"/>
      <c r="E499" s="34"/>
      <c r="F499" s="34"/>
      <c r="G499" s="37"/>
      <c r="H499" s="34"/>
      <c r="I499" s="34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7"/>
      <c r="C500" s="34"/>
      <c r="D500" s="38"/>
      <c r="E500" s="34"/>
      <c r="F500" s="34"/>
      <c r="G500" s="37"/>
      <c r="H500" s="34"/>
      <c r="I500" s="34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7"/>
      <c r="C501" s="34"/>
      <c r="D501" s="38"/>
      <c r="E501" s="34"/>
      <c r="F501" s="34"/>
      <c r="G501" s="37"/>
      <c r="H501" s="34"/>
      <c r="I501" s="34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7"/>
      <c r="C502" s="34"/>
      <c r="D502" s="38"/>
      <c r="E502" s="34"/>
      <c r="F502" s="34"/>
      <c r="G502" s="37"/>
      <c r="H502" s="34"/>
      <c r="I502" s="34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7"/>
      <c r="C503" s="34"/>
      <c r="D503" s="38"/>
      <c r="E503" s="34"/>
      <c r="F503" s="34"/>
      <c r="G503" s="37"/>
      <c r="H503" s="34"/>
      <c r="I503" s="34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7"/>
      <c r="C504" s="34"/>
      <c r="D504" s="38"/>
      <c r="E504" s="34"/>
      <c r="F504" s="34"/>
      <c r="G504" s="37"/>
      <c r="H504" s="34"/>
      <c r="I504" s="34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7"/>
      <c r="C505" s="34"/>
      <c r="D505" s="38"/>
      <c r="E505" s="34"/>
      <c r="F505" s="34"/>
      <c r="G505" s="37"/>
      <c r="H505" s="34"/>
      <c r="I505" s="34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7"/>
      <c r="C506" s="34"/>
      <c r="D506" s="38"/>
      <c r="E506" s="34"/>
      <c r="F506" s="34"/>
      <c r="G506" s="37"/>
      <c r="H506" s="34"/>
      <c r="I506" s="34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7"/>
      <c r="C507" s="34"/>
      <c r="D507" s="38"/>
      <c r="E507" s="34"/>
      <c r="F507" s="34"/>
      <c r="G507" s="37"/>
      <c r="H507" s="34"/>
      <c r="I507" s="34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7"/>
      <c r="C508" s="34"/>
      <c r="D508" s="38"/>
      <c r="E508" s="34"/>
      <c r="F508" s="34"/>
      <c r="G508" s="37"/>
      <c r="H508" s="34"/>
      <c r="I508" s="34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7"/>
      <c r="C509" s="34"/>
      <c r="D509" s="38"/>
      <c r="E509" s="34"/>
      <c r="F509" s="34"/>
      <c r="G509" s="37"/>
      <c r="H509" s="34"/>
      <c r="I509" s="34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7"/>
      <c r="C510" s="34"/>
      <c r="D510" s="38"/>
      <c r="E510" s="34"/>
      <c r="F510" s="34"/>
      <c r="G510" s="37"/>
      <c r="H510" s="34"/>
      <c r="I510" s="34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7"/>
      <c r="C511" s="34"/>
      <c r="D511" s="38"/>
      <c r="E511" s="34"/>
      <c r="F511" s="34"/>
      <c r="G511" s="37"/>
      <c r="H511" s="34"/>
      <c r="I511" s="34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7"/>
      <c r="C512" s="34"/>
      <c r="D512" s="38"/>
      <c r="E512" s="34"/>
      <c r="F512" s="34"/>
      <c r="G512" s="37"/>
      <c r="H512" s="34"/>
      <c r="I512" s="34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7"/>
      <c r="C513" s="34"/>
      <c r="D513" s="38"/>
      <c r="E513" s="34"/>
      <c r="F513" s="34"/>
      <c r="G513" s="37"/>
      <c r="H513" s="34"/>
      <c r="I513" s="34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7"/>
      <c r="C514" s="34"/>
      <c r="D514" s="38"/>
      <c r="E514" s="34"/>
      <c r="F514" s="34"/>
      <c r="G514" s="37"/>
      <c r="H514" s="34"/>
      <c r="I514" s="34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7"/>
      <c r="C515" s="34"/>
      <c r="D515" s="38"/>
      <c r="E515" s="34"/>
      <c r="F515" s="34"/>
      <c r="G515" s="37"/>
      <c r="H515" s="34"/>
      <c r="I515" s="34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7"/>
      <c r="C516" s="34"/>
      <c r="D516" s="38"/>
      <c r="E516" s="34"/>
      <c r="F516" s="34"/>
      <c r="G516" s="37"/>
      <c r="H516" s="34"/>
      <c r="I516" s="34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7"/>
      <c r="C517" s="34"/>
      <c r="D517" s="38"/>
      <c r="E517" s="34"/>
      <c r="F517" s="34"/>
      <c r="G517" s="37"/>
      <c r="H517" s="34"/>
      <c r="I517" s="34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7"/>
      <c r="C518" s="34"/>
      <c r="D518" s="38"/>
      <c r="E518" s="34"/>
      <c r="F518" s="34"/>
      <c r="G518" s="37"/>
      <c r="H518" s="34"/>
      <c r="I518" s="34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7"/>
      <c r="C519" s="34"/>
      <c r="D519" s="38"/>
      <c r="E519" s="34"/>
      <c r="F519" s="34"/>
      <c r="G519" s="37"/>
      <c r="H519" s="34"/>
      <c r="I519" s="34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7"/>
      <c r="C520" s="34"/>
      <c r="D520" s="38"/>
      <c r="E520" s="34"/>
      <c r="F520" s="34"/>
      <c r="G520" s="37"/>
      <c r="H520" s="34"/>
      <c r="I520" s="34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7"/>
      <c r="C521" s="34"/>
      <c r="D521" s="38"/>
      <c r="E521" s="34"/>
      <c r="F521" s="34"/>
      <c r="G521" s="37"/>
      <c r="H521" s="34"/>
      <c r="I521" s="34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7"/>
      <c r="C522" s="34"/>
      <c r="D522" s="38"/>
      <c r="E522" s="34"/>
      <c r="F522" s="34"/>
      <c r="G522" s="37"/>
      <c r="H522" s="34"/>
      <c r="I522" s="34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7"/>
      <c r="C523" s="34"/>
      <c r="D523" s="38"/>
      <c r="E523" s="34"/>
      <c r="F523" s="34"/>
      <c r="G523" s="37"/>
      <c r="H523" s="34"/>
      <c r="I523" s="34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7"/>
      <c r="C524" s="34"/>
      <c r="D524" s="38"/>
      <c r="E524" s="34"/>
      <c r="F524" s="34"/>
      <c r="G524" s="37"/>
      <c r="H524" s="34"/>
      <c r="I524" s="34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7"/>
      <c r="C525" s="34"/>
      <c r="D525" s="38"/>
      <c r="E525" s="34"/>
      <c r="F525" s="34"/>
      <c r="G525" s="37"/>
      <c r="H525" s="34"/>
      <c r="I525" s="34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7"/>
      <c r="C526" s="34"/>
      <c r="D526" s="38"/>
      <c r="E526" s="34"/>
      <c r="F526" s="34"/>
      <c r="G526" s="37"/>
      <c r="H526" s="34"/>
      <c r="I526" s="34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7"/>
      <c r="C527" s="34"/>
      <c r="D527" s="38"/>
      <c r="E527" s="34"/>
      <c r="F527" s="34"/>
      <c r="G527" s="37"/>
      <c r="H527" s="34"/>
      <c r="I527" s="34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7"/>
      <c r="C528" s="34"/>
      <c r="D528" s="38"/>
      <c r="E528" s="34"/>
      <c r="F528" s="34"/>
      <c r="G528" s="37"/>
      <c r="H528" s="34"/>
      <c r="I528" s="34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7"/>
      <c r="C529" s="34"/>
      <c r="D529" s="38"/>
      <c r="E529" s="34"/>
      <c r="F529" s="34"/>
      <c r="G529" s="37"/>
      <c r="H529" s="34"/>
      <c r="I529" s="34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7"/>
      <c r="C530" s="34"/>
      <c r="D530" s="38"/>
      <c r="E530" s="34"/>
      <c r="F530" s="34"/>
      <c r="G530" s="37"/>
      <c r="H530" s="34"/>
      <c r="I530" s="34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7"/>
      <c r="C531" s="34"/>
      <c r="D531" s="38"/>
      <c r="E531" s="34"/>
      <c r="F531" s="34"/>
      <c r="G531" s="37"/>
      <c r="H531" s="34"/>
      <c r="I531" s="34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7"/>
      <c r="C532" s="34"/>
      <c r="D532" s="38"/>
      <c r="E532" s="34"/>
      <c r="F532" s="34"/>
      <c r="G532" s="37"/>
      <c r="H532" s="34"/>
      <c r="I532" s="34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7"/>
      <c r="C533" s="34"/>
      <c r="D533" s="38"/>
      <c r="E533" s="34"/>
      <c r="F533" s="34"/>
      <c r="G533" s="37"/>
      <c r="H533" s="34"/>
      <c r="I533" s="34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7"/>
      <c r="C534" s="34"/>
      <c r="D534" s="38"/>
      <c r="E534" s="34"/>
      <c r="F534" s="34"/>
      <c r="G534" s="37"/>
      <c r="H534" s="34"/>
      <c r="I534" s="34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7"/>
      <c r="C535" s="34"/>
      <c r="D535" s="38"/>
      <c r="E535" s="34"/>
      <c r="F535" s="34"/>
      <c r="G535" s="37"/>
      <c r="H535" s="34"/>
      <c r="I535" s="34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7"/>
      <c r="C536" s="34"/>
      <c r="D536" s="38"/>
      <c r="E536" s="34"/>
      <c r="F536" s="34"/>
      <c r="G536" s="37"/>
      <c r="H536" s="34"/>
      <c r="I536" s="34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7"/>
      <c r="C537" s="34"/>
      <c r="D537" s="38"/>
      <c r="E537" s="34"/>
      <c r="F537" s="34"/>
      <c r="G537" s="37"/>
      <c r="H537" s="34"/>
      <c r="I537" s="34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7"/>
      <c r="C538" s="34"/>
      <c r="D538" s="38"/>
      <c r="E538" s="34"/>
      <c r="F538" s="34"/>
      <c r="G538" s="37"/>
      <c r="H538" s="34"/>
      <c r="I538" s="34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7"/>
      <c r="C539" s="34"/>
      <c r="D539" s="38"/>
      <c r="E539" s="34"/>
      <c r="F539" s="34"/>
      <c r="G539" s="37"/>
      <c r="H539" s="34"/>
      <c r="I539" s="34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7"/>
      <c r="C540" s="34"/>
      <c r="D540" s="38"/>
      <c r="E540" s="34"/>
      <c r="F540" s="34"/>
      <c r="G540" s="37"/>
      <c r="H540" s="34"/>
      <c r="I540" s="34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7"/>
      <c r="C541" s="34"/>
      <c r="D541" s="38"/>
      <c r="E541" s="34"/>
      <c r="F541" s="34"/>
      <c r="G541" s="37"/>
      <c r="H541" s="34"/>
      <c r="I541" s="34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7"/>
      <c r="C542" s="34"/>
      <c r="D542" s="38"/>
      <c r="E542" s="34"/>
      <c r="F542" s="34"/>
      <c r="G542" s="37"/>
      <c r="H542" s="34"/>
      <c r="I542" s="34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7"/>
      <c r="C543" s="34"/>
      <c r="D543" s="38"/>
      <c r="E543" s="34"/>
      <c r="F543" s="34"/>
      <c r="G543" s="37"/>
      <c r="H543" s="34"/>
      <c r="I543" s="34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7"/>
      <c r="C544" s="34"/>
      <c r="D544" s="38"/>
      <c r="E544" s="34"/>
      <c r="F544" s="34"/>
      <c r="G544" s="37"/>
      <c r="H544" s="34"/>
      <c r="I544" s="34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7"/>
      <c r="C545" s="34"/>
      <c r="D545" s="38"/>
      <c r="E545" s="34"/>
      <c r="F545" s="34"/>
      <c r="G545" s="37"/>
      <c r="H545" s="34"/>
      <c r="I545" s="34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7"/>
      <c r="C546" s="34"/>
      <c r="D546" s="38"/>
      <c r="E546" s="34"/>
      <c r="F546" s="34"/>
      <c r="G546" s="37"/>
      <c r="H546" s="34"/>
      <c r="I546" s="34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7"/>
      <c r="C547" s="34"/>
      <c r="D547" s="38"/>
      <c r="E547" s="34"/>
      <c r="F547" s="34"/>
      <c r="G547" s="37"/>
      <c r="H547" s="34"/>
      <c r="I547" s="34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7"/>
      <c r="C548" s="34"/>
      <c r="D548" s="38"/>
      <c r="E548" s="34"/>
      <c r="F548" s="34"/>
      <c r="G548" s="37"/>
      <c r="H548" s="34"/>
      <c r="I548" s="34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7"/>
      <c r="C549" s="34"/>
      <c r="D549" s="38"/>
      <c r="E549" s="34"/>
      <c r="F549" s="34"/>
      <c r="G549" s="37"/>
      <c r="H549" s="34"/>
      <c r="I549" s="34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7"/>
      <c r="C550" s="34"/>
      <c r="D550" s="38"/>
      <c r="E550" s="34"/>
      <c r="F550" s="34"/>
      <c r="G550" s="37"/>
      <c r="H550" s="34"/>
      <c r="I550" s="34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7"/>
      <c r="C551" s="34"/>
      <c r="D551" s="38"/>
      <c r="E551" s="34"/>
      <c r="F551" s="34"/>
      <c r="G551" s="37"/>
      <c r="H551" s="34"/>
      <c r="I551" s="34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7"/>
      <c r="C552" s="34"/>
      <c r="D552" s="38"/>
      <c r="E552" s="34"/>
      <c r="F552" s="34"/>
      <c r="G552" s="37"/>
      <c r="H552" s="34"/>
      <c r="I552" s="34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7"/>
      <c r="C553" s="34"/>
      <c r="D553" s="38"/>
      <c r="E553" s="34"/>
      <c r="F553" s="34"/>
      <c r="G553" s="37"/>
      <c r="H553" s="34"/>
      <c r="I553" s="34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7"/>
      <c r="C554" s="34"/>
      <c r="D554" s="38"/>
      <c r="E554" s="34"/>
      <c r="F554" s="34"/>
      <c r="G554" s="37"/>
      <c r="H554" s="34"/>
      <c r="I554" s="34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7"/>
      <c r="C555" s="34"/>
      <c r="D555" s="38"/>
      <c r="E555" s="34"/>
      <c r="F555" s="34"/>
      <c r="G555" s="37"/>
      <c r="H555" s="34"/>
      <c r="I555" s="34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7"/>
      <c r="C556" s="34"/>
      <c r="D556" s="38"/>
      <c r="E556" s="34"/>
      <c r="F556" s="34"/>
      <c r="G556" s="37"/>
      <c r="H556" s="34"/>
      <c r="I556" s="34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7"/>
      <c r="C557" s="34"/>
      <c r="D557" s="38"/>
      <c r="E557" s="34"/>
      <c r="F557" s="34"/>
      <c r="G557" s="37"/>
      <c r="H557" s="34"/>
      <c r="I557" s="34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7"/>
      <c r="C558" s="34"/>
      <c r="D558" s="38"/>
      <c r="E558" s="34"/>
      <c r="F558" s="34"/>
      <c r="G558" s="37"/>
      <c r="H558" s="34"/>
      <c r="I558" s="34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7"/>
      <c r="C559" s="34"/>
      <c r="D559" s="38"/>
      <c r="E559" s="34"/>
      <c r="F559" s="34"/>
      <c r="G559" s="37"/>
      <c r="H559" s="34"/>
      <c r="I559" s="34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7"/>
      <c r="C560" s="34"/>
      <c r="D560" s="38"/>
      <c r="E560" s="34"/>
      <c r="F560" s="34"/>
      <c r="G560" s="37"/>
      <c r="H560" s="34"/>
      <c r="I560" s="34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7"/>
      <c r="C561" s="34"/>
      <c r="D561" s="38"/>
      <c r="E561" s="34"/>
      <c r="F561" s="34"/>
      <c r="G561" s="37"/>
      <c r="H561" s="34"/>
      <c r="I561" s="34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7"/>
      <c r="C562" s="34"/>
      <c r="D562" s="38"/>
      <c r="E562" s="34"/>
      <c r="F562" s="34"/>
      <c r="G562" s="37"/>
      <c r="H562" s="34"/>
      <c r="I562" s="34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7"/>
      <c r="C563" s="34"/>
      <c r="D563" s="38"/>
      <c r="E563" s="34"/>
      <c r="F563" s="34"/>
      <c r="G563" s="37"/>
      <c r="H563" s="34"/>
      <c r="I563" s="34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7"/>
      <c r="C564" s="34"/>
      <c r="D564" s="38"/>
      <c r="E564" s="34"/>
      <c r="F564" s="34"/>
      <c r="G564" s="37"/>
      <c r="H564" s="34"/>
      <c r="I564" s="34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7"/>
      <c r="C565" s="34"/>
      <c r="D565" s="38"/>
      <c r="E565" s="34"/>
      <c r="F565" s="34"/>
      <c r="G565" s="37"/>
      <c r="H565" s="34"/>
      <c r="I565" s="34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7"/>
      <c r="C566" s="34"/>
      <c r="D566" s="38"/>
      <c r="E566" s="34"/>
      <c r="F566" s="34"/>
      <c r="G566" s="37"/>
      <c r="H566" s="34"/>
      <c r="I566" s="34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7"/>
      <c r="C567" s="34"/>
      <c r="D567" s="38"/>
      <c r="E567" s="34"/>
      <c r="F567" s="34"/>
      <c r="G567" s="37"/>
      <c r="H567" s="34"/>
      <c r="I567" s="34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7"/>
      <c r="C568" s="34"/>
      <c r="D568" s="38"/>
      <c r="E568" s="34"/>
      <c r="F568" s="34"/>
      <c r="G568" s="37"/>
      <c r="H568" s="34"/>
      <c r="I568" s="34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7"/>
      <c r="C569" s="34"/>
      <c r="D569" s="38"/>
      <c r="E569" s="34"/>
      <c r="F569" s="34"/>
      <c r="G569" s="37"/>
      <c r="H569" s="34"/>
      <c r="I569" s="34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7"/>
      <c r="C570" s="34"/>
      <c r="D570" s="38"/>
      <c r="E570" s="34"/>
      <c r="F570" s="34"/>
      <c r="G570" s="37"/>
      <c r="H570" s="34"/>
      <c r="I570" s="34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7"/>
      <c r="C571" s="34"/>
      <c r="D571" s="38"/>
      <c r="E571" s="34"/>
      <c r="F571" s="34"/>
      <c r="G571" s="37"/>
      <c r="H571" s="34"/>
      <c r="I571" s="34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7"/>
      <c r="C572" s="34"/>
      <c r="D572" s="38"/>
      <c r="E572" s="34"/>
      <c r="F572" s="34"/>
      <c r="G572" s="37"/>
      <c r="H572" s="34"/>
      <c r="I572" s="34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7"/>
      <c r="C573" s="34"/>
      <c r="D573" s="38"/>
      <c r="E573" s="34"/>
      <c r="F573" s="34"/>
      <c r="G573" s="37"/>
      <c r="H573" s="34"/>
      <c r="I573" s="34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7"/>
      <c r="C574" s="34"/>
      <c r="D574" s="38"/>
      <c r="E574" s="34"/>
      <c r="F574" s="34"/>
      <c r="G574" s="37"/>
      <c r="H574" s="34"/>
      <c r="I574" s="34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7"/>
      <c r="C575" s="34"/>
      <c r="D575" s="38"/>
      <c r="E575" s="34"/>
      <c r="F575" s="34"/>
      <c r="G575" s="37"/>
      <c r="H575" s="34"/>
      <c r="I575" s="34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7"/>
      <c r="C576" s="34"/>
      <c r="D576" s="38"/>
      <c r="E576" s="34"/>
      <c r="F576" s="34"/>
      <c r="G576" s="37"/>
      <c r="H576" s="34"/>
      <c r="I576" s="34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7"/>
      <c r="C577" s="34"/>
      <c r="D577" s="38"/>
      <c r="E577" s="34"/>
      <c r="F577" s="34"/>
      <c r="G577" s="37"/>
      <c r="H577" s="34"/>
      <c r="I577" s="34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7"/>
      <c r="C578" s="34"/>
      <c r="D578" s="38"/>
      <c r="E578" s="34"/>
      <c r="F578" s="34"/>
      <c r="G578" s="37"/>
      <c r="H578" s="34"/>
      <c r="I578" s="34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7"/>
      <c r="C579" s="34"/>
      <c r="D579" s="38"/>
      <c r="E579" s="34"/>
      <c r="F579" s="34"/>
      <c r="G579" s="37"/>
      <c r="H579" s="34"/>
      <c r="I579" s="34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7"/>
      <c r="C580" s="34"/>
      <c r="D580" s="38"/>
      <c r="E580" s="34"/>
      <c r="F580" s="34"/>
      <c r="G580" s="37"/>
      <c r="H580" s="34"/>
      <c r="I580" s="34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7"/>
      <c r="C581" s="34"/>
      <c r="D581" s="38"/>
      <c r="E581" s="34"/>
      <c r="F581" s="34"/>
      <c r="G581" s="37"/>
      <c r="H581" s="34"/>
      <c r="I581" s="34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7"/>
      <c r="C582" s="34"/>
      <c r="D582" s="38"/>
      <c r="E582" s="34"/>
      <c r="F582" s="34"/>
      <c r="G582" s="37"/>
      <c r="H582" s="34"/>
      <c r="I582" s="34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7"/>
      <c r="C583" s="34"/>
      <c r="D583" s="38"/>
      <c r="E583" s="34"/>
      <c r="F583" s="34"/>
      <c r="G583" s="37"/>
      <c r="H583" s="34"/>
      <c r="I583" s="34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7"/>
      <c r="C584" s="34"/>
      <c r="D584" s="38"/>
      <c r="E584" s="34"/>
      <c r="F584" s="34"/>
      <c r="G584" s="37"/>
      <c r="H584" s="34"/>
      <c r="I584" s="34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7"/>
      <c r="C585" s="34"/>
      <c r="D585" s="38"/>
      <c r="E585" s="34"/>
      <c r="F585" s="34"/>
      <c r="G585" s="37"/>
      <c r="H585" s="34"/>
      <c r="I585" s="34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7"/>
      <c r="C586" s="34"/>
      <c r="D586" s="38"/>
      <c r="E586" s="34"/>
      <c r="F586" s="34"/>
      <c r="G586" s="37"/>
      <c r="H586" s="34"/>
      <c r="I586" s="34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7"/>
      <c r="C587" s="34"/>
      <c r="D587" s="38"/>
      <c r="E587" s="34"/>
      <c r="F587" s="34"/>
      <c r="G587" s="37"/>
      <c r="H587" s="34"/>
      <c r="I587" s="34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7"/>
      <c r="C588" s="34"/>
      <c r="D588" s="38"/>
      <c r="E588" s="34"/>
      <c r="F588" s="34"/>
      <c r="G588" s="37"/>
      <c r="H588" s="34"/>
      <c r="I588" s="34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7"/>
      <c r="C589" s="34"/>
      <c r="D589" s="38"/>
      <c r="E589" s="34"/>
      <c r="F589" s="34"/>
      <c r="G589" s="37"/>
      <c r="H589" s="34"/>
      <c r="I589" s="34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7"/>
      <c r="C590" s="34"/>
      <c r="D590" s="38"/>
      <c r="E590" s="34"/>
      <c r="F590" s="34"/>
      <c r="G590" s="37"/>
      <c r="H590" s="34"/>
      <c r="I590" s="34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7"/>
      <c r="C591" s="34"/>
      <c r="D591" s="38"/>
      <c r="E591" s="34"/>
      <c r="F591" s="34"/>
      <c r="G591" s="37"/>
      <c r="H591" s="34"/>
      <c r="I591" s="34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7"/>
      <c r="C592" s="34"/>
      <c r="D592" s="38"/>
      <c r="E592" s="34"/>
      <c r="F592" s="34"/>
      <c r="G592" s="37"/>
      <c r="H592" s="34"/>
      <c r="I592" s="34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7"/>
      <c r="C593" s="34"/>
      <c r="D593" s="38"/>
      <c r="E593" s="34"/>
      <c r="F593" s="34"/>
      <c r="G593" s="37"/>
      <c r="H593" s="34"/>
      <c r="I593" s="34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7"/>
      <c r="C594" s="34"/>
      <c r="D594" s="38"/>
      <c r="E594" s="34"/>
      <c r="F594" s="34"/>
      <c r="G594" s="37"/>
      <c r="H594" s="34"/>
      <c r="I594" s="34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7"/>
      <c r="C595" s="34"/>
      <c r="D595" s="38"/>
      <c r="E595" s="34"/>
      <c r="F595" s="34"/>
      <c r="G595" s="37"/>
      <c r="H595" s="34"/>
      <c r="I595" s="34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7"/>
      <c r="C596" s="34"/>
      <c r="D596" s="38"/>
      <c r="E596" s="34"/>
      <c r="F596" s="34"/>
      <c r="G596" s="37"/>
      <c r="H596" s="34"/>
      <c r="I596" s="34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7"/>
      <c r="C597" s="34"/>
      <c r="D597" s="38"/>
      <c r="E597" s="34"/>
      <c r="F597" s="34"/>
      <c r="G597" s="37"/>
      <c r="H597" s="34"/>
      <c r="I597" s="34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7"/>
      <c r="C598" s="34"/>
      <c r="D598" s="38"/>
      <c r="E598" s="34"/>
      <c r="F598" s="34"/>
      <c r="G598" s="37"/>
      <c r="H598" s="34"/>
      <c r="I598" s="34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7"/>
      <c r="C599" s="34"/>
      <c r="D599" s="38"/>
      <c r="E599" s="34"/>
      <c r="F599" s="34"/>
      <c r="G599" s="37"/>
      <c r="H599" s="34"/>
      <c r="I599" s="34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7"/>
      <c r="C600" s="34"/>
      <c r="D600" s="38"/>
      <c r="E600" s="34"/>
      <c r="F600" s="34"/>
      <c r="G600" s="37"/>
      <c r="H600" s="34"/>
      <c r="I600" s="34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7"/>
      <c r="C601" s="34"/>
      <c r="D601" s="38"/>
      <c r="E601" s="34"/>
      <c r="F601" s="34"/>
      <c r="G601" s="37"/>
      <c r="H601" s="34"/>
      <c r="I601" s="34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7"/>
      <c r="C602" s="34"/>
      <c r="D602" s="38"/>
      <c r="E602" s="34"/>
      <c r="F602" s="34"/>
      <c r="G602" s="37"/>
      <c r="H602" s="34"/>
      <c r="I602" s="34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7"/>
      <c r="C603" s="34"/>
      <c r="D603" s="38"/>
      <c r="E603" s="34"/>
      <c r="F603" s="34"/>
      <c r="G603" s="37"/>
      <c r="H603" s="34"/>
      <c r="I603" s="34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7"/>
      <c r="C604" s="34"/>
      <c r="D604" s="38"/>
      <c r="E604" s="34"/>
      <c r="F604" s="34"/>
      <c r="G604" s="37"/>
      <c r="H604" s="34"/>
      <c r="I604" s="34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7"/>
      <c r="C605" s="34"/>
      <c r="D605" s="38"/>
      <c r="E605" s="34"/>
      <c r="F605" s="34"/>
      <c r="G605" s="37"/>
      <c r="H605" s="34"/>
      <c r="I605" s="34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7"/>
      <c r="C606" s="34"/>
      <c r="D606" s="38"/>
      <c r="E606" s="34"/>
      <c r="F606" s="34"/>
      <c r="G606" s="37"/>
      <c r="H606" s="34"/>
      <c r="I606" s="34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7"/>
      <c r="C607" s="34"/>
      <c r="D607" s="38"/>
      <c r="E607" s="34"/>
      <c r="F607" s="34"/>
      <c r="G607" s="37"/>
      <c r="H607" s="34"/>
      <c r="I607" s="34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7"/>
      <c r="C608" s="34"/>
      <c r="D608" s="38"/>
      <c r="E608" s="34"/>
      <c r="F608" s="34"/>
      <c r="G608" s="37"/>
      <c r="H608" s="34"/>
      <c r="I608" s="34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7"/>
      <c r="C609" s="34"/>
      <c r="D609" s="38"/>
      <c r="E609" s="34"/>
      <c r="F609" s="34"/>
      <c r="G609" s="37"/>
      <c r="H609" s="34"/>
      <c r="I609" s="34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7"/>
      <c r="C610" s="34"/>
      <c r="D610" s="38"/>
      <c r="E610" s="34"/>
      <c r="F610" s="34"/>
      <c r="G610" s="37"/>
      <c r="H610" s="34"/>
      <c r="I610" s="34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7"/>
      <c r="C611" s="34"/>
      <c r="D611" s="38"/>
      <c r="E611" s="34"/>
      <c r="F611" s="34"/>
      <c r="G611" s="37"/>
      <c r="H611" s="34"/>
      <c r="I611" s="34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7"/>
      <c r="C612" s="34"/>
      <c r="D612" s="38"/>
      <c r="E612" s="34"/>
      <c r="F612" s="34"/>
      <c r="G612" s="37"/>
      <c r="H612" s="34"/>
      <c r="I612" s="34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7"/>
      <c r="C613" s="34"/>
      <c r="D613" s="38"/>
      <c r="E613" s="34"/>
      <c r="F613" s="34"/>
      <c r="G613" s="37"/>
      <c r="H613" s="34"/>
      <c r="I613" s="34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7"/>
      <c r="C614" s="34"/>
      <c r="D614" s="38"/>
      <c r="E614" s="34"/>
      <c r="F614" s="34"/>
      <c r="G614" s="37"/>
      <c r="H614" s="34"/>
      <c r="I614" s="34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7"/>
      <c r="C615" s="34"/>
      <c r="D615" s="38"/>
      <c r="E615" s="34"/>
      <c r="F615" s="34"/>
      <c r="G615" s="37"/>
      <c r="H615" s="34"/>
      <c r="I615" s="34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7"/>
      <c r="C616" s="34"/>
      <c r="D616" s="38"/>
      <c r="E616" s="34"/>
      <c r="F616" s="34"/>
      <c r="G616" s="37"/>
      <c r="H616" s="34"/>
      <c r="I616" s="34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7"/>
      <c r="C617" s="34"/>
      <c r="D617" s="38"/>
      <c r="E617" s="34"/>
      <c r="F617" s="34"/>
      <c r="G617" s="37"/>
      <c r="H617" s="34"/>
      <c r="I617" s="34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7"/>
      <c r="C618" s="34"/>
      <c r="D618" s="38"/>
      <c r="E618" s="34"/>
      <c r="F618" s="34"/>
      <c r="G618" s="37"/>
      <c r="H618" s="34"/>
      <c r="I618" s="34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7"/>
      <c r="C619" s="34"/>
      <c r="D619" s="38"/>
      <c r="E619" s="34"/>
      <c r="F619" s="34"/>
      <c r="G619" s="37"/>
      <c r="H619" s="34"/>
      <c r="I619" s="34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7"/>
      <c r="C620" s="34"/>
      <c r="D620" s="38"/>
      <c r="E620" s="34"/>
      <c r="F620" s="34"/>
      <c r="G620" s="37"/>
      <c r="H620" s="34"/>
      <c r="I620" s="34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7"/>
      <c r="C621" s="34"/>
      <c r="D621" s="38"/>
      <c r="E621" s="34"/>
      <c r="F621" s="34"/>
      <c r="G621" s="37"/>
      <c r="H621" s="34"/>
      <c r="I621" s="34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7"/>
      <c r="C622" s="34"/>
      <c r="D622" s="38"/>
      <c r="E622" s="34"/>
      <c r="F622" s="34"/>
      <c r="G622" s="37"/>
      <c r="H622" s="34"/>
      <c r="I622" s="34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7"/>
      <c r="C623" s="34"/>
      <c r="D623" s="38"/>
      <c r="E623" s="34"/>
      <c r="F623" s="34"/>
      <c r="G623" s="37"/>
      <c r="H623" s="34"/>
      <c r="I623" s="34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7"/>
      <c r="C624" s="34"/>
      <c r="D624" s="38"/>
      <c r="E624" s="34"/>
      <c r="F624" s="34"/>
      <c r="G624" s="37"/>
      <c r="H624" s="34"/>
      <c r="I624" s="34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7"/>
      <c r="C625" s="34"/>
      <c r="D625" s="38"/>
      <c r="E625" s="34"/>
      <c r="F625" s="34"/>
      <c r="G625" s="37"/>
      <c r="H625" s="34"/>
      <c r="I625" s="34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7"/>
      <c r="C626" s="34"/>
      <c r="D626" s="38"/>
      <c r="E626" s="34"/>
      <c r="F626" s="34"/>
      <c r="G626" s="37"/>
      <c r="H626" s="34"/>
      <c r="I626" s="34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7"/>
      <c r="C627" s="34"/>
      <c r="D627" s="38"/>
      <c r="E627" s="34"/>
      <c r="F627" s="34"/>
      <c r="G627" s="37"/>
      <c r="H627" s="34"/>
      <c r="I627" s="34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7"/>
      <c r="C628" s="34"/>
      <c r="D628" s="38"/>
      <c r="E628" s="34"/>
      <c r="F628" s="34"/>
      <c r="G628" s="37"/>
      <c r="H628" s="34"/>
      <c r="I628" s="34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7"/>
      <c r="C629" s="34"/>
      <c r="D629" s="38"/>
      <c r="E629" s="34"/>
      <c r="F629" s="34"/>
      <c r="G629" s="37"/>
      <c r="H629" s="34"/>
      <c r="I629" s="34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7"/>
      <c r="C630" s="34"/>
      <c r="D630" s="38"/>
      <c r="E630" s="34"/>
      <c r="F630" s="34"/>
      <c r="G630" s="37"/>
      <c r="H630" s="34"/>
      <c r="I630" s="34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7"/>
      <c r="C631" s="34"/>
      <c r="D631" s="38"/>
      <c r="E631" s="34"/>
      <c r="F631" s="34"/>
      <c r="G631" s="37"/>
      <c r="H631" s="34"/>
      <c r="I631" s="34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7"/>
      <c r="C632" s="34"/>
      <c r="D632" s="38"/>
      <c r="E632" s="34"/>
      <c r="F632" s="34"/>
      <c r="G632" s="37"/>
      <c r="H632" s="34"/>
      <c r="I632" s="34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7"/>
      <c r="C633" s="34"/>
      <c r="D633" s="38"/>
      <c r="E633" s="34"/>
      <c r="F633" s="34"/>
      <c r="G633" s="37"/>
      <c r="H633" s="34"/>
      <c r="I633" s="34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7"/>
      <c r="C634" s="34"/>
      <c r="D634" s="38"/>
      <c r="E634" s="34"/>
      <c r="F634" s="34"/>
      <c r="G634" s="37"/>
      <c r="H634" s="34"/>
      <c r="I634" s="34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7"/>
      <c r="C635" s="34"/>
      <c r="D635" s="38"/>
      <c r="E635" s="34"/>
      <c r="F635" s="34"/>
      <c r="G635" s="37"/>
      <c r="H635" s="34"/>
      <c r="I635" s="34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7"/>
      <c r="C636" s="34"/>
      <c r="D636" s="38"/>
      <c r="E636" s="34"/>
      <c r="F636" s="34"/>
      <c r="G636" s="37"/>
      <c r="H636" s="34"/>
      <c r="I636" s="34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7"/>
      <c r="C637" s="34"/>
      <c r="D637" s="38"/>
      <c r="E637" s="34"/>
      <c r="F637" s="34"/>
      <c r="G637" s="37"/>
      <c r="H637" s="34"/>
      <c r="I637" s="34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7"/>
      <c r="C638" s="34"/>
      <c r="D638" s="38"/>
      <c r="E638" s="34"/>
      <c r="F638" s="34"/>
      <c r="G638" s="37"/>
      <c r="H638" s="34"/>
      <c r="I638" s="34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7"/>
      <c r="C639" s="34"/>
      <c r="D639" s="38"/>
      <c r="E639" s="34"/>
      <c r="F639" s="34"/>
      <c r="G639" s="37"/>
      <c r="H639" s="34"/>
      <c r="I639" s="34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7"/>
      <c r="C640" s="34"/>
      <c r="D640" s="38"/>
      <c r="E640" s="34"/>
      <c r="F640" s="34"/>
      <c r="G640" s="37"/>
      <c r="H640" s="34"/>
      <c r="I640" s="34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7"/>
      <c r="C641" s="34"/>
      <c r="D641" s="38"/>
      <c r="E641" s="34"/>
      <c r="F641" s="34"/>
      <c r="G641" s="37"/>
      <c r="H641" s="34"/>
      <c r="I641" s="34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7"/>
      <c r="C642" s="34"/>
      <c r="D642" s="38"/>
      <c r="E642" s="34"/>
      <c r="F642" s="34"/>
      <c r="G642" s="37"/>
      <c r="H642" s="34"/>
      <c r="I642" s="34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7"/>
      <c r="C643" s="34"/>
      <c r="D643" s="38"/>
      <c r="E643" s="34"/>
      <c r="F643" s="34"/>
      <c r="G643" s="37"/>
      <c r="H643" s="34"/>
      <c r="I643" s="34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7"/>
      <c r="C644" s="34"/>
      <c r="D644" s="38"/>
      <c r="E644" s="34"/>
      <c r="F644" s="34"/>
      <c r="G644" s="37"/>
      <c r="H644" s="34"/>
      <c r="I644" s="34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7"/>
      <c r="C645" s="34"/>
      <c r="D645" s="38"/>
      <c r="E645" s="34"/>
      <c r="F645" s="34"/>
      <c r="G645" s="37"/>
      <c r="H645" s="34"/>
      <c r="I645" s="34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7"/>
      <c r="C646" s="34"/>
      <c r="D646" s="38"/>
      <c r="E646" s="34"/>
      <c r="F646" s="34"/>
      <c r="G646" s="37"/>
      <c r="H646" s="34"/>
      <c r="I646" s="34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7"/>
      <c r="C647" s="34"/>
      <c r="D647" s="38"/>
      <c r="E647" s="34"/>
      <c r="F647" s="34"/>
      <c r="G647" s="37"/>
      <c r="H647" s="34"/>
      <c r="I647" s="34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7"/>
      <c r="C648" s="34"/>
      <c r="D648" s="38"/>
      <c r="E648" s="34"/>
      <c r="F648" s="34"/>
      <c r="G648" s="37"/>
      <c r="H648" s="34"/>
      <c r="I648" s="34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7"/>
      <c r="C649" s="34"/>
      <c r="D649" s="38"/>
      <c r="E649" s="34"/>
      <c r="F649" s="34"/>
      <c r="G649" s="37"/>
      <c r="H649" s="34"/>
      <c r="I649" s="34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7"/>
      <c r="C650" s="34"/>
      <c r="D650" s="38"/>
      <c r="E650" s="34"/>
      <c r="F650" s="34"/>
      <c r="G650" s="37"/>
      <c r="H650" s="34"/>
      <c r="I650" s="34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7"/>
      <c r="C651" s="34"/>
      <c r="D651" s="38"/>
      <c r="E651" s="34"/>
      <c r="F651" s="34"/>
      <c r="G651" s="37"/>
      <c r="H651" s="34"/>
      <c r="I651" s="34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7"/>
      <c r="C652" s="34"/>
      <c r="D652" s="38"/>
      <c r="E652" s="34"/>
      <c r="F652" s="34"/>
      <c r="G652" s="37"/>
      <c r="H652" s="34"/>
      <c r="I652" s="34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7"/>
      <c r="C653" s="34"/>
      <c r="D653" s="38"/>
      <c r="E653" s="34"/>
      <c r="F653" s="34"/>
      <c r="G653" s="37"/>
      <c r="H653" s="34"/>
      <c r="I653" s="34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7"/>
      <c r="C654" s="34"/>
      <c r="D654" s="38"/>
      <c r="E654" s="34"/>
      <c r="F654" s="34"/>
      <c r="G654" s="37"/>
      <c r="H654" s="34"/>
      <c r="I654" s="34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7"/>
      <c r="C655" s="34"/>
      <c r="D655" s="38"/>
      <c r="E655" s="34"/>
      <c r="F655" s="34"/>
      <c r="G655" s="37"/>
      <c r="H655" s="34"/>
      <c r="I655" s="34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7"/>
      <c r="C656" s="34"/>
      <c r="D656" s="38"/>
      <c r="E656" s="34"/>
      <c r="F656" s="34"/>
      <c r="G656" s="37"/>
      <c r="H656" s="34"/>
      <c r="I656" s="34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7"/>
      <c r="C657" s="34"/>
      <c r="D657" s="38"/>
      <c r="E657" s="34"/>
      <c r="F657" s="34"/>
      <c r="G657" s="37"/>
      <c r="H657" s="34"/>
      <c r="I657" s="34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7"/>
      <c r="C658" s="34"/>
      <c r="D658" s="38"/>
      <c r="E658" s="34"/>
      <c r="F658" s="34"/>
      <c r="G658" s="37"/>
      <c r="H658" s="34"/>
      <c r="I658" s="34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7"/>
      <c r="C659" s="34"/>
      <c r="D659" s="38"/>
      <c r="E659" s="34"/>
      <c r="F659" s="34"/>
      <c r="G659" s="37"/>
      <c r="H659" s="34"/>
      <c r="I659" s="34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7"/>
      <c r="C660" s="34"/>
      <c r="D660" s="38"/>
      <c r="E660" s="34"/>
      <c r="F660" s="34"/>
      <c r="G660" s="37"/>
      <c r="H660" s="34"/>
      <c r="I660" s="34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7"/>
      <c r="C661" s="34"/>
      <c r="D661" s="38"/>
      <c r="E661" s="34"/>
      <c r="F661" s="34"/>
      <c r="G661" s="37"/>
      <c r="H661" s="34"/>
      <c r="I661" s="34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7"/>
      <c r="C662" s="34"/>
      <c r="D662" s="38"/>
      <c r="E662" s="34"/>
      <c r="F662" s="34"/>
      <c r="G662" s="37"/>
      <c r="H662" s="34"/>
      <c r="I662" s="34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7"/>
      <c r="C663" s="34"/>
      <c r="D663" s="38"/>
      <c r="E663" s="34"/>
      <c r="F663" s="34"/>
      <c r="G663" s="37"/>
      <c r="H663" s="34"/>
      <c r="I663" s="34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7"/>
      <c r="C664" s="34"/>
      <c r="D664" s="38"/>
      <c r="E664" s="34"/>
      <c r="F664" s="34"/>
      <c r="G664" s="37"/>
      <c r="H664" s="34"/>
      <c r="I664" s="34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7"/>
      <c r="C665" s="34"/>
      <c r="D665" s="38"/>
      <c r="E665" s="34"/>
      <c r="F665" s="34"/>
      <c r="G665" s="37"/>
      <c r="H665" s="34"/>
      <c r="I665" s="34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7"/>
      <c r="C666" s="34"/>
      <c r="D666" s="38"/>
      <c r="E666" s="34"/>
      <c r="F666" s="34"/>
      <c r="G666" s="37"/>
      <c r="H666" s="34"/>
      <c r="I666" s="34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7"/>
      <c r="C667" s="34"/>
      <c r="D667" s="38"/>
      <c r="E667" s="34"/>
      <c r="F667" s="34"/>
      <c r="G667" s="37"/>
      <c r="H667" s="34"/>
      <c r="I667" s="34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7"/>
      <c r="C668" s="34"/>
      <c r="D668" s="38"/>
      <c r="E668" s="34"/>
      <c r="F668" s="34"/>
      <c r="G668" s="37"/>
      <c r="H668" s="34"/>
      <c r="I668" s="34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7"/>
      <c r="C669" s="34"/>
      <c r="D669" s="38"/>
      <c r="E669" s="34"/>
      <c r="F669" s="34"/>
      <c r="G669" s="37"/>
      <c r="H669" s="34"/>
      <c r="I669" s="34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7"/>
      <c r="C670" s="34"/>
      <c r="D670" s="38"/>
      <c r="E670" s="34"/>
      <c r="F670" s="34"/>
      <c r="G670" s="37"/>
      <c r="H670" s="34"/>
      <c r="I670" s="34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7"/>
      <c r="C671" s="34"/>
      <c r="D671" s="38"/>
      <c r="E671" s="34"/>
      <c r="F671" s="34"/>
      <c r="G671" s="37"/>
      <c r="H671" s="34"/>
      <c r="I671" s="34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7"/>
      <c r="C672" s="34"/>
      <c r="D672" s="38"/>
      <c r="E672" s="34"/>
      <c r="F672" s="34"/>
      <c r="G672" s="37"/>
      <c r="H672" s="34"/>
      <c r="I672" s="34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7"/>
      <c r="C673" s="34"/>
      <c r="D673" s="38"/>
      <c r="E673" s="34"/>
      <c r="F673" s="34"/>
      <c r="G673" s="37"/>
      <c r="H673" s="34"/>
      <c r="I673" s="34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7"/>
      <c r="C674" s="34"/>
      <c r="D674" s="38"/>
      <c r="E674" s="34"/>
      <c r="F674" s="34"/>
      <c r="G674" s="37"/>
      <c r="H674" s="34"/>
      <c r="I674" s="34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7"/>
      <c r="C675" s="34"/>
      <c r="D675" s="38"/>
      <c r="E675" s="34"/>
      <c r="F675" s="34"/>
      <c r="G675" s="37"/>
      <c r="H675" s="34"/>
      <c r="I675" s="34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7"/>
      <c r="C676" s="34"/>
      <c r="D676" s="38"/>
      <c r="E676" s="34"/>
      <c r="F676" s="34"/>
      <c r="G676" s="37"/>
      <c r="H676" s="34"/>
      <c r="I676" s="34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7"/>
      <c r="C677" s="34"/>
      <c r="D677" s="38"/>
      <c r="E677" s="34"/>
      <c r="F677" s="34"/>
      <c r="G677" s="37"/>
      <c r="H677" s="34"/>
      <c r="I677" s="34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7"/>
      <c r="C678" s="34"/>
      <c r="D678" s="38"/>
      <c r="E678" s="34"/>
      <c r="F678" s="34"/>
      <c r="G678" s="37"/>
      <c r="H678" s="34"/>
      <c r="I678" s="34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7"/>
      <c r="C679" s="34"/>
      <c r="D679" s="38"/>
      <c r="E679" s="34"/>
      <c r="F679" s="34"/>
      <c r="G679" s="37"/>
      <c r="H679" s="34"/>
      <c r="I679" s="34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7"/>
      <c r="C680" s="34"/>
      <c r="D680" s="38"/>
      <c r="E680" s="34"/>
      <c r="F680" s="34"/>
      <c r="G680" s="37"/>
      <c r="H680" s="34"/>
      <c r="I680" s="34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7"/>
      <c r="C681" s="34"/>
      <c r="D681" s="38"/>
      <c r="E681" s="34"/>
      <c r="F681" s="34"/>
      <c r="G681" s="37"/>
      <c r="H681" s="34"/>
      <c r="I681" s="34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7"/>
      <c r="C682" s="34"/>
      <c r="D682" s="38"/>
      <c r="E682" s="34"/>
      <c r="F682" s="34"/>
      <c r="G682" s="37"/>
      <c r="H682" s="34"/>
      <c r="I682" s="34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7"/>
      <c r="C683" s="34"/>
      <c r="D683" s="38"/>
      <c r="E683" s="34"/>
      <c r="F683" s="34"/>
      <c r="G683" s="37"/>
      <c r="H683" s="34"/>
      <c r="I683" s="34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7"/>
      <c r="C684" s="34"/>
      <c r="D684" s="38"/>
      <c r="E684" s="34"/>
      <c r="F684" s="34"/>
      <c r="G684" s="37"/>
      <c r="H684" s="34"/>
      <c r="I684" s="34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7"/>
      <c r="C685" s="34"/>
      <c r="D685" s="38"/>
      <c r="E685" s="34"/>
      <c r="F685" s="34"/>
      <c r="G685" s="37"/>
      <c r="H685" s="34"/>
      <c r="I685" s="34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7"/>
      <c r="C686" s="34"/>
      <c r="D686" s="38"/>
      <c r="E686" s="34"/>
      <c r="F686" s="34"/>
      <c r="G686" s="37"/>
      <c r="H686" s="34"/>
      <c r="I686" s="34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7"/>
      <c r="C687" s="34"/>
      <c r="D687" s="38"/>
      <c r="E687" s="34"/>
      <c r="F687" s="34"/>
      <c r="G687" s="37"/>
      <c r="H687" s="34"/>
      <c r="I687" s="34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7"/>
      <c r="C688" s="34"/>
      <c r="D688" s="38"/>
      <c r="E688" s="34"/>
      <c r="F688" s="34"/>
      <c r="G688" s="37"/>
      <c r="H688" s="34"/>
      <c r="I688" s="34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7"/>
      <c r="C689" s="34"/>
      <c r="D689" s="38"/>
      <c r="E689" s="34"/>
      <c r="F689" s="34"/>
      <c r="G689" s="37"/>
      <c r="H689" s="34"/>
      <c r="I689" s="34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7"/>
      <c r="C690" s="34"/>
      <c r="D690" s="38"/>
      <c r="E690" s="34"/>
      <c r="F690" s="34"/>
      <c r="G690" s="37"/>
      <c r="H690" s="34"/>
      <c r="I690" s="34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7"/>
      <c r="C691" s="34"/>
      <c r="D691" s="38"/>
      <c r="E691" s="34"/>
      <c r="F691" s="34"/>
      <c r="G691" s="37"/>
      <c r="H691" s="34"/>
      <c r="I691" s="34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7"/>
      <c r="C692" s="34"/>
      <c r="D692" s="38"/>
      <c r="E692" s="34"/>
      <c r="F692" s="34"/>
      <c r="G692" s="37"/>
      <c r="H692" s="34"/>
      <c r="I692" s="34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7"/>
      <c r="C693" s="34"/>
      <c r="D693" s="38"/>
      <c r="E693" s="34"/>
      <c r="F693" s="34"/>
      <c r="G693" s="37"/>
      <c r="H693" s="34"/>
      <c r="I693" s="34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7"/>
      <c r="C694" s="34"/>
      <c r="D694" s="38"/>
      <c r="E694" s="34"/>
      <c r="F694" s="34"/>
      <c r="G694" s="37"/>
      <c r="H694" s="34"/>
      <c r="I694" s="34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7"/>
      <c r="C695" s="34"/>
      <c r="D695" s="38"/>
      <c r="E695" s="34"/>
      <c r="F695" s="34"/>
      <c r="G695" s="37"/>
      <c r="H695" s="34"/>
      <c r="I695" s="34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7"/>
      <c r="C696" s="34"/>
      <c r="D696" s="38"/>
      <c r="E696" s="34"/>
      <c r="F696" s="34"/>
      <c r="G696" s="37"/>
      <c r="H696" s="34"/>
      <c r="I696" s="34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7"/>
      <c r="C697" s="34"/>
      <c r="D697" s="38"/>
      <c r="E697" s="34"/>
      <c r="F697" s="34"/>
      <c r="G697" s="37"/>
      <c r="H697" s="34"/>
      <c r="I697" s="34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7"/>
      <c r="C698" s="34"/>
      <c r="D698" s="38"/>
      <c r="E698" s="34"/>
      <c r="F698" s="34"/>
      <c r="G698" s="37"/>
      <c r="H698" s="34"/>
      <c r="I698" s="34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7"/>
      <c r="C699" s="34"/>
      <c r="D699" s="38"/>
      <c r="E699" s="34"/>
      <c r="F699" s="34"/>
      <c r="G699" s="37"/>
      <c r="H699" s="34"/>
      <c r="I699" s="34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7"/>
      <c r="C700" s="34"/>
      <c r="D700" s="38"/>
      <c r="E700" s="34"/>
      <c r="F700" s="34"/>
      <c r="G700" s="37"/>
      <c r="H700" s="34"/>
      <c r="I700" s="34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7"/>
      <c r="C701" s="34"/>
      <c r="D701" s="38"/>
      <c r="E701" s="34"/>
      <c r="F701" s="34"/>
      <c r="G701" s="37"/>
      <c r="H701" s="34"/>
      <c r="I701" s="34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7"/>
      <c r="C702" s="34"/>
      <c r="D702" s="38"/>
      <c r="E702" s="34"/>
      <c r="F702" s="34"/>
      <c r="G702" s="37"/>
      <c r="H702" s="34"/>
      <c r="I702" s="34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7"/>
      <c r="C703" s="34"/>
      <c r="D703" s="38"/>
      <c r="E703" s="34"/>
      <c r="F703" s="34"/>
      <c r="G703" s="37"/>
      <c r="H703" s="34"/>
      <c r="I703" s="34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7"/>
      <c r="C704" s="34"/>
      <c r="D704" s="38"/>
      <c r="E704" s="34"/>
      <c r="F704" s="34"/>
      <c r="G704" s="37"/>
      <c r="H704" s="34"/>
      <c r="I704" s="34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7"/>
      <c r="C705" s="34"/>
      <c r="D705" s="38"/>
      <c r="E705" s="34"/>
      <c r="F705" s="34"/>
      <c r="G705" s="37"/>
      <c r="H705" s="34"/>
      <c r="I705" s="34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7"/>
      <c r="C706" s="34"/>
      <c r="D706" s="38"/>
      <c r="E706" s="34"/>
      <c r="F706" s="34"/>
      <c r="G706" s="37"/>
      <c r="H706" s="34"/>
      <c r="I706" s="34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7"/>
      <c r="C707" s="34"/>
      <c r="D707" s="38"/>
      <c r="E707" s="34"/>
      <c r="F707" s="34"/>
      <c r="G707" s="37"/>
      <c r="H707" s="34"/>
      <c r="I707" s="34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7"/>
      <c r="C708" s="34"/>
      <c r="D708" s="38"/>
      <c r="E708" s="34"/>
      <c r="F708" s="34"/>
      <c r="G708" s="37"/>
      <c r="H708" s="34"/>
      <c r="I708" s="34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7"/>
      <c r="C709" s="34"/>
      <c r="D709" s="38"/>
      <c r="E709" s="34"/>
      <c r="F709" s="34"/>
      <c r="G709" s="37"/>
      <c r="H709" s="34"/>
      <c r="I709" s="34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7"/>
      <c r="C710" s="34"/>
      <c r="D710" s="38"/>
      <c r="E710" s="34"/>
      <c r="F710" s="34"/>
      <c r="G710" s="37"/>
      <c r="H710" s="34"/>
      <c r="I710" s="34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7"/>
      <c r="C711" s="34"/>
      <c r="D711" s="38"/>
      <c r="E711" s="34"/>
      <c r="F711" s="34"/>
      <c r="G711" s="37"/>
      <c r="H711" s="34"/>
      <c r="I711" s="34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7"/>
      <c r="C712" s="34"/>
      <c r="D712" s="38"/>
      <c r="E712" s="34"/>
      <c r="F712" s="34"/>
      <c r="G712" s="37"/>
      <c r="H712" s="34"/>
      <c r="I712" s="34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7"/>
      <c r="C713" s="34"/>
      <c r="D713" s="38"/>
      <c r="E713" s="34"/>
      <c r="F713" s="34"/>
      <c r="G713" s="37"/>
      <c r="H713" s="34"/>
      <c r="I713" s="34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7"/>
      <c r="C714" s="34"/>
      <c r="D714" s="38"/>
      <c r="E714" s="34"/>
      <c r="F714" s="34"/>
      <c r="G714" s="37"/>
      <c r="H714" s="34"/>
      <c r="I714" s="34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7"/>
      <c r="C715" s="34"/>
      <c r="D715" s="38"/>
      <c r="E715" s="34"/>
      <c r="F715" s="34"/>
      <c r="G715" s="37"/>
      <c r="H715" s="34"/>
      <c r="I715" s="34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7"/>
      <c r="C716" s="34"/>
      <c r="D716" s="38"/>
      <c r="E716" s="34"/>
      <c r="F716" s="34"/>
      <c r="G716" s="37"/>
      <c r="H716" s="34"/>
      <c r="I716" s="34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7"/>
      <c r="C717" s="34"/>
      <c r="D717" s="38"/>
      <c r="E717" s="34"/>
      <c r="F717" s="34"/>
      <c r="G717" s="37"/>
      <c r="H717" s="34"/>
      <c r="I717" s="34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7"/>
      <c r="C718" s="34"/>
      <c r="D718" s="38"/>
      <c r="E718" s="34"/>
      <c r="F718" s="34"/>
      <c r="G718" s="37"/>
      <c r="H718" s="34"/>
      <c r="I718" s="34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7"/>
      <c r="C719" s="34"/>
      <c r="D719" s="38"/>
      <c r="E719" s="34"/>
      <c r="F719" s="34"/>
      <c r="G719" s="37"/>
      <c r="H719" s="34"/>
      <c r="I719" s="34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7"/>
      <c r="C720" s="34"/>
      <c r="D720" s="38"/>
      <c r="E720" s="34"/>
      <c r="F720" s="34"/>
      <c r="G720" s="37"/>
      <c r="H720" s="34"/>
      <c r="I720" s="34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7"/>
      <c r="C721" s="34"/>
      <c r="D721" s="38"/>
      <c r="E721" s="34"/>
      <c r="F721" s="34"/>
      <c r="G721" s="37"/>
      <c r="H721" s="34"/>
      <c r="I721" s="34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7"/>
      <c r="C722" s="34"/>
      <c r="D722" s="38"/>
      <c r="E722" s="34"/>
      <c r="F722" s="34"/>
      <c r="G722" s="37"/>
      <c r="H722" s="34"/>
      <c r="I722" s="34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7"/>
      <c r="C723" s="34"/>
      <c r="D723" s="38"/>
      <c r="E723" s="34"/>
      <c r="F723" s="34"/>
      <c r="G723" s="37"/>
      <c r="H723" s="34"/>
      <c r="I723" s="34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7"/>
      <c r="C724" s="34"/>
      <c r="D724" s="38"/>
      <c r="E724" s="34"/>
      <c r="F724" s="34"/>
      <c r="G724" s="37"/>
      <c r="H724" s="34"/>
      <c r="I724" s="34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7"/>
      <c r="C725" s="34"/>
      <c r="D725" s="38"/>
      <c r="E725" s="34"/>
      <c r="F725" s="34"/>
      <c r="G725" s="37"/>
      <c r="H725" s="34"/>
      <c r="I725" s="34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7"/>
      <c r="C726" s="34"/>
      <c r="D726" s="38"/>
      <c r="E726" s="34"/>
      <c r="F726" s="34"/>
      <c r="G726" s="37"/>
      <c r="H726" s="34"/>
      <c r="I726" s="34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7"/>
      <c r="C727" s="34"/>
      <c r="D727" s="38"/>
      <c r="E727" s="34"/>
      <c r="F727" s="34"/>
      <c r="G727" s="37"/>
      <c r="H727" s="34"/>
      <c r="I727" s="34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7"/>
      <c r="C728" s="34"/>
      <c r="D728" s="38"/>
      <c r="E728" s="34"/>
      <c r="F728" s="34"/>
      <c r="G728" s="37"/>
      <c r="H728" s="34"/>
      <c r="I728" s="34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7"/>
      <c r="C729" s="34"/>
      <c r="D729" s="38"/>
      <c r="E729" s="34"/>
      <c r="F729" s="34"/>
      <c r="G729" s="37"/>
      <c r="H729" s="34"/>
      <c r="I729" s="34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7"/>
      <c r="C730" s="34"/>
      <c r="D730" s="38"/>
      <c r="E730" s="34"/>
      <c r="F730" s="34"/>
      <c r="G730" s="37"/>
      <c r="H730" s="34"/>
      <c r="I730" s="34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7"/>
      <c r="C731" s="34"/>
      <c r="D731" s="38"/>
      <c r="E731" s="34"/>
      <c r="F731" s="34"/>
      <c r="G731" s="37"/>
      <c r="H731" s="34"/>
      <c r="I731" s="34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7"/>
      <c r="C732" s="34"/>
      <c r="D732" s="38"/>
      <c r="E732" s="34"/>
      <c r="F732" s="34"/>
      <c r="G732" s="37"/>
      <c r="H732" s="34"/>
      <c r="I732" s="34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7"/>
      <c r="C733" s="34"/>
      <c r="D733" s="38"/>
      <c r="E733" s="34"/>
      <c r="F733" s="34"/>
      <c r="G733" s="37"/>
      <c r="H733" s="34"/>
      <c r="I733" s="34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7"/>
      <c r="C734" s="34"/>
      <c r="D734" s="38"/>
      <c r="E734" s="34"/>
      <c r="F734" s="34"/>
      <c r="G734" s="37"/>
      <c r="H734" s="34"/>
      <c r="I734" s="34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7"/>
      <c r="C735" s="34"/>
      <c r="D735" s="38"/>
      <c r="E735" s="34"/>
      <c r="F735" s="34"/>
      <c r="G735" s="37"/>
      <c r="H735" s="34"/>
      <c r="I735" s="34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7"/>
      <c r="C736" s="34"/>
      <c r="D736" s="38"/>
      <c r="E736" s="34"/>
      <c r="F736" s="34"/>
      <c r="G736" s="37"/>
      <c r="H736" s="34"/>
      <c r="I736" s="34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7"/>
      <c r="C737" s="34"/>
      <c r="D737" s="38"/>
      <c r="E737" s="34"/>
      <c r="F737" s="34"/>
      <c r="G737" s="37"/>
      <c r="H737" s="34"/>
      <c r="I737" s="34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7"/>
      <c r="C738" s="34"/>
      <c r="D738" s="38"/>
      <c r="E738" s="34"/>
      <c r="F738" s="34"/>
      <c r="G738" s="37"/>
      <c r="H738" s="34"/>
      <c r="I738" s="34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7"/>
      <c r="C739" s="34"/>
      <c r="D739" s="38"/>
      <c r="E739" s="34"/>
      <c r="F739" s="34"/>
      <c r="G739" s="37"/>
      <c r="H739" s="34"/>
      <c r="I739" s="34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7"/>
      <c r="C740" s="34"/>
      <c r="D740" s="38"/>
      <c r="E740" s="34"/>
      <c r="F740" s="34"/>
      <c r="G740" s="37"/>
      <c r="H740" s="34"/>
      <c r="I740" s="34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7"/>
      <c r="C741" s="34"/>
      <c r="D741" s="38"/>
      <c r="E741" s="34"/>
      <c r="F741" s="34"/>
      <c r="G741" s="37"/>
      <c r="H741" s="34"/>
      <c r="I741" s="34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7"/>
      <c r="C742" s="34"/>
      <c r="D742" s="38"/>
      <c r="E742" s="34"/>
      <c r="F742" s="34"/>
      <c r="G742" s="37"/>
      <c r="H742" s="34"/>
      <c r="I742" s="34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7"/>
      <c r="C743" s="34"/>
      <c r="D743" s="38"/>
      <c r="E743" s="34"/>
      <c r="F743" s="34"/>
      <c r="G743" s="37"/>
      <c r="H743" s="34"/>
      <c r="I743" s="34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7"/>
      <c r="C744" s="34"/>
      <c r="D744" s="38"/>
      <c r="E744" s="34"/>
      <c r="F744" s="34"/>
      <c r="G744" s="37"/>
      <c r="H744" s="34"/>
      <c r="I744" s="34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7"/>
      <c r="C745" s="34"/>
      <c r="D745" s="38"/>
      <c r="E745" s="34"/>
      <c r="F745" s="34"/>
      <c r="G745" s="37"/>
      <c r="H745" s="34"/>
      <c r="I745" s="34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7"/>
      <c r="C746" s="34"/>
      <c r="D746" s="38"/>
      <c r="E746" s="34"/>
      <c r="F746" s="34"/>
      <c r="G746" s="37"/>
      <c r="H746" s="34"/>
      <c r="I746" s="34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7"/>
      <c r="C747" s="34"/>
      <c r="D747" s="38"/>
      <c r="E747" s="34"/>
      <c r="F747" s="34"/>
      <c r="G747" s="37"/>
      <c r="H747" s="34"/>
      <c r="I747" s="34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7"/>
      <c r="C748" s="34"/>
      <c r="D748" s="38"/>
      <c r="E748" s="34"/>
      <c r="F748" s="34"/>
      <c r="G748" s="37"/>
      <c r="H748" s="34"/>
      <c r="I748" s="34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7"/>
      <c r="C749" s="34"/>
      <c r="D749" s="38"/>
      <c r="E749" s="34"/>
      <c r="F749" s="34"/>
      <c r="G749" s="37"/>
      <c r="H749" s="34"/>
      <c r="I749" s="34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7"/>
      <c r="C750" s="34"/>
      <c r="D750" s="38"/>
      <c r="E750" s="34"/>
      <c r="F750" s="34"/>
      <c r="G750" s="37"/>
      <c r="H750" s="34"/>
      <c r="I750" s="34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7"/>
      <c r="C751" s="34"/>
      <c r="D751" s="38"/>
      <c r="E751" s="34"/>
      <c r="F751" s="34"/>
      <c r="G751" s="37"/>
      <c r="H751" s="34"/>
      <c r="I751" s="34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7"/>
      <c r="C752" s="34"/>
      <c r="D752" s="38"/>
      <c r="E752" s="34"/>
      <c r="F752" s="34"/>
      <c r="G752" s="37"/>
      <c r="H752" s="34"/>
      <c r="I752" s="34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7"/>
      <c r="C753" s="34"/>
      <c r="D753" s="38"/>
      <c r="E753" s="34"/>
      <c r="F753" s="34"/>
      <c r="G753" s="37"/>
      <c r="H753" s="34"/>
      <c r="I753" s="34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7"/>
      <c r="C754" s="34"/>
      <c r="D754" s="38"/>
      <c r="E754" s="34"/>
      <c r="F754" s="34"/>
      <c r="G754" s="37"/>
      <c r="H754" s="34"/>
      <c r="I754" s="34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7"/>
      <c r="C755" s="34"/>
      <c r="D755" s="38"/>
      <c r="E755" s="34"/>
      <c r="F755" s="34"/>
      <c r="G755" s="37"/>
      <c r="H755" s="34"/>
      <c r="I755" s="34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7"/>
      <c r="C756" s="34"/>
      <c r="D756" s="38"/>
      <c r="E756" s="34"/>
      <c r="F756" s="34"/>
      <c r="G756" s="37"/>
      <c r="H756" s="34"/>
      <c r="I756" s="34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7"/>
      <c r="C757" s="34"/>
      <c r="D757" s="38"/>
      <c r="E757" s="34"/>
      <c r="F757" s="34"/>
      <c r="G757" s="37"/>
      <c r="H757" s="34"/>
      <c r="I757" s="34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7"/>
      <c r="C758" s="34"/>
      <c r="D758" s="38"/>
      <c r="E758" s="34"/>
      <c r="F758" s="34"/>
      <c r="G758" s="37"/>
      <c r="H758" s="34"/>
      <c r="I758" s="34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7"/>
      <c r="C759" s="34"/>
      <c r="D759" s="38"/>
      <c r="E759" s="34"/>
      <c r="F759" s="34"/>
      <c r="G759" s="37"/>
      <c r="H759" s="34"/>
      <c r="I759" s="34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7"/>
      <c r="C760" s="34"/>
      <c r="D760" s="38"/>
      <c r="E760" s="34"/>
      <c r="F760" s="34"/>
      <c r="G760" s="37"/>
      <c r="H760" s="34"/>
      <c r="I760" s="34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7"/>
      <c r="C761" s="34"/>
      <c r="D761" s="38"/>
      <c r="E761" s="34"/>
      <c r="F761" s="34"/>
      <c r="G761" s="37"/>
      <c r="H761" s="34"/>
      <c r="I761" s="34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7"/>
      <c r="C762" s="34"/>
      <c r="D762" s="38"/>
      <c r="E762" s="34"/>
      <c r="F762" s="34"/>
      <c r="G762" s="37"/>
      <c r="H762" s="34"/>
      <c r="I762" s="34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7"/>
      <c r="C763" s="34"/>
      <c r="D763" s="38"/>
      <c r="E763" s="34"/>
      <c r="F763" s="34"/>
      <c r="G763" s="37"/>
      <c r="H763" s="34"/>
      <c r="I763" s="34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7"/>
      <c r="C764" s="34"/>
      <c r="D764" s="38"/>
      <c r="E764" s="34"/>
      <c r="F764" s="34"/>
      <c r="G764" s="37"/>
      <c r="H764" s="34"/>
      <c r="I764" s="34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7"/>
      <c r="C765" s="34"/>
      <c r="D765" s="38"/>
      <c r="E765" s="34"/>
      <c r="F765" s="34"/>
      <c r="G765" s="37"/>
      <c r="H765" s="34"/>
      <c r="I765" s="34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7"/>
      <c r="C766" s="34"/>
      <c r="D766" s="38"/>
      <c r="E766" s="34"/>
      <c r="F766" s="34"/>
      <c r="G766" s="37"/>
      <c r="H766" s="34"/>
      <c r="I766" s="34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7"/>
      <c r="C767" s="34"/>
      <c r="D767" s="38"/>
      <c r="E767" s="34"/>
      <c r="F767" s="34"/>
      <c r="G767" s="37"/>
      <c r="H767" s="34"/>
      <c r="I767" s="34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7"/>
      <c r="C768" s="34"/>
      <c r="D768" s="38"/>
      <c r="E768" s="34"/>
      <c r="F768" s="34"/>
      <c r="G768" s="37"/>
      <c r="H768" s="34"/>
      <c r="I768" s="34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7"/>
      <c r="C769" s="34"/>
      <c r="D769" s="38"/>
      <c r="E769" s="34"/>
      <c r="F769" s="34"/>
      <c r="G769" s="37"/>
      <c r="H769" s="34"/>
      <c r="I769" s="34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7"/>
      <c r="C770" s="34"/>
      <c r="D770" s="38"/>
      <c r="E770" s="34"/>
      <c r="F770" s="34"/>
      <c r="G770" s="37"/>
      <c r="H770" s="34"/>
      <c r="I770" s="34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7"/>
      <c r="C771" s="34"/>
      <c r="D771" s="38"/>
      <c r="E771" s="34"/>
      <c r="F771" s="34"/>
      <c r="G771" s="37"/>
      <c r="H771" s="34"/>
      <c r="I771" s="34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7"/>
      <c r="C772" s="34"/>
      <c r="D772" s="38"/>
      <c r="E772" s="34"/>
      <c r="F772" s="34"/>
      <c r="G772" s="37"/>
      <c r="H772" s="34"/>
      <c r="I772" s="34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7"/>
      <c r="C773" s="34"/>
      <c r="D773" s="38"/>
      <c r="E773" s="34"/>
      <c r="F773" s="34"/>
      <c r="G773" s="37"/>
      <c r="H773" s="34"/>
      <c r="I773" s="34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7"/>
      <c r="C774" s="34"/>
      <c r="D774" s="38"/>
      <c r="E774" s="34"/>
      <c r="F774" s="34"/>
      <c r="G774" s="37"/>
      <c r="H774" s="34"/>
      <c r="I774" s="34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7"/>
      <c r="C775" s="34"/>
      <c r="D775" s="38"/>
      <c r="E775" s="34"/>
      <c r="F775" s="34"/>
      <c r="G775" s="37"/>
      <c r="H775" s="34"/>
      <c r="I775" s="34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7"/>
      <c r="C776" s="34"/>
      <c r="D776" s="38"/>
      <c r="E776" s="34"/>
      <c r="F776" s="34"/>
      <c r="G776" s="37"/>
      <c r="H776" s="34"/>
      <c r="I776" s="34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7"/>
      <c r="C777" s="34"/>
      <c r="D777" s="38"/>
      <c r="E777" s="34"/>
      <c r="F777" s="34"/>
      <c r="G777" s="37"/>
      <c r="H777" s="34"/>
      <c r="I777" s="34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7"/>
      <c r="C778" s="34"/>
      <c r="D778" s="38"/>
      <c r="E778" s="34"/>
      <c r="F778" s="34"/>
      <c r="G778" s="37"/>
      <c r="H778" s="34"/>
      <c r="I778" s="34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7"/>
      <c r="C779" s="34"/>
      <c r="D779" s="38"/>
      <c r="E779" s="34"/>
      <c r="F779" s="34"/>
      <c r="G779" s="37"/>
      <c r="H779" s="34"/>
      <c r="I779" s="34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7"/>
      <c r="C780" s="34"/>
      <c r="D780" s="38"/>
      <c r="E780" s="34"/>
      <c r="F780" s="34"/>
      <c r="G780" s="37"/>
      <c r="H780" s="34"/>
      <c r="I780" s="34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7"/>
      <c r="C781" s="34"/>
      <c r="D781" s="38"/>
      <c r="E781" s="34"/>
      <c r="F781" s="34"/>
      <c r="G781" s="37"/>
      <c r="H781" s="34"/>
      <c r="I781" s="34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7"/>
      <c r="C782" s="34"/>
      <c r="D782" s="38"/>
      <c r="E782" s="34"/>
      <c r="F782" s="34"/>
      <c r="G782" s="37"/>
      <c r="H782" s="34"/>
      <c r="I782" s="34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7"/>
      <c r="C783" s="34"/>
      <c r="D783" s="38"/>
      <c r="E783" s="34"/>
      <c r="F783" s="34"/>
      <c r="G783" s="37"/>
      <c r="H783" s="34"/>
      <c r="I783" s="34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7"/>
      <c r="C784" s="34"/>
      <c r="D784" s="38"/>
      <c r="E784" s="34"/>
      <c r="F784" s="34"/>
      <c r="G784" s="37"/>
      <c r="H784" s="34"/>
      <c r="I784" s="34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7"/>
      <c r="C785" s="34"/>
      <c r="D785" s="38"/>
      <c r="E785" s="34"/>
      <c r="F785" s="34"/>
      <c r="G785" s="37"/>
      <c r="H785" s="34"/>
      <c r="I785" s="34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7"/>
      <c r="C786" s="34"/>
      <c r="D786" s="38"/>
      <c r="E786" s="34"/>
      <c r="F786" s="34"/>
      <c r="G786" s="37"/>
      <c r="H786" s="34"/>
      <c r="I786" s="34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7"/>
      <c r="C787" s="34"/>
      <c r="D787" s="38"/>
      <c r="E787" s="34"/>
      <c r="F787" s="34"/>
      <c r="G787" s="37"/>
      <c r="H787" s="34"/>
      <c r="I787" s="34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7"/>
      <c r="C788" s="34"/>
      <c r="D788" s="38"/>
      <c r="E788" s="34"/>
      <c r="F788" s="34"/>
      <c r="G788" s="37"/>
      <c r="H788" s="34"/>
      <c r="I788" s="34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7"/>
      <c r="C789" s="34"/>
      <c r="D789" s="38"/>
      <c r="E789" s="34"/>
      <c r="F789" s="34"/>
      <c r="G789" s="37"/>
      <c r="H789" s="34"/>
      <c r="I789" s="34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7"/>
      <c r="C790" s="34"/>
      <c r="D790" s="38"/>
      <c r="E790" s="34"/>
      <c r="F790" s="34"/>
      <c r="G790" s="37"/>
      <c r="H790" s="34"/>
      <c r="I790" s="34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7"/>
      <c r="C791" s="34"/>
      <c r="D791" s="38"/>
      <c r="E791" s="34"/>
      <c r="F791" s="34"/>
      <c r="G791" s="37"/>
      <c r="H791" s="34"/>
      <c r="I791" s="34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7"/>
      <c r="C792" s="34"/>
      <c r="D792" s="38"/>
      <c r="E792" s="34"/>
      <c r="F792" s="34"/>
      <c r="G792" s="37"/>
      <c r="H792" s="34"/>
      <c r="I792" s="34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7"/>
      <c r="C793" s="34"/>
      <c r="D793" s="38"/>
      <c r="E793" s="34"/>
      <c r="F793" s="34"/>
      <c r="G793" s="37"/>
      <c r="H793" s="34"/>
      <c r="I793" s="34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7"/>
      <c r="C794" s="34"/>
      <c r="D794" s="38"/>
      <c r="E794" s="34"/>
      <c r="F794" s="34"/>
      <c r="G794" s="37"/>
      <c r="H794" s="34"/>
      <c r="I794" s="34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7"/>
      <c r="C795" s="34"/>
      <c r="D795" s="38"/>
      <c r="E795" s="34"/>
      <c r="F795" s="34"/>
      <c r="G795" s="37"/>
      <c r="H795" s="34"/>
      <c r="I795" s="34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7"/>
      <c r="C796" s="34"/>
      <c r="D796" s="38"/>
      <c r="E796" s="34"/>
      <c r="F796" s="34"/>
      <c r="G796" s="37"/>
      <c r="H796" s="34"/>
      <c r="I796" s="34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7"/>
      <c r="C797" s="34"/>
      <c r="D797" s="38"/>
      <c r="E797" s="34"/>
      <c r="F797" s="34"/>
      <c r="G797" s="37"/>
      <c r="H797" s="34"/>
      <c r="I797" s="34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7"/>
      <c r="C798" s="34"/>
      <c r="D798" s="38"/>
      <c r="E798" s="34"/>
      <c r="F798" s="34"/>
      <c r="G798" s="37"/>
      <c r="H798" s="34"/>
      <c r="I798" s="34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7"/>
      <c r="C799" s="34"/>
      <c r="D799" s="38"/>
      <c r="E799" s="34"/>
      <c r="F799" s="34"/>
      <c r="G799" s="37"/>
      <c r="H799" s="34"/>
      <c r="I799" s="34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7"/>
      <c r="C800" s="34"/>
      <c r="D800" s="38"/>
      <c r="E800" s="34"/>
      <c r="F800" s="34"/>
      <c r="G800" s="37"/>
      <c r="H800" s="34"/>
      <c r="I800" s="34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7"/>
      <c r="C801" s="34"/>
      <c r="D801" s="38"/>
      <c r="E801" s="34"/>
      <c r="F801" s="34"/>
      <c r="G801" s="37"/>
      <c r="H801" s="34"/>
      <c r="I801" s="34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7"/>
      <c r="C802" s="34"/>
      <c r="D802" s="38"/>
      <c r="E802" s="34"/>
      <c r="F802" s="34"/>
      <c r="G802" s="37"/>
      <c r="H802" s="34"/>
      <c r="I802" s="34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7"/>
      <c r="C803" s="34"/>
      <c r="D803" s="38"/>
      <c r="E803" s="34"/>
      <c r="F803" s="34"/>
      <c r="G803" s="37"/>
      <c r="H803" s="34"/>
      <c r="I803" s="34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7"/>
      <c r="C804" s="34"/>
      <c r="D804" s="38"/>
      <c r="E804" s="34"/>
      <c r="F804" s="34"/>
      <c r="G804" s="37"/>
      <c r="H804" s="34"/>
      <c r="I804" s="34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7"/>
      <c r="C805" s="34"/>
      <c r="D805" s="38"/>
      <c r="E805" s="34"/>
      <c r="F805" s="34"/>
      <c r="G805" s="37"/>
      <c r="H805" s="34"/>
      <c r="I805" s="34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7"/>
      <c r="C806" s="34"/>
      <c r="D806" s="38"/>
      <c r="E806" s="34"/>
      <c r="F806" s="34"/>
      <c r="G806" s="37"/>
      <c r="H806" s="34"/>
      <c r="I806" s="34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7"/>
      <c r="C807" s="34"/>
      <c r="D807" s="38"/>
      <c r="E807" s="34"/>
      <c r="F807" s="34"/>
      <c r="G807" s="37"/>
      <c r="H807" s="34"/>
      <c r="I807" s="34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7"/>
      <c r="C808" s="34"/>
      <c r="D808" s="38"/>
      <c r="E808" s="34"/>
      <c r="F808" s="34"/>
      <c r="G808" s="37"/>
      <c r="H808" s="34"/>
      <c r="I808" s="34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7"/>
      <c r="C809" s="34"/>
      <c r="D809" s="38"/>
      <c r="E809" s="34"/>
      <c r="F809" s="34"/>
      <c r="G809" s="37"/>
      <c r="H809" s="34"/>
      <c r="I809" s="34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7"/>
      <c r="C810" s="34"/>
      <c r="D810" s="38"/>
      <c r="E810" s="34"/>
      <c r="F810" s="34"/>
      <c r="G810" s="37"/>
      <c r="H810" s="34"/>
      <c r="I810" s="34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7"/>
      <c r="C811" s="34"/>
      <c r="D811" s="38"/>
      <c r="E811" s="34"/>
      <c r="F811" s="34"/>
      <c r="G811" s="37"/>
      <c r="H811" s="34"/>
      <c r="I811" s="34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7"/>
      <c r="C812" s="34"/>
      <c r="D812" s="38"/>
      <c r="E812" s="34"/>
      <c r="F812" s="34"/>
      <c r="G812" s="37"/>
      <c r="H812" s="34"/>
      <c r="I812" s="34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7"/>
      <c r="C813" s="34"/>
      <c r="D813" s="38"/>
      <c r="E813" s="34"/>
      <c r="F813" s="34"/>
      <c r="G813" s="37"/>
      <c r="H813" s="34"/>
      <c r="I813" s="34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7"/>
      <c r="C814" s="34"/>
      <c r="D814" s="38"/>
      <c r="E814" s="34"/>
      <c r="F814" s="34"/>
      <c r="G814" s="37"/>
      <c r="H814" s="34"/>
      <c r="I814" s="34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7"/>
      <c r="C815" s="34"/>
      <c r="D815" s="38"/>
      <c r="E815" s="34"/>
      <c r="F815" s="34"/>
      <c r="G815" s="37"/>
      <c r="H815" s="34"/>
      <c r="I815" s="34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7"/>
      <c r="C816" s="34"/>
      <c r="D816" s="38"/>
      <c r="E816" s="34"/>
      <c r="F816" s="34"/>
      <c r="G816" s="37"/>
      <c r="H816" s="34"/>
      <c r="I816" s="34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7"/>
      <c r="C817" s="34"/>
      <c r="D817" s="38"/>
      <c r="E817" s="34"/>
      <c r="F817" s="34"/>
      <c r="G817" s="37"/>
      <c r="H817" s="34"/>
      <c r="I817" s="34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7"/>
      <c r="C818" s="34"/>
      <c r="D818" s="38"/>
      <c r="E818" s="34"/>
      <c r="F818" s="34"/>
      <c r="G818" s="37"/>
      <c r="H818" s="34"/>
      <c r="I818" s="34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7"/>
      <c r="C819" s="34"/>
      <c r="D819" s="38"/>
      <c r="E819" s="34"/>
      <c r="F819" s="34"/>
      <c r="G819" s="37"/>
      <c r="H819" s="34"/>
      <c r="I819" s="34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7"/>
      <c r="C820" s="34"/>
      <c r="D820" s="38"/>
      <c r="E820" s="34"/>
      <c r="F820" s="34"/>
      <c r="G820" s="37"/>
      <c r="H820" s="34"/>
      <c r="I820" s="34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7"/>
      <c r="C821" s="34"/>
      <c r="D821" s="38"/>
      <c r="E821" s="34"/>
      <c r="F821" s="34"/>
      <c r="G821" s="37"/>
      <c r="H821" s="34"/>
      <c r="I821" s="34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7"/>
      <c r="C822" s="34"/>
      <c r="D822" s="38"/>
      <c r="E822" s="34"/>
      <c r="F822" s="34"/>
      <c r="G822" s="37"/>
      <c r="H822" s="34"/>
      <c r="I822" s="34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7"/>
      <c r="C823" s="34"/>
      <c r="D823" s="38"/>
      <c r="E823" s="34"/>
      <c r="F823" s="34"/>
      <c r="G823" s="37"/>
      <c r="H823" s="34"/>
      <c r="I823" s="34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7"/>
      <c r="C824" s="34"/>
      <c r="D824" s="38"/>
      <c r="E824" s="34"/>
      <c r="F824" s="34"/>
      <c r="G824" s="37"/>
      <c r="H824" s="34"/>
      <c r="I824" s="34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7"/>
      <c r="C825" s="34"/>
      <c r="D825" s="38"/>
      <c r="E825" s="34"/>
      <c r="F825" s="34"/>
      <c r="G825" s="37"/>
      <c r="H825" s="34"/>
      <c r="I825" s="34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7"/>
      <c r="C826" s="34"/>
      <c r="D826" s="38"/>
      <c r="E826" s="34"/>
      <c r="F826" s="34"/>
      <c r="G826" s="37"/>
      <c r="H826" s="34"/>
      <c r="I826" s="34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7"/>
      <c r="C827" s="34"/>
      <c r="D827" s="38"/>
      <c r="E827" s="34"/>
      <c r="F827" s="34"/>
      <c r="G827" s="37"/>
      <c r="H827" s="34"/>
      <c r="I827" s="34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7"/>
      <c r="C828" s="34"/>
      <c r="D828" s="38"/>
      <c r="E828" s="34"/>
      <c r="F828" s="34"/>
      <c r="G828" s="37"/>
      <c r="H828" s="34"/>
      <c r="I828" s="34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7"/>
      <c r="C829" s="34"/>
      <c r="D829" s="38"/>
      <c r="E829" s="34"/>
      <c r="F829" s="34"/>
      <c r="G829" s="37"/>
      <c r="H829" s="34"/>
      <c r="I829" s="34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7"/>
      <c r="C830" s="34"/>
      <c r="D830" s="38"/>
      <c r="E830" s="34"/>
      <c r="F830" s="34"/>
      <c r="G830" s="37"/>
      <c r="H830" s="34"/>
      <c r="I830" s="34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7"/>
      <c r="C831" s="34"/>
      <c r="D831" s="38"/>
      <c r="E831" s="34"/>
      <c r="F831" s="34"/>
      <c r="G831" s="37"/>
      <c r="H831" s="34"/>
      <c r="I831" s="34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7"/>
      <c r="C832" s="34"/>
      <c r="D832" s="38"/>
      <c r="E832" s="34"/>
      <c r="F832" s="34"/>
      <c r="G832" s="37"/>
      <c r="H832" s="34"/>
      <c r="I832" s="34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7"/>
      <c r="C833" s="34"/>
      <c r="D833" s="38"/>
      <c r="E833" s="34"/>
      <c r="F833" s="34"/>
      <c r="G833" s="37"/>
      <c r="H833" s="34"/>
      <c r="I833" s="34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7"/>
      <c r="C834" s="34"/>
      <c r="D834" s="38"/>
      <c r="E834" s="34"/>
      <c r="F834" s="34"/>
      <c r="G834" s="37"/>
      <c r="H834" s="34"/>
      <c r="I834" s="34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7"/>
      <c r="C835" s="34"/>
      <c r="D835" s="38"/>
      <c r="E835" s="34"/>
      <c r="F835" s="34"/>
      <c r="G835" s="37"/>
      <c r="H835" s="34"/>
      <c r="I835" s="34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7"/>
      <c r="C836" s="34"/>
      <c r="D836" s="38"/>
      <c r="E836" s="34"/>
      <c r="F836" s="34"/>
      <c r="G836" s="37"/>
      <c r="H836" s="34"/>
      <c r="I836" s="34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7"/>
      <c r="C837" s="34"/>
      <c r="D837" s="38"/>
      <c r="E837" s="34"/>
      <c r="F837" s="34"/>
      <c r="G837" s="37"/>
      <c r="H837" s="34"/>
      <c r="I837" s="34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7"/>
      <c r="C838" s="34"/>
      <c r="D838" s="38"/>
      <c r="E838" s="34"/>
      <c r="F838" s="34"/>
      <c r="G838" s="37"/>
      <c r="H838" s="34"/>
      <c r="I838" s="34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7"/>
      <c r="C839" s="34"/>
      <c r="D839" s="38"/>
      <c r="E839" s="34"/>
      <c r="F839" s="34"/>
      <c r="G839" s="37"/>
      <c r="H839" s="34"/>
      <c r="I839" s="34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7"/>
      <c r="C840" s="34"/>
      <c r="D840" s="38"/>
      <c r="E840" s="34"/>
      <c r="F840" s="34"/>
      <c r="G840" s="37"/>
      <c r="H840" s="34"/>
      <c r="I840" s="34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7"/>
      <c r="C841" s="34"/>
      <c r="D841" s="38"/>
      <c r="E841" s="34"/>
      <c r="F841" s="34"/>
      <c r="G841" s="37"/>
      <c r="H841" s="34"/>
      <c r="I841" s="34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7"/>
      <c r="C842" s="34"/>
      <c r="D842" s="38"/>
      <c r="E842" s="34"/>
      <c r="F842" s="34"/>
      <c r="G842" s="37"/>
      <c r="H842" s="34"/>
      <c r="I842" s="34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7"/>
      <c r="C843" s="34"/>
      <c r="D843" s="38"/>
      <c r="E843" s="34"/>
      <c r="F843" s="34"/>
      <c r="G843" s="37"/>
      <c r="H843" s="34"/>
      <c r="I843" s="34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7"/>
      <c r="C844" s="34"/>
      <c r="D844" s="38"/>
      <c r="E844" s="34"/>
      <c r="F844" s="34"/>
      <c r="G844" s="37"/>
      <c r="H844" s="34"/>
      <c r="I844" s="34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7"/>
      <c r="C845" s="34"/>
      <c r="D845" s="38"/>
      <c r="E845" s="34"/>
      <c r="F845" s="34"/>
      <c r="G845" s="37"/>
      <c r="H845" s="34"/>
      <c r="I845" s="34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7"/>
      <c r="C846" s="34"/>
      <c r="D846" s="38"/>
      <c r="E846" s="34"/>
      <c r="F846" s="34"/>
      <c r="G846" s="37"/>
      <c r="H846" s="34"/>
      <c r="I846" s="34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7"/>
      <c r="C847" s="34"/>
      <c r="D847" s="38"/>
      <c r="E847" s="34"/>
      <c r="F847" s="34"/>
      <c r="G847" s="37"/>
      <c r="H847" s="34"/>
      <c r="I847" s="34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7"/>
      <c r="C848" s="34"/>
      <c r="D848" s="38"/>
      <c r="E848" s="34"/>
      <c r="F848" s="34"/>
      <c r="G848" s="37"/>
      <c r="H848" s="34"/>
      <c r="I848" s="34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7"/>
      <c r="C849" s="34"/>
      <c r="D849" s="38"/>
      <c r="E849" s="34"/>
      <c r="F849" s="34"/>
      <c r="G849" s="37"/>
      <c r="H849" s="34"/>
      <c r="I849" s="34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7"/>
      <c r="C850" s="34"/>
      <c r="D850" s="38"/>
      <c r="E850" s="34"/>
      <c r="F850" s="34"/>
      <c r="G850" s="37"/>
      <c r="H850" s="34"/>
      <c r="I850" s="34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7"/>
      <c r="C851" s="34"/>
      <c r="D851" s="38"/>
      <c r="E851" s="34"/>
      <c r="F851" s="34"/>
      <c r="G851" s="37"/>
      <c r="H851" s="34"/>
      <c r="I851" s="34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7"/>
      <c r="C852" s="34"/>
      <c r="D852" s="38"/>
      <c r="E852" s="34"/>
      <c r="F852" s="34"/>
      <c r="G852" s="37"/>
      <c r="H852" s="34"/>
      <c r="I852" s="34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7"/>
      <c r="C853" s="34"/>
      <c r="D853" s="38"/>
      <c r="E853" s="34"/>
      <c r="F853" s="34"/>
      <c r="G853" s="37"/>
      <c r="H853" s="34"/>
      <c r="I853" s="34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7"/>
      <c r="C854" s="34"/>
      <c r="D854" s="38"/>
      <c r="E854" s="34"/>
      <c r="F854" s="34"/>
      <c r="G854" s="37"/>
      <c r="H854" s="34"/>
      <c r="I854" s="34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7"/>
      <c r="C855" s="34"/>
      <c r="D855" s="38"/>
      <c r="E855" s="34"/>
      <c r="F855" s="34"/>
      <c r="G855" s="37"/>
      <c r="H855" s="34"/>
      <c r="I855" s="34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7"/>
      <c r="C856" s="34"/>
      <c r="D856" s="38"/>
      <c r="E856" s="34"/>
      <c r="F856" s="34"/>
      <c r="G856" s="37"/>
      <c r="H856" s="34"/>
      <c r="I856" s="34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7"/>
      <c r="C857" s="34"/>
      <c r="D857" s="38"/>
      <c r="E857" s="34"/>
      <c r="F857" s="34"/>
      <c r="G857" s="37"/>
      <c r="H857" s="34"/>
      <c r="I857" s="34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7"/>
      <c r="C858" s="34"/>
      <c r="D858" s="38"/>
      <c r="E858" s="34"/>
      <c r="F858" s="34"/>
      <c r="G858" s="37"/>
      <c r="H858" s="34"/>
      <c r="I858" s="34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7"/>
      <c r="C859" s="34"/>
      <c r="D859" s="38"/>
      <c r="E859" s="34"/>
      <c r="F859" s="34"/>
      <c r="G859" s="37"/>
      <c r="H859" s="34"/>
      <c r="I859" s="34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7"/>
      <c r="C860" s="34"/>
      <c r="D860" s="38"/>
      <c r="E860" s="34"/>
      <c r="F860" s="34"/>
      <c r="G860" s="37"/>
      <c r="H860" s="34"/>
      <c r="I860" s="34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7"/>
      <c r="C861" s="34"/>
      <c r="D861" s="38"/>
      <c r="E861" s="34"/>
      <c r="F861" s="34"/>
      <c r="G861" s="37"/>
      <c r="H861" s="34"/>
      <c r="I861" s="34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7"/>
      <c r="C862" s="34"/>
      <c r="D862" s="38"/>
      <c r="E862" s="34"/>
      <c r="F862" s="34"/>
      <c r="G862" s="37"/>
      <c r="H862" s="34"/>
      <c r="I862" s="34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7"/>
      <c r="C863" s="34"/>
      <c r="D863" s="38"/>
      <c r="E863" s="34"/>
      <c r="F863" s="34"/>
      <c r="G863" s="37"/>
      <c r="H863" s="34"/>
      <c r="I863" s="34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7"/>
      <c r="C864" s="34"/>
      <c r="D864" s="38"/>
      <c r="E864" s="34"/>
      <c r="F864" s="34"/>
      <c r="G864" s="37"/>
      <c r="H864" s="34"/>
      <c r="I864" s="34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7"/>
      <c r="C865" s="34"/>
      <c r="D865" s="38"/>
      <c r="E865" s="34"/>
      <c r="F865" s="34"/>
      <c r="G865" s="37"/>
      <c r="H865" s="34"/>
      <c r="I865" s="34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7"/>
      <c r="C866" s="34"/>
      <c r="D866" s="38"/>
      <c r="E866" s="34"/>
      <c r="F866" s="34"/>
      <c r="G866" s="37"/>
      <c r="H866" s="34"/>
      <c r="I866" s="34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7"/>
      <c r="C867" s="34"/>
      <c r="D867" s="38"/>
      <c r="E867" s="34"/>
      <c r="F867" s="34"/>
      <c r="G867" s="37"/>
      <c r="H867" s="34"/>
      <c r="I867" s="34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7"/>
      <c r="C868" s="34"/>
      <c r="D868" s="38"/>
      <c r="E868" s="34"/>
      <c r="F868" s="34"/>
      <c r="G868" s="37"/>
      <c r="H868" s="34"/>
      <c r="I868" s="34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7"/>
      <c r="C869" s="34"/>
      <c r="D869" s="38"/>
      <c r="E869" s="34"/>
      <c r="F869" s="34"/>
      <c r="G869" s="37"/>
      <c r="H869" s="34"/>
      <c r="I869" s="34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7"/>
      <c r="C870" s="34"/>
      <c r="D870" s="38"/>
      <c r="E870" s="34"/>
      <c r="F870" s="34"/>
      <c r="G870" s="37"/>
      <c r="H870" s="34"/>
      <c r="I870" s="34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7"/>
      <c r="C871" s="34"/>
      <c r="D871" s="38"/>
      <c r="E871" s="34"/>
      <c r="F871" s="34"/>
      <c r="G871" s="37"/>
      <c r="H871" s="34"/>
      <c r="I871" s="34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7"/>
      <c r="C872" s="34"/>
      <c r="D872" s="38"/>
      <c r="E872" s="34"/>
      <c r="F872" s="34"/>
      <c r="G872" s="37"/>
      <c r="H872" s="34"/>
      <c r="I872" s="34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7"/>
      <c r="C873" s="34"/>
      <c r="D873" s="38"/>
      <c r="E873" s="34"/>
      <c r="F873" s="34"/>
      <c r="G873" s="37"/>
      <c r="H873" s="34"/>
      <c r="I873" s="34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7"/>
      <c r="C874" s="34"/>
      <c r="D874" s="38"/>
      <c r="E874" s="34"/>
      <c r="F874" s="34"/>
      <c r="G874" s="37"/>
      <c r="H874" s="34"/>
      <c r="I874" s="34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7"/>
      <c r="C875" s="34"/>
      <c r="D875" s="38"/>
      <c r="E875" s="34"/>
      <c r="F875" s="34"/>
      <c r="G875" s="37"/>
      <c r="H875" s="34"/>
      <c r="I875" s="34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7"/>
      <c r="C876" s="34"/>
      <c r="D876" s="38"/>
      <c r="E876" s="34"/>
      <c r="F876" s="34"/>
      <c r="G876" s="37"/>
      <c r="H876" s="34"/>
      <c r="I876" s="34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7"/>
      <c r="C877" s="34"/>
      <c r="D877" s="38"/>
      <c r="E877" s="34"/>
      <c r="F877" s="34"/>
      <c r="G877" s="37"/>
      <c r="H877" s="34"/>
      <c r="I877" s="34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7"/>
      <c r="C878" s="34"/>
      <c r="D878" s="38"/>
      <c r="E878" s="34"/>
      <c r="F878" s="34"/>
      <c r="G878" s="37"/>
      <c r="H878" s="34"/>
      <c r="I878" s="34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7"/>
      <c r="C879" s="34"/>
      <c r="D879" s="38"/>
      <c r="E879" s="34"/>
      <c r="F879" s="34"/>
      <c r="G879" s="37"/>
      <c r="H879" s="34"/>
      <c r="I879" s="34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7"/>
      <c r="C880" s="34"/>
      <c r="D880" s="38"/>
      <c r="E880" s="34"/>
      <c r="F880" s="34"/>
      <c r="G880" s="37"/>
      <c r="H880" s="34"/>
      <c r="I880" s="34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7"/>
      <c r="C881" s="34"/>
      <c r="D881" s="38"/>
      <c r="E881" s="34"/>
      <c r="F881" s="34"/>
      <c r="G881" s="37"/>
      <c r="H881" s="34"/>
      <c r="I881" s="34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7"/>
      <c r="C882" s="34"/>
      <c r="D882" s="38"/>
      <c r="E882" s="34"/>
      <c r="F882" s="34"/>
      <c r="G882" s="37"/>
      <c r="H882" s="34"/>
      <c r="I882" s="34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7"/>
      <c r="C883" s="34"/>
      <c r="D883" s="38"/>
      <c r="E883" s="34"/>
      <c r="F883" s="34"/>
      <c r="G883" s="37"/>
      <c r="H883" s="34"/>
      <c r="I883" s="34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7"/>
      <c r="C884" s="34"/>
      <c r="D884" s="38"/>
      <c r="E884" s="34"/>
      <c r="F884" s="34"/>
      <c r="G884" s="37"/>
      <c r="H884" s="34"/>
      <c r="I884" s="34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7"/>
      <c r="C885" s="34"/>
      <c r="D885" s="38"/>
      <c r="E885" s="34"/>
      <c r="F885" s="34"/>
      <c r="G885" s="37"/>
      <c r="H885" s="34"/>
      <c r="I885" s="34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7"/>
      <c r="C886" s="34"/>
      <c r="D886" s="38"/>
      <c r="E886" s="34"/>
      <c r="F886" s="34"/>
      <c r="G886" s="37"/>
      <c r="H886" s="34"/>
      <c r="I886" s="34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7"/>
      <c r="C887" s="34"/>
      <c r="D887" s="38"/>
      <c r="E887" s="34"/>
      <c r="F887" s="34"/>
      <c r="G887" s="37"/>
      <c r="H887" s="34"/>
      <c r="I887" s="34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7"/>
      <c r="C888" s="34"/>
      <c r="D888" s="38"/>
      <c r="E888" s="34"/>
      <c r="F888" s="34"/>
      <c r="G888" s="37"/>
      <c r="H888" s="34"/>
      <c r="I888" s="34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7"/>
      <c r="C889" s="34"/>
      <c r="D889" s="38"/>
      <c r="E889" s="34"/>
      <c r="F889" s="34"/>
      <c r="G889" s="37"/>
      <c r="H889" s="34"/>
      <c r="I889" s="34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7"/>
      <c r="C890" s="34"/>
      <c r="D890" s="38"/>
      <c r="E890" s="34"/>
      <c r="F890" s="34"/>
      <c r="G890" s="37"/>
      <c r="H890" s="34"/>
      <c r="I890" s="34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7"/>
      <c r="C891" s="34"/>
      <c r="D891" s="38"/>
      <c r="E891" s="34"/>
      <c r="F891" s="34"/>
      <c r="G891" s="37"/>
      <c r="H891" s="34"/>
      <c r="I891" s="34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7"/>
      <c r="C892" s="34"/>
      <c r="D892" s="38"/>
      <c r="E892" s="34"/>
      <c r="F892" s="34"/>
      <c r="G892" s="37"/>
      <c r="H892" s="34"/>
      <c r="I892" s="34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7"/>
      <c r="C893" s="34"/>
      <c r="D893" s="38"/>
      <c r="E893" s="34"/>
      <c r="F893" s="34"/>
      <c r="G893" s="37"/>
      <c r="H893" s="34"/>
      <c r="I893" s="34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7"/>
      <c r="C894" s="34"/>
      <c r="D894" s="38"/>
      <c r="E894" s="34"/>
      <c r="F894" s="34"/>
      <c r="G894" s="37"/>
      <c r="H894" s="34"/>
      <c r="I894" s="34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7"/>
      <c r="C895" s="34"/>
      <c r="D895" s="38"/>
      <c r="E895" s="34"/>
      <c r="F895" s="34"/>
      <c r="G895" s="37"/>
      <c r="H895" s="34"/>
      <c r="I895" s="34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7"/>
      <c r="C896" s="34"/>
      <c r="D896" s="38"/>
      <c r="E896" s="34"/>
      <c r="F896" s="34"/>
      <c r="G896" s="37"/>
      <c r="H896" s="34"/>
      <c r="I896" s="34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7"/>
      <c r="C897" s="34"/>
      <c r="D897" s="38"/>
      <c r="E897" s="34"/>
      <c r="F897" s="34"/>
      <c r="G897" s="37"/>
      <c r="H897" s="34"/>
      <c r="I897" s="34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7"/>
      <c r="C898" s="34"/>
      <c r="D898" s="38"/>
      <c r="E898" s="34"/>
      <c r="F898" s="34"/>
      <c r="G898" s="37"/>
      <c r="H898" s="34"/>
      <c r="I898" s="34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7"/>
      <c r="C899" s="34"/>
      <c r="D899" s="38"/>
      <c r="E899" s="34"/>
      <c r="F899" s="34"/>
      <c r="G899" s="37"/>
      <c r="H899" s="34"/>
      <c r="I899" s="34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7"/>
      <c r="C900" s="34"/>
      <c r="D900" s="38"/>
      <c r="E900" s="34"/>
      <c r="F900" s="34"/>
      <c r="G900" s="37"/>
      <c r="H900" s="34"/>
      <c r="I900" s="34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7"/>
      <c r="C901" s="34"/>
      <c r="D901" s="38"/>
      <c r="E901" s="34"/>
      <c r="F901" s="34"/>
      <c r="G901" s="37"/>
      <c r="H901" s="34"/>
      <c r="I901" s="34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7"/>
      <c r="C902" s="34"/>
      <c r="D902" s="38"/>
      <c r="E902" s="34"/>
      <c r="F902" s="34"/>
      <c r="G902" s="37"/>
      <c r="H902" s="34"/>
      <c r="I902" s="34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7"/>
      <c r="C903" s="34"/>
      <c r="D903" s="38"/>
      <c r="E903" s="34"/>
      <c r="F903" s="34"/>
      <c r="G903" s="37"/>
      <c r="H903" s="34"/>
      <c r="I903" s="34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7"/>
      <c r="C904" s="34"/>
      <c r="D904" s="38"/>
      <c r="E904" s="34"/>
      <c r="F904" s="34"/>
      <c r="G904" s="37"/>
      <c r="H904" s="34"/>
      <c r="I904" s="34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7"/>
      <c r="C905" s="34"/>
      <c r="D905" s="38"/>
      <c r="E905" s="34"/>
      <c r="F905" s="34"/>
      <c r="G905" s="37"/>
      <c r="H905" s="34"/>
      <c r="I905" s="34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7"/>
      <c r="C906" s="34"/>
      <c r="D906" s="38"/>
      <c r="E906" s="34"/>
      <c r="F906" s="34"/>
      <c r="G906" s="37"/>
      <c r="H906" s="34"/>
      <c r="I906" s="34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7"/>
      <c r="C907" s="34"/>
      <c r="D907" s="38"/>
      <c r="E907" s="34"/>
      <c r="F907" s="34"/>
      <c r="G907" s="37"/>
      <c r="H907" s="34"/>
      <c r="I907" s="34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7"/>
      <c r="C908" s="34"/>
      <c r="D908" s="38"/>
      <c r="E908" s="34"/>
      <c r="F908" s="34"/>
      <c r="G908" s="37"/>
      <c r="H908" s="34"/>
      <c r="I908" s="34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7"/>
      <c r="C909" s="34"/>
      <c r="D909" s="38"/>
      <c r="E909" s="34"/>
      <c r="F909" s="34"/>
      <c r="G909" s="37"/>
      <c r="H909" s="34"/>
      <c r="I909" s="34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7"/>
      <c r="C910" s="34"/>
      <c r="D910" s="38"/>
      <c r="E910" s="34"/>
      <c r="F910" s="34"/>
      <c r="G910" s="37"/>
      <c r="H910" s="34"/>
      <c r="I910" s="34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7"/>
      <c r="C911" s="34"/>
      <c r="D911" s="38"/>
      <c r="E911" s="34"/>
      <c r="F911" s="34"/>
      <c r="G911" s="37"/>
      <c r="H911" s="34"/>
      <c r="I911" s="34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7"/>
      <c r="C912" s="34"/>
      <c r="D912" s="38"/>
      <c r="E912" s="34"/>
      <c r="F912" s="34"/>
      <c r="G912" s="37"/>
      <c r="H912" s="34"/>
      <c r="I912" s="34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7"/>
      <c r="C913" s="34"/>
      <c r="D913" s="38"/>
      <c r="E913" s="34"/>
      <c r="F913" s="34"/>
      <c r="G913" s="37"/>
      <c r="H913" s="34"/>
      <c r="I913" s="34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7"/>
      <c r="C914" s="34"/>
      <c r="D914" s="38"/>
      <c r="E914" s="34"/>
      <c r="F914" s="34"/>
      <c r="G914" s="37"/>
      <c r="H914" s="34"/>
      <c r="I914" s="34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7"/>
      <c r="C915" s="34"/>
      <c r="D915" s="38"/>
      <c r="E915" s="34"/>
      <c r="F915" s="34"/>
      <c r="G915" s="37"/>
      <c r="H915" s="34"/>
      <c r="I915" s="34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7"/>
      <c r="C916" s="34"/>
      <c r="D916" s="38"/>
      <c r="E916" s="34"/>
      <c r="F916" s="34"/>
      <c r="G916" s="37"/>
      <c r="H916" s="34"/>
      <c r="I916" s="34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7"/>
      <c r="C917" s="34"/>
      <c r="D917" s="38"/>
      <c r="E917" s="34"/>
      <c r="F917" s="34"/>
      <c r="G917" s="37"/>
      <c r="H917" s="34"/>
      <c r="I917" s="34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7"/>
      <c r="C918" s="34"/>
      <c r="D918" s="38"/>
      <c r="E918" s="34"/>
      <c r="F918" s="34"/>
      <c r="G918" s="37"/>
      <c r="H918" s="34"/>
      <c r="I918" s="34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7"/>
      <c r="C919" s="34"/>
      <c r="D919" s="38"/>
      <c r="E919" s="34"/>
      <c r="F919" s="34"/>
      <c r="G919" s="37"/>
      <c r="H919" s="34"/>
      <c r="I919" s="34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7"/>
      <c r="C920" s="34"/>
      <c r="D920" s="38"/>
      <c r="E920" s="34"/>
      <c r="F920" s="34"/>
      <c r="G920" s="37"/>
      <c r="H920" s="34"/>
      <c r="I920" s="34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7"/>
      <c r="C921" s="34"/>
      <c r="D921" s="38"/>
      <c r="E921" s="34"/>
      <c r="F921" s="34"/>
      <c r="G921" s="37"/>
      <c r="H921" s="34"/>
      <c r="I921" s="34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7"/>
      <c r="C922" s="34"/>
      <c r="D922" s="38"/>
      <c r="E922" s="34"/>
      <c r="F922" s="34"/>
      <c r="G922" s="37"/>
      <c r="H922" s="34"/>
      <c r="I922" s="34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7"/>
      <c r="C923" s="34"/>
      <c r="D923" s="38"/>
      <c r="E923" s="34"/>
      <c r="F923" s="34"/>
      <c r="G923" s="37"/>
      <c r="H923" s="34"/>
      <c r="I923" s="34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7"/>
      <c r="C924" s="34"/>
      <c r="D924" s="38"/>
      <c r="E924" s="34"/>
      <c r="F924" s="34"/>
      <c r="G924" s="37"/>
      <c r="H924" s="34"/>
      <c r="I924" s="34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7"/>
      <c r="C925" s="34"/>
      <c r="D925" s="38"/>
      <c r="E925" s="34"/>
      <c r="F925" s="34"/>
      <c r="G925" s="37"/>
      <c r="H925" s="34"/>
      <c r="I925" s="34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7"/>
      <c r="C926" s="34"/>
      <c r="D926" s="38"/>
      <c r="E926" s="34"/>
      <c r="F926" s="34"/>
      <c r="G926" s="37"/>
      <c r="H926" s="34"/>
      <c r="I926" s="34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7"/>
      <c r="C927" s="34"/>
      <c r="D927" s="38"/>
      <c r="E927" s="34"/>
      <c r="F927" s="34"/>
      <c r="G927" s="37"/>
      <c r="H927" s="34"/>
      <c r="I927" s="34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7"/>
      <c r="C928" s="34"/>
      <c r="D928" s="38"/>
      <c r="E928" s="34"/>
      <c r="F928" s="34"/>
      <c r="G928" s="37"/>
      <c r="H928" s="34"/>
      <c r="I928" s="34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7"/>
      <c r="C929" s="34"/>
      <c r="D929" s="38"/>
      <c r="E929" s="34"/>
      <c r="F929" s="34"/>
      <c r="G929" s="37"/>
      <c r="H929" s="34"/>
      <c r="I929" s="34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7"/>
      <c r="C930" s="34"/>
      <c r="D930" s="38"/>
      <c r="E930" s="34"/>
      <c r="F930" s="34"/>
      <c r="G930" s="37"/>
      <c r="H930" s="34"/>
      <c r="I930" s="34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7"/>
      <c r="C931" s="34"/>
      <c r="D931" s="38"/>
      <c r="E931" s="34"/>
      <c r="F931" s="34"/>
      <c r="G931" s="37"/>
      <c r="H931" s="34"/>
      <c r="I931" s="34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7"/>
      <c r="C932" s="34"/>
      <c r="D932" s="38"/>
      <c r="E932" s="34"/>
      <c r="F932" s="34"/>
      <c r="G932" s="37"/>
      <c r="H932" s="34"/>
      <c r="I932" s="34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7"/>
      <c r="C933" s="34"/>
      <c r="D933" s="38"/>
      <c r="E933" s="34"/>
      <c r="F933" s="34"/>
      <c r="G933" s="37"/>
      <c r="H933" s="34"/>
      <c r="I933" s="34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7"/>
      <c r="C934" s="34"/>
      <c r="D934" s="38"/>
      <c r="E934" s="34"/>
      <c r="F934" s="34"/>
      <c r="G934" s="37"/>
      <c r="H934" s="34"/>
      <c r="I934" s="34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7"/>
      <c r="C935" s="34"/>
      <c r="D935" s="38"/>
      <c r="E935" s="34"/>
      <c r="F935" s="34"/>
      <c r="G935" s="37"/>
      <c r="H935" s="34"/>
      <c r="I935" s="34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7"/>
      <c r="C936" s="34"/>
      <c r="D936" s="38"/>
      <c r="E936" s="34"/>
      <c r="F936" s="34"/>
      <c r="G936" s="37"/>
      <c r="H936" s="34"/>
      <c r="I936" s="34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7"/>
      <c r="C937" s="34"/>
      <c r="D937" s="38"/>
      <c r="E937" s="34"/>
      <c r="F937" s="34"/>
      <c r="G937" s="37"/>
      <c r="H937" s="34"/>
      <c r="I937" s="34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7"/>
      <c r="C938" s="34"/>
      <c r="D938" s="38"/>
      <c r="E938" s="34"/>
      <c r="F938" s="34"/>
      <c r="G938" s="37"/>
      <c r="H938" s="34"/>
      <c r="I938" s="34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7"/>
      <c r="C939" s="34"/>
      <c r="D939" s="38"/>
      <c r="E939" s="34"/>
      <c r="F939" s="34"/>
      <c r="G939" s="37"/>
      <c r="H939" s="34"/>
      <c r="I939" s="34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7"/>
      <c r="C940" s="34"/>
      <c r="D940" s="38"/>
      <c r="E940" s="34"/>
      <c r="F940" s="34"/>
      <c r="G940" s="37"/>
      <c r="H940" s="34"/>
      <c r="I940" s="34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7"/>
      <c r="C941" s="34"/>
      <c r="D941" s="38"/>
      <c r="E941" s="34"/>
      <c r="F941" s="34"/>
      <c r="G941" s="37"/>
      <c r="H941" s="34"/>
      <c r="I941" s="34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7"/>
      <c r="C942" s="34"/>
      <c r="D942" s="38"/>
      <c r="E942" s="34"/>
      <c r="F942" s="34"/>
      <c r="G942" s="37"/>
      <c r="H942" s="34"/>
      <c r="I942" s="34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7"/>
      <c r="C943" s="34"/>
      <c r="D943" s="38"/>
      <c r="E943" s="34"/>
      <c r="F943" s="34"/>
      <c r="G943" s="37"/>
      <c r="H943" s="34"/>
      <c r="I943" s="34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7"/>
      <c r="C944" s="34"/>
      <c r="D944" s="38"/>
      <c r="E944" s="34"/>
      <c r="F944" s="34"/>
      <c r="G944" s="37"/>
      <c r="H944" s="34"/>
      <c r="I944" s="34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7"/>
      <c r="C945" s="34"/>
      <c r="D945" s="38"/>
      <c r="E945" s="34"/>
      <c r="F945" s="34"/>
      <c r="G945" s="37"/>
      <c r="H945" s="34"/>
      <c r="I945" s="34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7"/>
      <c r="C946" s="34"/>
      <c r="D946" s="38"/>
      <c r="E946" s="34"/>
      <c r="F946" s="34"/>
      <c r="G946" s="37"/>
      <c r="H946" s="34"/>
      <c r="I946" s="34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7"/>
      <c r="C947" s="34"/>
      <c r="D947" s="38"/>
      <c r="E947" s="34"/>
      <c r="F947" s="34"/>
      <c r="G947" s="37"/>
      <c r="H947" s="34"/>
      <c r="I947" s="34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7"/>
      <c r="C948" s="34"/>
      <c r="D948" s="38"/>
      <c r="E948" s="34"/>
      <c r="F948" s="34"/>
      <c r="G948" s="37"/>
      <c r="H948" s="34"/>
      <c r="I948" s="34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7"/>
      <c r="C949" s="34"/>
      <c r="D949" s="38"/>
      <c r="E949" s="34"/>
      <c r="F949" s="34"/>
      <c r="G949" s="37"/>
      <c r="H949" s="34"/>
      <c r="I949" s="34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7"/>
      <c r="C950" s="34"/>
      <c r="D950" s="38"/>
      <c r="E950" s="34"/>
      <c r="F950" s="34"/>
      <c r="G950" s="37"/>
      <c r="H950" s="34"/>
      <c r="I950" s="34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7"/>
      <c r="C951" s="34"/>
      <c r="D951" s="38"/>
      <c r="E951" s="34"/>
      <c r="F951" s="34"/>
      <c r="G951" s="37"/>
      <c r="H951" s="34"/>
      <c r="I951" s="34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7"/>
      <c r="C952" s="34"/>
      <c r="D952" s="38"/>
      <c r="E952" s="34"/>
      <c r="F952" s="34"/>
      <c r="G952" s="37"/>
      <c r="H952" s="34"/>
      <c r="I952" s="34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7"/>
      <c r="C953" s="34"/>
      <c r="D953" s="38"/>
      <c r="E953" s="34"/>
      <c r="F953" s="34"/>
      <c r="G953" s="37"/>
      <c r="H953" s="34"/>
      <c r="I953" s="34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7"/>
      <c r="C954" s="34"/>
      <c r="D954" s="38"/>
      <c r="E954" s="34"/>
      <c r="F954" s="34"/>
      <c r="G954" s="37"/>
      <c r="H954" s="34"/>
      <c r="I954" s="34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7"/>
      <c r="C955" s="34"/>
      <c r="D955" s="38"/>
      <c r="E955" s="34"/>
      <c r="F955" s="34"/>
      <c r="G955" s="37"/>
      <c r="H955" s="34"/>
      <c r="I955" s="34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7"/>
      <c r="C956" s="34"/>
      <c r="D956" s="38"/>
      <c r="E956" s="34"/>
      <c r="F956" s="34"/>
      <c r="G956" s="37"/>
      <c r="H956" s="34"/>
      <c r="I956" s="34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7"/>
      <c r="C957" s="34"/>
      <c r="D957" s="38"/>
      <c r="E957" s="34"/>
      <c r="F957" s="34"/>
      <c r="G957" s="37"/>
      <c r="H957" s="34"/>
      <c r="I957" s="34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7"/>
      <c r="C958" s="34"/>
      <c r="D958" s="38"/>
      <c r="E958" s="34"/>
      <c r="F958" s="34"/>
      <c r="G958" s="37"/>
      <c r="H958" s="34"/>
      <c r="I958" s="34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7"/>
      <c r="C959" s="34"/>
      <c r="D959" s="38"/>
      <c r="E959" s="34"/>
      <c r="F959" s="34"/>
      <c r="G959" s="37"/>
      <c r="H959" s="34"/>
      <c r="I959" s="34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7"/>
      <c r="C960" s="34"/>
      <c r="D960" s="38"/>
      <c r="E960" s="34"/>
      <c r="F960" s="34"/>
      <c r="G960" s="37"/>
      <c r="H960" s="34"/>
      <c r="I960" s="34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7"/>
      <c r="C961" s="34"/>
      <c r="D961" s="38"/>
      <c r="E961" s="34"/>
      <c r="F961" s="34"/>
      <c r="G961" s="37"/>
      <c r="H961" s="34"/>
      <c r="I961" s="34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7"/>
      <c r="C962" s="34"/>
      <c r="D962" s="38"/>
      <c r="E962" s="34"/>
      <c r="F962" s="34"/>
      <c r="G962" s="37"/>
      <c r="H962" s="34"/>
      <c r="I962" s="34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7"/>
      <c r="C963" s="34"/>
      <c r="D963" s="38"/>
      <c r="E963" s="34"/>
      <c r="F963" s="34"/>
      <c r="G963" s="37"/>
      <c r="H963" s="34"/>
      <c r="I963" s="34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7"/>
      <c r="C964" s="34"/>
      <c r="D964" s="38"/>
      <c r="E964" s="34"/>
      <c r="F964" s="34"/>
      <c r="G964" s="37"/>
      <c r="H964" s="34"/>
      <c r="I964" s="34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7"/>
      <c r="C965" s="34"/>
      <c r="D965" s="38"/>
      <c r="E965" s="34"/>
      <c r="F965" s="34"/>
      <c r="G965" s="37"/>
      <c r="H965" s="34"/>
      <c r="I965" s="34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7"/>
      <c r="C966" s="34"/>
      <c r="D966" s="38"/>
      <c r="E966" s="34"/>
      <c r="F966" s="34"/>
      <c r="G966" s="37"/>
      <c r="H966" s="34"/>
      <c r="I966" s="34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7"/>
      <c r="C967" s="34"/>
      <c r="D967" s="38"/>
      <c r="E967" s="34"/>
      <c r="F967" s="34"/>
      <c r="G967" s="37"/>
      <c r="H967" s="34"/>
      <c r="I967" s="34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7"/>
      <c r="C968" s="34"/>
      <c r="D968" s="38"/>
      <c r="E968" s="34"/>
      <c r="F968" s="34"/>
      <c r="G968" s="37"/>
      <c r="H968" s="34"/>
      <c r="I968" s="34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7"/>
      <c r="C969" s="34"/>
      <c r="D969" s="38"/>
      <c r="E969" s="34"/>
      <c r="F969" s="34"/>
      <c r="G969" s="37"/>
      <c r="H969" s="34"/>
      <c r="I969" s="34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7"/>
      <c r="C970" s="34"/>
      <c r="D970" s="38"/>
      <c r="E970" s="34"/>
      <c r="F970" s="34"/>
      <c r="G970" s="37"/>
      <c r="H970" s="34"/>
      <c r="I970" s="34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7"/>
      <c r="C971" s="34"/>
      <c r="D971" s="38"/>
      <c r="E971" s="34"/>
      <c r="F971" s="34"/>
      <c r="G971" s="37"/>
      <c r="H971" s="34"/>
      <c r="I971" s="34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7"/>
      <c r="C972" s="34"/>
      <c r="D972" s="38"/>
      <c r="E972" s="34"/>
      <c r="F972" s="34"/>
      <c r="G972" s="37"/>
      <c r="H972" s="34"/>
      <c r="I972" s="34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7"/>
      <c r="C973" s="34"/>
      <c r="D973" s="38"/>
      <c r="E973" s="34"/>
      <c r="F973" s="34"/>
      <c r="G973" s="37"/>
      <c r="H973" s="34"/>
      <c r="I973" s="34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7"/>
      <c r="C974" s="34"/>
      <c r="D974" s="38"/>
      <c r="E974" s="34"/>
      <c r="F974" s="34"/>
      <c r="G974" s="37"/>
      <c r="H974" s="34"/>
      <c r="I974" s="34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7"/>
      <c r="C975" s="34"/>
      <c r="D975" s="38"/>
      <c r="E975" s="34"/>
      <c r="F975" s="34"/>
      <c r="G975" s="37"/>
      <c r="H975" s="34"/>
      <c r="I975" s="34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7"/>
      <c r="C976" s="34"/>
      <c r="D976" s="38"/>
      <c r="E976" s="34"/>
      <c r="F976" s="34"/>
      <c r="G976" s="37"/>
      <c r="H976" s="34"/>
      <c r="I976" s="34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7"/>
      <c r="C977" s="34"/>
      <c r="D977" s="38"/>
      <c r="E977" s="34"/>
      <c r="F977" s="34"/>
      <c r="G977" s="37"/>
      <c r="H977" s="34"/>
      <c r="I977" s="34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7"/>
      <c r="C978" s="34"/>
      <c r="D978" s="38"/>
      <c r="E978" s="34"/>
      <c r="F978" s="34"/>
      <c r="G978" s="37"/>
      <c r="H978" s="34"/>
      <c r="I978" s="34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7"/>
      <c r="C979" s="34"/>
      <c r="D979" s="38"/>
      <c r="E979" s="34"/>
      <c r="F979" s="34"/>
      <c r="G979" s="37"/>
      <c r="H979" s="34"/>
      <c r="I979" s="34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7"/>
      <c r="C980" s="34"/>
      <c r="D980" s="38"/>
      <c r="E980" s="34"/>
      <c r="F980" s="34"/>
      <c r="G980" s="37"/>
      <c r="H980" s="34"/>
      <c r="I980" s="34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7"/>
      <c r="C981" s="34"/>
      <c r="D981" s="38"/>
      <c r="E981" s="34"/>
      <c r="F981" s="34"/>
      <c r="G981" s="37"/>
      <c r="H981" s="34"/>
      <c r="I981" s="34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7"/>
      <c r="C982" s="34"/>
      <c r="D982" s="38"/>
      <c r="E982" s="34"/>
      <c r="F982" s="34"/>
      <c r="G982" s="37"/>
      <c r="H982" s="34"/>
      <c r="I982" s="34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7"/>
      <c r="C983" s="34"/>
      <c r="D983" s="38"/>
      <c r="E983" s="34"/>
      <c r="F983" s="34"/>
      <c r="G983" s="37"/>
      <c r="H983" s="34"/>
      <c r="I983" s="34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7"/>
      <c r="C984" s="34"/>
      <c r="D984" s="38"/>
      <c r="E984" s="34"/>
      <c r="F984" s="34"/>
      <c r="G984" s="37"/>
      <c r="H984" s="34"/>
      <c r="I984" s="34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7"/>
      <c r="C985" s="34"/>
      <c r="D985" s="38"/>
      <c r="E985" s="34"/>
      <c r="F985" s="34"/>
      <c r="G985" s="37"/>
      <c r="H985" s="34"/>
      <c r="I985" s="34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7"/>
      <c r="C986" s="34"/>
      <c r="D986" s="38"/>
      <c r="E986" s="34"/>
      <c r="F986" s="34"/>
      <c r="G986" s="37"/>
      <c r="H986" s="34"/>
      <c r="I986" s="34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</sheetData>
  <hyperlinks>
    <hyperlink r:id="rId1" ref="B4"/>
    <hyperlink r:id="rId2" ref="B5"/>
    <hyperlink r:id="rId3" ref="B6"/>
    <hyperlink r:id="rId4" ref="B7"/>
    <hyperlink r:id="rId5" ref="B9"/>
    <hyperlink r:id="rId6" ref="C11"/>
    <hyperlink r:id="rId7" ref="E11"/>
    <hyperlink r:id="rId8" ref="F11"/>
    <hyperlink r:id="rId9" ref="I11"/>
    <hyperlink r:id="rId10" ref="C12"/>
    <hyperlink r:id="rId11" ref="E12"/>
    <hyperlink r:id="rId12" ref="F12"/>
    <hyperlink r:id="rId13" ref="I12"/>
    <hyperlink r:id="rId14" ref="C13"/>
    <hyperlink r:id="rId15" ref="E13"/>
    <hyperlink r:id="rId16" ref="F13"/>
    <hyperlink r:id="rId17" ref="I13"/>
    <hyperlink r:id="rId18" ref="C14"/>
    <hyperlink r:id="rId19" ref="E14"/>
    <hyperlink r:id="rId20" ref="F14"/>
    <hyperlink r:id="rId21" ref="I14"/>
    <hyperlink r:id="rId22" ref="C15"/>
    <hyperlink r:id="rId23" ref="E15"/>
    <hyperlink r:id="rId24" ref="F15"/>
    <hyperlink r:id="rId25" ref="I15"/>
    <hyperlink r:id="rId26" ref="C16"/>
    <hyperlink r:id="rId27" ref="E16"/>
    <hyperlink r:id="rId28" ref="F16"/>
    <hyperlink r:id="rId29" ref="I16"/>
    <hyperlink r:id="rId30" ref="C17"/>
    <hyperlink r:id="rId31" ref="E17"/>
    <hyperlink r:id="rId32" ref="F17"/>
    <hyperlink r:id="rId33" ref="I17"/>
    <hyperlink r:id="rId34" ref="C18"/>
    <hyperlink r:id="rId35" ref="E18"/>
    <hyperlink r:id="rId36" ref="F18"/>
    <hyperlink r:id="rId37" ref="I18"/>
    <hyperlink r:id="rId38" ref="C19"/>
    <hyperlink r:id="rId39" ref="E19"/>
    <hyperlink r:id="rId40" ref="F19"/>
    <hyperlink r:id="rId41" ref="I19"/>
    <hyperlink r:id="rId42" ref="C20"/>
    <hyperlink r:id="rId43" ref="E20"/>
    <hyperlink r:id="rId44" ref="F20"/>
    <hyperlink r:id="rId45" ref="I20"/>
    <hyperlink r:id="rId46" ref="C21"/>
    <hyperlink r:id="rId47" ref="E21"/>
    <hyperlink r:id="rId48" ref="F21"/>
    <hyperlink r:id="rId49" ref="I21"/>
    <hyperlink r:id="rId50" ref="C22"/>
    <hyperlink r:id="rId51" ref="E22"/>
    <hyperlink r:id="rId52" ref="F22"/>
    <hyperlink r:id="rId53" ref="I22"/>
    <hyperlink r:id="rId54" ref="C23"/>
    <hyperlink r:id="rId55" ref="E23"/>
    <hyperlink r:id="rId56" ref="F23"/>
    <hyperlink r:id="rId57" ref="I23"/>
    <hyperlink r:id="rId58" ref="C24"/>
    <hyperlink r:id="rId59" ref="E24"/>
    <hyperlink r:id="rId60" ref="F24"/>
    <hyperlink r:id="rId61" ref="I24"/>
    <hyperlink r:id="rId62" ref="C25"/>
    <hyperlink r:id="rId63" ref="E25"/>
    <hyperlink r:id="rId64" ref="F25"/>
    <hyperlink r:id="rId65" ref="I25"/>
    <hyperlink r:id="rId66" ref="C26"/>
    <hyperlink r:id="rId67" ref="E26"/>
    <hyperlink r:id="rId68" ref="F26"/>
    <hyperlink r:id="rId69" ref="I26"/>
    <hyperlink r:id="rId70" ref="C27"/>
    <hyperlink r:id="rId71" ref="E27"/>
    <hyperlink r:id="rId72" ref="F27"/>
    <hyperlink r:id="rId73" ref="I27"/>
    <hyperlink r:id="rId74" ref="C28"/>
    <hyperlink r:id="rId75" ref="E28"/>
    <hyperlink r:id="rId76" ref="F28"/>
    <hyperlink r:id="rId77" ref="I28"/>
    <hyperlink r:id="rId78" ref="C29"/>
    <hyperlink r:id="rId79" ref="E29"/>
    <hyperlink r:id="rId80" ref="F29"/>
    <hyperlink r:id="rId81" ref="I29"/>
    <hyperlink r:id="rId82" ref="C30"/>
    <hyperlink r:id="rId83" ref="E30"/>
    <hyperlink r:id="rId84" ref="F30"/>
    <hyperlink r:id="rId85" ref="I30"/>
    <hyperlink r:id="rId86" ref="C31"/>
    <hyperlink r:id="rId87" ref="E31"/>
    <hyperlink r:id="rId88" ref="F31"/>
    <hyperlink r:id="rId89" ref="I31"/>
    <hyperlink r:id="rId90" ref="C32"/>
    <hyperlink r:id="rId91" ref="E32"/>
    <hyperlink r:id="rId92" ref="F32"/>
    <hyperlink r:id="rId93" ref="I32"/>
    <hyperlink r:id="rId94" ref="C33"/>
    <hyperlink r:id="rId95" ref="E33"/>
    <hyperlink r:id="rId96" ref="F33"/>
    <hyperlink r:id="rId97" ref="I33"/>
    <hyperlink r:id="rId98" ref="C34"/>
    <hyperlink r:id="rId99" ref="E34"/>
    <hyperlink r:id="rId100" ref="F34"/>
    <hyperlink r:id="rId101" ref="I34"/>
    <hyperlink r:id="rId102" ref="C35"/>
    <hyperlink r:id="rId103" ref="E35"/>
    <hyperlink r:id="rId104" ref="F35"/>
    <hyperlink r:id="rId105" ref="I35"/>
    <hyperlink r:id="rId106" ref="C36"/>
    <hyperlink r:id="rId107" ref="E36"/>
    <hyperlink r:id="rId108" ref="F36"/>
    <hyperlink r:id="rId109" ref="I36"/>
    <hyperlink r:id="rId110" ref="C37"/>
    <hyperlink r:id="rId111" ref="E37"/>
    <hyperlink r:id="rId112" ref="F37"/>
    <hyperlink r:id="rId113" ref="I37"/>
    <hyperlink r:id="rId114" ref="C38"/>
    <hyperlink r:id="rId115" ref="E38"/>
    <hyperlink r:id="rId116" ref="F38"/>
    <hyperlink r:id="rId117" ref="I38"/>
    <hyperlink r:id="rId118" ref="C39"/>
    <hyperlink r:id="rId119" ref="E39"/>
    <hyperlink r:id="rId120" ref="F39"/>
    <hyperlink r:id="rId121" ref="I39"/>
    <hyperlink r:id="rId122" ref="C40"/>
    <hyperlink r:id="rId123" ref="E40"/>
    <hyperlink r:id="rId124" ref="F40"/>
    <hyperlink r:id="rId125" ref="I40"/>
    <hyperlink r:id="rId126" ref="C41"/>
    <hyperlink r:id="rId127" ref="E41"/>
    <hyperlink r:id="rId128" ref="F41"/>
    <hyperlink r:id="rId129" ref="I41"/>
    <hyperlink r:id="rId130" ref="C42"/>
    <hyperlink r:id="rId131" ref="E42"/>
    <hyperlink r:id="rId132" ref="F42"/>
    <hyperlink r:id="rId133" ref="I42"/>
    <hyperlink r:id="rId134" ref="C43"/>
    <hyperlink r:id="rId135" ref="E43"/>
    <hyperlink r:id="rId136" ref="F43"/>
    <hyperlink r:id="rId137" ref="C44"/>
    <hyperlink r:id="rId138" ref="E44"/>
    <hyperlink r:id="rId139" ref="F44"/>
    <hyperlink r:id="rId140" ref="I44"/>
    <hyperlink r:id="rId141" ref="C45"/>
    <hyperlink r:id="rId142" ref="E45"/>
    <hyperlink r:id="rId143" ref="F45"/>
    <hyperlink r:id="rId144" ref="I45"/>
    <hyperlink r:id="rId145" ref="C46"/>
    <hyperlink r:id="rId146" ref="E46"/>
    <hyperlink r:id="rId147" ref="F46"/>
    <hyperlink r:id="rId148" ref="I46"/>
    <hyperlink r:id="rId149" ref="C47"/>
    <hyperlink r:id="rId150" ref="E47"/>
    <hyperlink r:id="rId151" ref="F47"/>
    <hyperlink r:id="rId152" ref="I47"/>
    <hyperlink r:id="rId153" ref="C48"/>
    <hyperlink r:id="rId154" ref="E48"/>
    <hyperlink r:id="rId155" ref="F48"/>
    <hyperlink r:id="rId156" ref="I48"/>
    <hyperlink r:id="rId157" ref="C49"/>
    <hyperlink r:id="rId158" ref="E49"/>
    <hyperlink r:id="rId159" ref="F49"/>
    <hyperlink r:id="rId160" ref="I49"/>
    <hyperlink r:id="rId161" ref="C50"/>
    <hyperlink r:id="rId162" ref="E50"/>
    <hyperlink r:id="rId163" ref="F50"/>
    <hyperlink r:id="rId164" ref="I50"/>
    <hyperlink r:id="rId165" ref="C51"/>
    <hyperlink r:id="rId166" ref="E51"/>
    <hyperlink r:id="rId167" ref="F51"/>
    <hyperlink r:id="rId168" ref="I51"/>
    <hyperlink r:id="rId169" ref="C52"/>
    <hyperlink r:id="rId170" ref="E52"/>
    <hyperlink r:id="rId171" ref="F52"/>
    <hyperlink r:id="rId172" ref="I52"/>
    <hyperlink r:id="rId173" ref="C53"/>
    <hyperlink r:id="rId174" ref="E53"/>
    <hyperlink r:id="rId175" ref="F53"/>
    <hyperlink r:id="rId176" ref="I53"/>
    <hyperlink r:id="rId177" ref="C54"/>
    <hyperlink r:id="rId178" ref="E54"/>
    <hyperlink r:id="rId179" ref="F54"/>
    <hyperlink r:id="rId180" ref="I54"/>
    <hyperlink r:id="rId181" ref="C55"/>
    <hyperlink r:id="rId182" ref="E55"/>
    <hyperlink r:id="rId183" ref="F55"/>
    <hyperlink r:id="rId184" ref="I55"/>
    <hyperlink r:id="rId185" ref="C56"/>
    <hyperlink r:id="rId186" ref="E56"/>
    <hyperlink r:id="rId187" ref="F56"/>
    <hyperlink r:id="rId188" ref="I56"/>
    <hyperlink r:id="rId189" ref="C57"/>
    <hyperlink r:id="rId190" ref="E57"/>
    <hyperlink r:id="rId191" ref="F57"/>
    <hyperlink r:id="rId192" ref="I57"/>
    <hyperlink r:id="rId193" ref="C58"/>
    <hyperlink r:id="rId194" ref="E58"/>
    <hyperlink r:id="rId195" ref="F58"/>
    <hyperlink r:id="rId196" ref="I58"/>
    <hyperlink r:id="rId197" ref="C59"/>
    <hyperlink r:id="rId198" ref="E59"/>
    <hyperlink r:id="rId199" ref="F59"/>
    <hyperlink r:id="rId200" ref="I59"/>
    <hyperlink r:id="rId201" ref="C60"/>
    <hyperlink r:id="rId202" ref="E60"/>
    <hyperlink r:id="rId203" ref="F60"/>
    <hyperlink r:id="rId204" ref="I60"/>
    <hyperlink r:id="rId205" ref="C61"/>
    <hyperlink r:id="rId206" ref="E61"/>
    <hyperlink r:id="rId207" ref="F61"/>
    <hyperlink r:id="rId208" ref="I61"/>
    <hyperlink r:id="rId209" ref="C62"/>
    <hyperlink r:id="rId210" ref="E62"/>
    <hyperlink r:id="rId211" ref="F62"/>
    <hyperlink r:id="rId212" ref="I62"/>
    <hyperlink r:id="rId213" ref="C63"/>
    <hyperlink r:id="rId214" ref="E63"/>
    <hyperlink r:id="rId215" ref="F63"/>
    <hyperlink r:id="rId216" ref="I63"/>
    <hyperlink r:id="rId217" ref="C64"/>
    <hyperlink r:id="rId218" ref="E64"/>
    <hyperlink r:id="rId219" ref="F64"/>
    <hyperlink r:id="rId220" ref="I64"/>
    <hyperlink r:id="rId221" ref="C65"/>
    <hyperlink r:id="rId222" ref="E65"/>
    <hyperlink r:id="rId223" ref="F65"/>
    <hyperlink r:id="rId224" ref="I65"/>
    <hyperlink r:id="rId225" ref="C66"/>
    <hyperlink r:id="rId226" ref="E66"/>
    <hyperlink r:id="rId227" ref="F66"/>
    <hyperlink r:id="rId228" ref="I66"/>
    <hyperlink r:id="rId229" ref="C67"/>
    <hyperlink r:id="rId230" ref="E67"/>
    <hyperlink r:id="rId231" ref="F67"/>
    <hyperlink r:id="rId232" ref="I67"/>
    <hyperlink r:id="rId233" ref="C68"/>
    <hyperlink r:id="rId234" ref="E68"/>
    <hyperlink r:id="rId235" ref="F68"/>
    <hyperlink r:id="rId236" ref="I68"/>
    <hyperlink r:id="rId237" ref="C69"/>
    <hyperlink r:id="rId238" ref="E69"/>
    <hyperlink r:id="rId239" ref="F69"/>
    <hyperlink r:id="rId240" ref="I69"/>
    <hyperlink r:id="rId241" ref="C70"/>
    <hyperlink r:id="rId242" ref="E70"/>
    <hyperlink r:id="rId243" ref="F70"/>
    <hyperlink r:id="rId244" ref="I70"/>
    <hyperlink r:id="rId245" ref="C71"/>
    <hyperlink r:id="rId246" ref="E71"/>
    <hyperlink r:id="rId247" ref="F71"/>
    <hyperlink r:id="rId248" ref="I71"/>
    <hyperlink r:id="rId249" ref="C72"/>
    <hyperlink r:id="rId250" ref="E72"/>
    <hyperlink r:id="rId251" ref="F72"/>
    <hyperlink r:id="rId252" ref="I72"/>
    <hyperlink r:id="rId253" ref="C73"/>
    <hyperlink r:id="rId254" ref="E73"/>
    <hyperlink r:id="rId255" ref="F73"/>
    <hyperlink r:id="rId256" ref="I73"/>
    <hyperlink r:id="rId257" ref="C74"/>
    <hyperlink r:id="rId258" ref="E74"/>
    <hyperlink r:id="rId259" ref="F74"/>
    <hyperlink r:id="rId260" ref="I74"/>
    <hyperlink r:id="rId261" ref="C75"/>
    <hyperlink r:id="rId262" ref="E75"/>
    <hyperlink r:id="rId263" ref="F75"/>
    <hyperlink r:id="rId264" ref="I75"/>
    <hyperlink r:id="rId265" ref="C76"/>
    <hyperlink r:id="rId266" ref="E76"/>
    <hyperlink r:id="rId267" ref="F76"/>
    <hyperlink r:id="rId268" ref="I76"/>
    <hyperlink r:id="rId269" ref="C77"/>
    <hyperlink r:id="rId270" ref="E77"/>
    <hyperlink r:id="rId271" ref="F77"/>
    <hyperlink r:id="rId272" ref="I77"/>
    <hyperlink r:id="rId273" ref="C78"/>
    <hyperlink r:id="rId274" ref="E78"/>
    <hyperlink r:id="rId275" ref="F78"/>
    <hyperlink r:id="rId276" ref="I78"/>
    <hyperlink r:id="rId277" ref="C79"/>
    <hyperlink r:id="rId278" ref="E79"/>
    <hyperlink r:id="rId279" ref="F79"/>
    <hyperlink r:id="rId280" ref="I79"/>
    <hyperlink r:id="rId281" ref="C80"/>
    <hyperlink r:id="rId282" ref="E80"/>
    <hyperlink r:id="rId283" ref="F80"/>
    <hyperlink r:id="rId284" ref="I80"/>
    <hyperlink r:id="rId285" ref="C81"/>
    <hyperlink r:id="rId286" ref="E81"/>
    <hyperlink r:id="rId287" ref="F81"/>
    <hyperlink r:id="rId288" ref="I81"/>
    <hyperlink r:id="rId289" ref="C82"/>
    <hyperlink r:id="rId290" ref="E82"/>
    <hyperlink r:id="rId291" ref="F82"/>
    <hyperlink r:id="rId292" ref="I82"/>
    <hyperlink r:id="rId293" ref="C83"/>
    <hyperlink r:id="rId294" ref="E83"/>
    <hyperlink r:id="rId295" ref="F83"/>
    <hyperlink r:id="rId296" ref="I83"/>
    <hyperlink r:id="rId297" ref="C84"/>
    <hyperlink r:id="rId298" ref="E84"/>
    <hyperlink r:id="rId299" ref="F84"/>
    <hyperlink r:id="rId300" ref="I84"/>
    <hyperlink r:id="rId301" ref="C85"/>
    <hyperlink r:id="rId302" ref="E85"/>
    <hyperlink r:id="rId303" ref="F85"/>
    <hyperlink r:id="rId304" ref="I85"/>
    <hyperlink r:id="rId305" ref="C86"/>
    <hyperlink r:id="rId306" ref="E86"/>
    <hyperlink r:id="rId307" ref="F86"/>
    <hyperlink r:id="rId308" ref="I86"/>
    <hyperlink r:id="rId309" ref="C87"/>
    <hyperlink r:id="rId310" ref="E87"/>
    <hyperlink r:id="rId311" ref="F87"/>
    <hyperlink r:id="rId312" ref="I87"/>
    <hyperlink r:id="rId313" ref="C88"/>
    <hyperlink r:id="rId314" ref="E88"/>
    <hyperlink r:id="rId315" ref="F88"/>
    <hyperlink r:id="rId316" ref="I88"/>
    <hyperlink r:id="rId317" ref="C89"/>
    <hyperlink r:id="rId318" ref="E89"/>
    <hyperlink r:id="rId319" ref="F89"/>
    <hyperlink r:id="rId320" ref="I89"/>
    <hyperlink r:id="rId321" ref="C90"/>
    <hyperlink r:id="rId322" ref="E90"/>
    <hyperlink r:id="rId323" ref="F90"/>
    <hyperlink r:id="rId324" ref="I90"/>
    <hyperlink r:id="rId325" ref="C91"/>
    <hyperlink r:id="rId326" ref="E91"/>
    <hyperlink r:id="rId327" ref="F91"/>
    <hyperlink r:id="rId328" ref="I91"/>
    <hyperlink r:id="rId329" ref="C92"/>
    <hyperlink r:id="rId330" ref="E92"/>
    <hyperlink r:id="rId331" ref="F92"/>
    <hyperlink r:id="rId332" ref="I92"/>
    <hyperlink r:id="rId333" ref="C93"/>
    <hyperlink r:id="rId334" ref="E93"/>
    <hyperlink r:id="rId335" ref="F93"/>
    <hyperlink r:id="rId336" ref="I93"/>
    <hyperlink r:id="rId337" ref="C94"/>
    <hyperlink r:id="rId338" ref="E94"/>
    <hyperlink r:id="rId339" ref="F94"/>
    <hyperlink r:id="rId340" ref="I94"/>
    <hyperlink r:id="rId341" ref="C95"/>
    <hyperlink r:id="rId342" ref="E95"/>
    <hyperlink r:id="rId343" ref="F95"/>
    <hyperlink r:id="rId344" ref="I95"/>
    <hyperlink r:id="rId345" ref="C96"/>
    <hyperlink r:id="rId346" ref="E96"/>
    <hyperlink r:id="rId347" ref="F96"/>
    <hyperlink r:id="rId348" ref="I96"/>
    <hyperlink r:id="rId349" ref="C97"/>
    <hyperlink r:id="rId350" ref="E97"/>
    <hyperlink r:id="rId351" ref="F97"/>
    <hyperlink r:id="rId352" ref="I97"/>
    <hyperlink r:id="rId353" ref="C98"/>
    <hyperlink r:id="rId354" ref="E98"/>
    <hyperlink r:id="rId355" ref="F98"/>
    <hyperlink r:id="rId356" ref="I98"/>
    <hyperlink r:id="rId357" ref="C99"/>
    <hyperlink r:id="rId358" ref="E99"/>
    <hyperlink r:id="rId359" ref="F99"/>
    <hyperlink r:id="rId360" ref="I99"/>
    <hyperlink r:id="rId361" ref="C100"/>
    <hyperlink r:id="rId362" ref="E100"/>
    <hyperlink r:id="rId363" ref="F100"/>
    <hyperlink r:id="rId364" ref="I100"/>
    <hyperlink r:id="rId365" ref="C101"/>
    <hyperlink r:id="rId366" ref="E101"/>
    <hyperlink r:id="rId367" ref="F101"/>
    <hyperlink r:id="rId368" ref="I101"/>
    <hyperlink r:id="rId369" ref="C102"/>
    <hyperlink r:id="rId370" ref="E102"/>
    <hyperlink r:id="rId371" ref="F102"/>
    <hyperlink r:id="rId372" ref="I102"/>
    <hyperlink r:id="rId373" ref="C103"/>
    <hyperlink r:id="rId374" ref="E103"/>
    <hyperlink r:id="rId375" ref="F103"/>
    <hyperlink r:id="rId376" ref="I103"/>
    <hyperlink r:id="rId377" ref="C104"/>
    <hyperlink r:id="rId378" ref="E104"/>
    <hyperlink r:id="rId379" ref="F104"/>
    <hyperlink r:id="rId380" ref="I104"/>
    <hyperlink r:id="rId381" ref="C105"/>
    <hyperlink r:id="rId382" ref="E105"/>
    <hyperlink r:id="rId383" ref="F105"/>
    <hyperlink r:id="rId384" ref="I105"/>
    <hyperlink r:id="rId385" ref="C106"/>
    <hyperlink r:id="rId386" ref="E106"/>
    <hyperlink r:id="rId387" ref="F106"/>
    <hyperlink r:id="rId388" ref="I106"/>
    <hyperlink r:id="rId389" ref="C107"/>
    <hyperlink r:id="rId390" ref="E107"/>
    <hyperlink r:id="rId391" ref="F107"/>
    <hyperlink r:id="rId392" ref="I107"/>
    <hyperlink r:id="rId393" ref="C108"/>
    <hyperlink r:id="rId394" ref="E108"/>
    <hyperlink r:id="rId395" ref="F108"/>
    <hyperlink r:id="rId396" ref="C109"/>
    <hyperlink r:id="rId397" ref="E109"/>
    <hyperlink r:id="rId398" ref="F109"/>
    <hyperlink r:id="rId399" ref="I109"/>
    <hyperlink r:id="rId400" ref="C110"/>
    <hyperlink r:id="rId401" ref="E110"/>
    <hyperlink r:id="rId402" ref="F110"/>
    <hyperlink r:id="rId403" ref="I110"/>
    <hyperlink r:id="rId404" ref="C111"/>
    <hyperlink r:id="rId405" ref="E111"/>
    <hyperlink r:id="rId406" ref="F111"/>
    <hyperlink r:id="rId407" ref="I111"/>
    <hyperlink r:id="rId408" ref="C112"/>
    <hyperlink r:id="rId409" ref="E112"/>
    <hyperlink r:id="rId410" ref="F112"/>
    <hyperlink r:id="rId411" ref="I112"/>
    <hyperlink r:id="rId412" ref="C113"/>
    <hyperlink r:id="rId413" ref="E113"/>
    <hyperlink r:id="rId414" ref="F113"/>
    <hyperlink r:id="rId415" ref="I113"/>
    <hyperlink r:id="rId416" ref="C114"/>
    <hyperlink r:id="rId417" ref="E114"/>
    <hyperlink r:id="rId418" ref="F114"/>
    <hyperlink r:id="rId419" ref="I114"/>
    <hyperlink r:id="rId420" ref="C115"/>
    <hyperlink r:id="rId421" ref="E115"/>
    <hyperlink r:id="rId422" ref="F115"/>
    <hyperlink r:id="rId423" ref="I115"/>
    <hyperlink r:id="rId424" ref="C116"/>
    <hyperlink r:id="rId425" ref="E116"/>
    <hyperlink r:id="rId426" ref="F116"/>
    <hyperlink r:id="rId427" ref="I116"/>
    <hyperlink r:id="rId428" ref="C117"/>
    <hyperlink r:id="rId429" ref="E117"/>
    <hyperlink r:id="rId430" ref="F117"/>
    <hyperlink r:id="rId431" ref="I117"/>
    <hyperlink r:id="rId432" ref="C118"/>
    <hyperlink r:id="rId433" ref="E118"/>
    <hyperlink r:id="rId434" ref="F118"/>
    <hyperlink r:id="rId435" ref="I118"/>
    <hyperlink r:id="rId436" ref="C119"/>
    <hyperlink r:id="rId437" ref="E119"/>
    <hyperlink r:id="rId438" ref="F119"/>
    <hyperlink r:id="rId439" ref="I119"/>
    <hyperlink r:id="rId440" ref="C120"/>
    <hyperlink r:id="rId441" ref="E120"/>
    <hyperlink r:id="rId442" ref="F120"/>
    <hyperlink r:id="rId443" ref="I120"/>
    <hyperlink r:id="rId444" ref="C121"/>
    <hyperlink r:id="rId445" ref="E121"/>
    <hyperlink r:id="rId446" ref="F121"/>
    <hyperlink r:id="rId447" ref="I121"/>
    <hyperlink r:id="rId448" ref="C122"/>
    <hyperlink r:id="rId449" ref="E122"/>
    <hyperlink r:id="rId450" ref="F122"/>
    <hyperlink r:id="rId451" ref="I122"/>
    <hyperlink r:id="rId452" ref="C123"/>
    <hyperlink r:id="rId453" ref="E123"/>
    <hyperlink r:id="rId454" ref="F123"/>
    <hyperlink r:id="rId455" ref="I123"/>
    <hyperlink r:id="rId456" ref="C124"/>
    <hyperlink r:id="rId457" ref="E124"/>
    <hyperlink r:id="rId458" ref="F124"/>
    <hyperlink r:id="rId459" ref="I124"/>
    <hyperlink r:id="rId460" ref="C125"/>
    <hyperlink r:id="rId461" ref="E125"/>
    <hyperlink r:id="rId462" ref="F125"/>
    <hyperlink r:id="rId463" ref="I125"/>
    <hyperlink r:id="rId464" ref="C126"/>
    <hyperlink r:id="rId465" ref="E126"/>
    <hyperlink r:id="rId466" ref="F126"/>
    <hyperlink r:id="rId467" ref="I126"/>
    <hyperlink r:id="rId468" ref="C127"/>
    <hyperlink r:id="rId469" ref="E127"/>
    <hyperlink r:id="rId470" ref="F127"/>
    <hyperlink r:id="rId471" ref="I127"/>
    <hyperlink r:id="rId472" ref="C128"/>
    <hyperlink r:id="rId473" ref="E128"/>
    <hyperlink r:id="rId474" ref="F128"/>
    <hyperlink r:id="rId475" ref="I128"/>
    <hyperlink r:id="rId476" ref="C129"/>
    <hyperlink r:id="rId477" ref="E129"/>
    <hyperlink r:id="rId478" ref="F129"/>
    <hyperlink r:id="rId479" ref="I129"/>
    <hyperlink r:id="rId480" ref="C130"/>
    <hyperlink r:id="rId481" ref="E130"/>
    <hyperlink r:id="rId482" ref="F130"/>
    <hyperlink r:id="rId483" ref="I130"/>
    <hyperlink r:id="rId484" ref="C131"/>
    <hyperlink r:id="rId485" ref="E131"/>
    <hyperlink r:id="rId486" ref="F131"/>
    <hyperlink r:id="rId487" ref="I131"/>
    <hyperlink r:id="rId488" ref="C132"/>
    <hyperlink r:id="rId489" ref="E132"/>
    <hyperlink r:id="rId490" ref="F132"/>
    <hyperlink r:id="rId491" ref="I132"/>
    <hyperlink r:id="rId492" ref="C133"/>
    <hyperlink r:id="rId493" ref="E133"/>
    <hyperlink r:id="rId494" ref="F133"/>
    <hyperlink r:id="rId495" ref="I133"/>
    <hyperlink r:id="rId496" ref="C134"/>
    <hyperlink r:id="rId497" ref="E134"/>
    <hyperlink r:id="rId498" ref="F134"/>
    <hyperlink r:id="rId499" ref="I134"/>
    <hyperlink r:id="rId500" ref="C135"/>
    <hyperlink r:id="rId501" ref="E135"/>
    <hyperlink r:id="rId502" ref="F135"/>
    <hyperlink r:id="rId503" ref="I135"/>
    <hyperlink r:id="rId504" ref="C136"/>
    <hyperlink r:id="rId505" ref="E136"/>
    <hyperlink r:id="rId506" ref="F136"/>
    <hyperlink r:id="rId507" ref="I136"/>
    <hyperlink r:id="rId508" ref="C137"/>
    <hyperlink r:id="rId509" ref="E137"/>
    <hyperlink r:id="rId510" ref="F137"/>
    <hyperlink r:id="rId511" ref="I137"/>
    <hyperlink r:id="rId512" ref="C138"/>
    <hyperlink r:id="rId513" ref="E138"/>
    <hyperlink r:id="rId514" ref="F138"/>
    <hyperlink r:id="rId515" ref="I138"/>
    <hyperlink r:id="rId516" ref="C139"/>
    <hyperlink r:id="rId517" ref="E139"/>
    <hyperlink r:id="rId518" ref="F139"/>
    <hyperlink r:id="rId519" ref="I139"/>
    <hyperlink r:id="rId520" ref="C140"/>
    <hyperlink r:id="rId521" ref="E140"/>
    <hyperlink r:id="rId522" ref="F140"/>
    <hyperlink r:id="rId523" ref="I140"/>
    <hyperlink r:id="rId524" ref="C141"/>
    <hyperlink r:id="rId525" ref="E141"/>
    <hyperlink r:id="rId526" ref="F141"/>
    <hyperlink r:id="rId527" ref="I141"/>
    <hyperlink r:id="rId528" ref="C142"/>
    <hyperlink r:id="rId529" ref="E142"/>
    <hyperlink r:id="rId530" ref="F142"/>
    <hyperlink r:id="rId531" ref="I142"/>
    <hyperlink r:id="rId532" ref="C143"/>
    <hyperlink r:id="rId533" ref="E143"/>
    <hyperlink r:id="rId534" ref="F143"/>
    <hyperlink r:id="rId535" ref="I143"/>
    <hyperlink r:id="rId536" ref="C144"/>
    <hyperlink r:id="rId537" ref="E144"/>
    <hyperlink r:id="rId538" ref="F144"/>
    <hyperlink r:id="rId539" ref="I144"/>
    <hyperlink r:id="rId540" ref="C145"/>
    <hyperlink r:id="rId541" ref="E145"/>
    <hyperlink r:id="rId542" ref="F145"/>
    <hyperlink r:id="rId543" ref="C146"/>
    <hyperlink r:id="rId544" ref="E146"/>
    <hyperlink r:id="rId545" ref="I146"/>
    <hyperlink r:id="rId546" ref="C147"/>
    <hyperlink r:id="rId547" ref="E147"/>
    <hyperlink r:id="rId548" ref="F147"/>
    <hyperlink r:id="rId549" ref="I147"/>
    <hyperlink r:id="rId550" ref="C148"/>
    <hyperlink r:id="rId551" ref="E148"/>
    <hyperlink r:id="rId552" ref="F148"/>
    <hyperlink r:id="rId553" ref="I148"/>
    <hyperlink r:id="rId554" ref="C149"/>
    <hyperlink r:id="rId555" ref="E149"/>
    <hyperlink r:id="rId556" ref="F149"/>
    <hyperlink r:id="rId557" ref="I149"/>
    <hyperlink r:id="rId558" ref="C150"/>
    <hyperlink r:id="rId559" ref="E150"/>
    <hyperlink r:id="rId560" ref="F150"/>
    <hyperlink r:id="rId561" ref="I150"/>
    <hyperlink r:id="rId562" ref="C151"/>
    <hyperlink r:id="rId563" ref="E151"/>
    <hyperlink r:id="rId564" ref="F151"/>
    <hyperlink r:id="rId565" ref="I151"/>
    <hyperlink r:id="rId566" ref="C152"/>
    <hyperlink r:id="rId567" ref="E152"/>
    <hyperlink r:id="rId568" ref="F152"/>
    <hyperlink r:id="rId569" ref="I152"/>
    <hyperlink r:id="rId570" ref="C153"/>
    <hyperlink r:id="rId571" ref="E153"/>
    <hyperlink r:id="rId572" ref="F153"/>
    <hyperlink r:id="rId573" ref="I153"/>
    <hyperlink r:id="rId574" ref="C154"/>
    <hyperlink r:id="rId575" ref="E154"/>
    <hyperlink r:id="rId576" ref="F154"/>
    <hyperlink r:id="rId577" ref="I154"/>
    <hyperlink r:id="rId578" ref="C155"/>
    <hyperlink r:id="rId579" ref="E155"/>
    <hyperlink r:id="rId580" ref="F155"/>
    <hyperlink r:id="rId581" ref="I155"/>
    <hyperlink r:id="rId582" ref="C156"/>
    <hyperlink r:id="rId583" ref="E156"/>
    <hyperlink r:id="rId584" ref="F156"/>
    <hyperlink r:id="rId585" ref="I156"/>
    <hyperlink r:id="rId586" ref="C157"/>
    <hyperlink r:id="rId587" ref="E157"/>
    <hyperlink r:id="rId588" ref="F157"/>
    <hyperlink r:id="rId589" ref="I157"/>
    <hyperlink r:id="rId590" ref="C158"/>
    <hyperlink r:id="rId591" ref="E158"/>
    <hyperlink r:id="rId592" ref="F158"/>
    <hyperlink r:id="rId593" ref="I158"/>
    <hyperlink r:id="rId594" ref="C159"/>
    <hyperlink r:id="rId595" ref="E159"/>
    <hyperlink r:id="rId596" ref="F159"/>
    <hyperlink r:id="rId597" ref="I159"/>
    <hyperlink r:id="rId598" ref="C160"/>
    <hyperlink r:id="rId599" ref="E160"/>
    <hyperlink r:id="rId600" ref="F160"/>
    <hyperlink r:id="rId601" ref="I160"/>
    <hyperlink r:id="rId602" ref="C161"/>
    <hyperlink r:id="rId603" ref="E161"/>
    <hyperlink r:id="rId604" ref="F161"/>
    <hyperlink r:id="rId605" ref="I161"/>
    <hyperlink r:id="rId606" ref="C162"/>
    <hyperlink r:id="rId607" ref="E162"/>
    <hyperlink r:id="rId608" ref="F162"/>
    <hyperlink r:id="rId609" ref="I162"/>
    <hyperlink r:id="rId610" ref="C163"/>
    <hyperlink r:id="rId611" ref="E163"/>
    <hyperlink r:id="rId612" ref="F163"/>
    <hyperlink r:id="rId613" ref="I163"/>
    <hyperlink r:id="rId614" ref="C164"/>
    <hyperlink r:id="rId615" ref="E164"/>
    <hyperlink r:id="rId616" ref="F164"/>
    <hyperlink r:id="rId617" ref="I164"/>
    <hyperlink r:id="rId618" ref="C165"/>
    <hyperlink r:id="rId619" ref="E165"/>
    <hyperlink r:id="rId620" ref="F165"/>
    <hyperlink r:id="rId621" ref="I165"/>
    <hyperlink r:id="rId622" ref="C166"/>
    <hyperlink r:id="rId623" ref="E166"/>
    <hyperlink r:id="rId624" ref="F166"/>
    <hyperlink r:id="rId625" ref="I166"/>
    <hyperlink r:id="rId626" ref="C167"/>
    <hyperlink r:id="rId627" ref="E167"/>
    <hyperlink r:id="rId628" ref="F167"/>
    <hyperlink r:id="rId629" ref="I167"/>
    <hyperlink r:id="rId630" ref="C168"/>
    <hyperlink r:id="rId631" ref="E168"/>
    <hyperlink r:id="rId632" ref="F168"/>
    <hyperlink r:id="rId633" ref="I168"/>
    <hyperlink r:id="rId634" ref="C169"/>
    <hyperlink r:id="rId635" ref="E169"/>
    <hyperlink r:id="rId636" ref="F169"/>
    <hyperlink r:id="rId637" ref="I169"/>
    <hyperlink r:id="rId638" ref="C170"/>
    <hyperlink r:id="rId639" ref="E170"/>
    <hyperlink r:id="rId640" ref="F170"/>
    <hyperlink r:id="rId641" ref="I170"/>
    <hyperlink r:id="rId642" ref="C171"/>
    <hyperlink r:id="rId643" ref="E171"/>
    <hyperlink r:id="rId644" ref="F171"/>
    <hyperlink r:id="rId645" ref="I171"/>
    <hyperlink r:id="rId646" ref="C172"/>
    <hyperlink r:id="rId647" ref="E172"/>
    <hyperlink r:id="rId648" ref="F172"/>
    <hyperlink r:id="rId649" ref="I172"/>
    <hyperlink r:id="rId650" ref="C173"/>
    <hyperlink r:id="rId651" ref="E173"/>
    <hyperlink r:id="rId652" ref="F173"/>
    <hyperlink r:id="rId653" ref="I173"/>
    <hyperlink r:id="rId654" ref="C174"/>
    <hyperlink r:id="rId655" ref="E174"/>
    <hyperlink r:id="rId656" ref="F174"/>
    <hyperlink r:id="rId657" ref="I174"/>
    <hyperlink r:id="rId658" ref="C175"/>
    <hyperlink r:id="rId659" ref="E175"/>
    <hyperlink r:id="rId660" ref="F175"/>
    <hyperlink r:id="rId661" ref="I175"/>
    <hyperlink r:id="rId662" ref="C176"/>
    <hyperlink r:id="rId663" ref="E176"/>
    <hyperlink r:id="rId664" ref="F176"/>
    <hyperlink r:id="rId665" ref="I176"/>
    <hyperlink r:id="rId666" ref="C177"/>
    <hyperlink r:id="rId667" ref="E177"/>
    <hyperlink r:id="rId668" ref="F177"/>
    <hyperlink r:id="rId669" ref="I177"/>
    <hyperlink r:id="rId670" ref="C178"/>
    <hyperlink r:id="rId671" ref="E178"/>
    <hyperlink r:id="rId672" ref="F178"/>
    <hyperlink r:id="rId673" ref="I178"/>
    <hyperlink r:id="rId674" ref="C179"/>
    <hyperlink r:id="rId675" ref="E179"/>
    <hyperlink r:id="rId676" ref="F179"/>
    <hyperlink r:id="rId677" ref="I179"/>
    <hyperlink r:id="rId678" ref="C180"/>
    <hyperlink r:id="rId679" ref="E180"/>
    <hyperlink r:id="rId680" ref="F180"/>
    <hyperlink r:id="rId681" ref="I180"/>
    <hyperlink r:id="rId682" ref="C181"/>
    <hyperlink r:id="rId683" ref="E181"/>
    <hyperlink r:id="rId684" ref="F181"/>
    <hyperlink r:id="rId685" ref="I181"/>
    <hyperlink r:id="rId686" ref="C182"/>
    <hyperlink r:id="rId687" ref="E182"/>
    <hyperlink r:id="rId688" ref="F182"/>
    <hyperlink r:id="rId689" ref="I182"/>
    <hyperlink r:id="rId690" ref="C183"/>
    <hyperlink r:id="rId691" ref="E183"/>
    <hyperlink r:id="rId692" ref="F183"/>
    <hyperlink r:id="rId693" ref="I183"/>
    <hyperlink r:id="rId694" ref="C184"/>
    <hyperlink r:id="rId695" ref="E184"/>
    <hyperlink r:id="rId696" ref="F184"/>
    <hyperlink r:id="rId697" ref="I184"/>
    <hyperlink r:id="rId698" ref="C185"/>
    <hyperlink r:id="rId699" ref="E185"/>
    <hyperlink r:id="rId700" ref="F185"/>
    <hyperlink r:id="rId701" ref="I185"/>
    <hyperlink r:id="rId702" ref="C186"/>
    <hyperlink r:id="rId703" ref="E186"/>
    <hyperlink r:id="rId704" ref="F186"/>
    <hyperlink r:id="rId705" ref="I186"/>
    <hyperlink r:id="rId706" ref="C187"/>
    <hyperlink r:id="rId707" ref="E187"/>
    <hyperlink r:id="rId708" ref="F187"/>
    <hyperlink r:id="rId709" ref="I187"/>
    <hyperlink r:id="rId710" ref="C188"/>
    <hyperlink r:id="rId711" ref="E188"/>
    <hyperlink r:id="rId712" ref="F188"/>
    <hyperlink r:id="rId713" ref="I188"/>
    <hyperlink r:id="rId714" ref="C189"/>
    <hyperlink r:id="rId715" ref="E189"/>
    <hyperlink r:id="rId716" ref="F189"/>
    <hyperlink r:id="rId717" ref="I189"/>
    <hyperlink r:id="rId718" ref="C190"/>
    <hyperlink r:id="rId719" ref="E190"/>
    <hyperlink r:id="rId720" ref="F190"/>
    <hyperlink r:id="rId721" ref="I190"/>
    <hyperlink r:id="rId722" ref="C191"/>
    <hyperlink r:id="rId723" ref="E191"/>
    <hyperlink r:id="rId724" ref="F191"/>
    <hyperlink r:id="rId725" ref="I191"/>
    <hyperlink r:id="rId726" ref="C192"/>
    <hyperlink r:id="rId727" ref="E192"/>
    <hyperlink r:id="rId728" ref="F192"/>
    <hyperlink r:id="rId729" ref="I192"/>
    <hyperlink r:id="rId730" ref="C193"/>
    <hyperlink r:id="rId731" ref="E193"/>
    <hyperlink r:id="rId732" ref="F193"/>
    <hyperlink r:id="rId733" ref="C194"/>
    <hyperlink r:id="rId734" ref="E194"/>
    <hyperlink r:id="rId735" ref="F194"/>
    <hyperlink r:id="rId736" ref="I194"/>
    <hyperlink r:id="rId737" ref="C195"/>
    <hyperlink r:id="rId738" ref="E195"/>
    <hyperlink r:id="rId739" ref="F195"/>
    <hyperlink r:id="rId740" ref="I195"/>
    <hyperlink r:id="rId741" ref="C196"/>
    <hyperlink r:id="rId742" ref="E196"/>
    <hyperlink r:id="rId743" ref="F196"/>
    <hyperlink r:id="rId744" ref="I196"/>
    <hyperlink r:id="rId745" ref="C197"/>
    <hyperlink r:id="rId746" ref="E197"/>
    <hyperlink r:id="rId747" ref="F197"/>
    <hyperlink r:id="rId748" ref="I197"/>
    <hyperlink r:id="rId749" ref="C198"/>
    <hyperlink r:id="rId750" ref="E198"/>
    <hyperlink r:id="rId751" ref="F198"/>
    <hyperlink r:id="rId752" ref="I198"/>
    <hyperlink r:id="rId753" ref="C199"/>
    <hyperlink r:id="rId754" location="cite_note-43" ref="D199"/>
    <hyperlink r:id="rId755" ref="E199"/>
    <hyperlink r:id="rId756" ref="F199"/>
    <hyperlink r:id="rId757" ref="I199"/>
    <hyperlink r:id="rId758" ref="C200"/>
    <hyperlink r:id="rId759" ref="E200"/>
    <hyperlink r:id="rId760" ref="F200"/>
    <hyperlink r:id="rId761" ref="I200"/>
    <hyperlink r:id="rId762" ref="C201"/>
    <hyperlink r:id="rId763" ref="E201"/>
    <hyperlink r:id="rId764" ref="F201"/>
    <hyperlink r:id="rId765" ref="I201"/>
    <hyperlink r:id="rId766" ref="C202"/>
    <hyperlink r:id="rId767" ref="E202"/>
    <hyperlink r:id="rId768" ref="F202"/>
    <hyperlink r:id="rId769" ref="I202"/>
    <hyperlink r:id="rId770" ref="C203"/>
    <hyperlink r:id="rId771" ref="E203"/>
    <hyperlink r:id="rId772" ref="F203"/>
    <hyperlink r:id="rId773" ref="I203"/>
    <hyperlink r:id="rId774" ref="C204"/>
    <hyperlink r:id="rId775" ref="E204"/>
    <hyperlink r:id="rId776" ref="F204"/>
    <hyperlink r:id="rId777" ref="I204"/>
    <hyperlink r:id="rId778" ref="C205"/>
    <hyperlink r:id="rId779" ref="E205"/>
    <hyperlink r:id="rId780" ref="F205"/>
    <hyperlink r:id="rId781" ref="I205"/>
    <hyperlink r:id="rId782" ref="C206"/>
    <hyperlink r:id="rId783" ref="E206"/>
    <hyperlink r:id="rId784" ref="F206"/>
    <hyperlink r:id="rId785" ref="I206"/>
    <hyperlink r:id="rId786" ref="C207"/>
    <hyperlink r:id="rId787" ref="E207"/>
    <hyperlink r:id="rId788" ref="F207"/>
    <hyperlink r:id="rId789" ref="I207"/>
    <hyperlink r:id="rId790" ref="C208"/>
    <hyperlink r:id="rId791" ref="E208"/>
    <hyperlink r:id="rId792" ref="F208"/>
    <hyperlink r:id="rId793" ref="I208"/>
    <hyperlink r:id="rId794" ref="C209"/>
    <hyperlink r:id="rId795" ref="E209"/>
    <hyperlink r:id="rId796" ref="F209"/>
    <hyperlink r:id="rId797" ref="I209"/>
    <hyperlink r:id="rId798" ref="C210"/>
    <hyperlink r:id="rId799" ref="E210"/>
    <hyperlink r:id="rId800" ref="F210"/>
    <hyperlink r:id="rId801" ref="I210"/>
    <hyperlink r:id="rId802" ref="C211"/>
    <hyperlink r:id="rId803" ref="E211"/>
    <hyperlink r:id="rId804" ref="F211"/>
    <hyperlink r:id="rId805" ref="I211"/>
    <hyperlink r:id="rId806" ref="C212"/>
    <hyperlink r:id="rId807" ref="E212"/>
    <hyperlink r:id="rId808" ref="F212"/>
    <hyperlink r:id="rId809" ref="I212"/>
    <hyperlink r:id="rId810" ref="C213"/>
    <hyperlink r:id="rId811" ref="E213"/>
    <hyperlink r:id="rId812" ref="F213"/>
    <hyperlink r:id="rId813" ref="I213"/>
    <hyperlink r:id="rId814" ref="C214"/>
    <hyperlink r:id="rId815" ref="E214"/>
    <hyperlink r:id="rId816" ref="F214"/>
    <hyperlink r:id="rId817" ref="I214"/>
    <hyperlink r:id="rId818" ref="C215"/>
    <hyperlink r:id="rId819" ref="E215"/>
    <hyperlink r:id="rId820" ref="F215"/>
    <hyperlink r:id="rId821" ref="I215"/>
    <hyperlink r:id="rId822" ref="C216"/>
    <hyperlink r:id="rId823" ref="E216"/>
    <hyperlink r:id="rId824" ref="F216"/>
    <hyperlink r:id="rId825" ref="I216"/>
    <hyperlink r:id="rId826" ref="C217"/>
    <hyperlink r:id="rId827" ref="E217"/>
    <hyperlink r:id="rId828" ref="F217"/>
    <hyperlink r:id="rId829" ref="I217"/>
    <hyperlink r:id="rId830" ref="C218"/>
    <hyperlink r:id="rId831" ref="E218"/>
    <hyperlink r:id="rId832" ref="F218"/>
    <hyperlink r:id="rId833" ref="I218"/>
    <hyperlink r:id="rId834" ref="C219"/>
    <hyperlink r:id="rId835" ref="E219"/>
    <hyperlink r:id="rId836" ref="F219"/>
    <hyperlink r:id="rId837" ref="I219"/>
    <hyperlink r:id="rId838" ref="C220"/>
    <hyperlink r:id="rId839" ref="E220"/>
    <hyperlink r:id="rId840" ref="F220"/>
    <hyperlink r:id="rId841" ref="I220"/>
    <hyperlink r:id="rId842" ref="C221"/>
    <hyperlink r:id="rId843" ref="E221"/>
    <hyperlink r:id="rId844" ref="F221"/>
    <hyperlink r:id="rId845" ref="I221"/>
    <hyperlink r:id="rId846" ref="C222"/>
    <hyperlink r:id="rId847" ref="E222"/>
    <hyperlink r:id="rId848" ref="F222"/>
    <hyperlink r:id="rId849" ref="I222"/>
    <hyperlink r:id="rId850" ref="C223"/>
    <hyperlink r:id="rId851" ref="E223"/>
    <hyperlink r:id="rId852" ref="F223"/>
    <hyperlink r:id="rId853" ref="I223"/>
    <hyperlink r:id="rId854" ref="C224"/>
    <hyperlink r:id="rId855" ref="E224"/>
    <hyperlink r:id="rId856" ref="F224"/>
    <hyperlink r:id="rId857" ref="I224"/>
    <hyperlink r:id="rId858" ref="C225"/>
    <hyperlink r:id="rId859" ref="E225"/>
    <hyperlink r:id="rId860" ref="F225"/>
    <hyperlink r:id="rId861" ref="I225"/>
    <hyperlink r:id="rId862" ref="C226"/>
    <hyperlink r:id="rId863" ref="E226"/>
    <hyperlink r:id="rId864" ref="F226"/>
    <hyperlink r:id="rId865" ref="I226"/>
    <hyperlink r:id="rId866" ref="C227"/>
    <hyperlink r:id="rId867" ref="E227"/>
    <hyperlink r:id="rId868" ref="F227"/>
    <hyperlink r:id="rId869" ref="I227"/>
    <hyperlink r:id="rId870" ref="C228"/>
    <hyperlink r:id="rId871" ref="E228"/>
    <hyperlink r:id="rId872" ref="F228"/>
    <hyperlink r:id="rId873" ref="I228"/>
    <hyperlink r:id="rId874" ref="C229"/>
    <hyperlink r:id="rId875" ref="E229"/>
    <hyperlink r:id="rId876" ref="F229"/>
    <hyperlink r:id="rId877" ref="I229"/>
    <hyperlink r:id="rId878" ref="C230"/>
    <hyperlink r:id="rId879" ref="E230"/>
    <hyperlink r:id="rId880" ref="F230"/>
    <hyperlink r:id="rId881" ref="I230"/>
    <hyperlink r:id="rId882" ref="C231"/>
    <hyperlink r:id="rId883" ref="E231"/>
    <hyperlink r:id="rId884" ref="F231"/>
    <hyperlink r:id="rId885" ref="I231"/>
    <hyperlink r:id="rId886" ref="C232"/>
    <hyperlink r:id="rId887" ref="E232"/>
    <hyperlink r:id="rId888" ref="F232"/>
    <hyperlink r:id="rId889" ref="C233"/>
    <hyperlink r:id="rId890" ref="E233"/>
    <hyperlink r:id="rId891" ref="F233"/>
    <hyperlink r:id="rId892" ref="I233"/>
    <hyperlink r:id="rId893" ref="C234"/>
    <hyperlink r:id="rId894" ref="E234"/>
    <hyperlink r:id="rId895" ref="F234"/>
    <hyperlink r:id="rId896" ref="I234"/>
    <hyperlink r:id="rId897" ref="C235"/>
    <hyperlink r:id="rId898" ref="E235"/>
    <hyperlink r:id="rId899" ref="F235"/>
    <hyperlink r:id="rId900" ref="I235"/>
    <hyperlink r:id="rId901" ref="C236"/>
    <hyperlink r:id="rId902" ref="E236"/>
    <hyperlink r:id="rId903" ref="F236"/>
    <hyperlink r:id="rId904" ref="I236"/>
    <hyperlink r:id="rId905" ref="C237"/>
    <hyperlink r:id="rId906" ref="E237"/>
    <hyperlink r:id="rId907" ref="F237"/>
    <hyperlink r:id="rId908" ref="I237"/>
    <hyperlink r:id="rId909" ref="C238"/>
    <hyperlink r:id="rId910" ref="E238"/>
    <hyperlink r:id="rId911" ref="F238"/>
    <hyperlink r:id="rId912" ref="I238"/>
    <hyperlink r:id="rId913" ref="C239"/>
    <hyperlink r:id="rId914" ref="E239"/>
    <hyperlink r:id="rId915" ref="F239"/>
    <hyperlink r:id="rId916" ref="I239"/>
    <hyperlink r:id="rId917" ref="C240"/>
    <hyperlink r:id="rId918" ref="E240"/>
    <hyperlink r:id="rId919" ref="F240"/>
    <hyperlink r:id="rId920" ref="I240"/>
    <hyperlink r:id="rId921" ref="C241"/>
    <hyperlink r:id="rId922" ref="E241"/>
    <hyperlink r:id="rId923" ref="F241"/>
    <hyperlink r:id="rId924" ref="I241"/>
    <hyperlink r:id="rId925" ref="C242"/>
    <hyperlink r:id="rId926" ref="E242"/>
    <hyperlink r:id="rId927" ref="F242"/>
    <hyperlink r:id="rId928" ref="I242"/>
    <hyperlink r:id="rId929" ref="C243"/>
    <hyperlink r:id="rId930" ref="E243"/>
    <hyperlink r:id="rId931" ref="F243"/>
    <hyperlink r:id="rId932" ref="I243"/>
    <hyperlink r:id="rId933" ref="C244"/>
    <hyperlink r:id="rId934" ref="E244"/>
    <hyperlink r:id="rId935" ref="F244"/>
    <hyperlink r:id="rId936" ref="C245"/>
    <hyperlink r:id="rId937" ref="E245"/>
    <hyperlink r:id="rId938" ref="F245"/>
    <hyperlink r:id="rId939" ref="I245"/>
    <hyperlink r:id="rId940" ref="C246"/>
    <hyperlink r:id="rId941" ref="E246"/>
    <hyperlink r:id="rId942" ref="F246"/>
    <hyperlink r:id="rId943" ref="I246"/>
    <hyperlink r:id="rId944" ref="C247"/>
    <hyperlink r:id="rId945" ref="E247"/>
    <hyperlink r:id="rId946" ref="F247"/>
    <hyperlink r:id="rId947" ref="I247"/>
    <hyperlink r:id="rId948" ref="C248"/>
    <hyperlink r:id="rId949" ref="E248"/>
    <hyperlink r:id="rId950" ref="F248"/>
    <hyperlink r:id="rId951" ref="I248"/>
    <hyperlink r:id="rId952" ref="C249"/>
    <hyperlink r:id="rId953" ref="E249"/>
    <hyperlink r:id="rId954" ref="F249"/>
    <hyperlink r:id="rId955" ref="I249"/>
    <hyperlink r:id="rId956" ref="C250"/>
    <hyperlink r:id="rId957" ref="E250"/>
    <hyperlink r:id="rId958" ref="F250"/>
    <hyperlink r:id="rId959" ref="C251"/>
    <hyperlink r:id="rId960" ref="E251"/>
    <hyperlink r:id="rId961" ref="F251"/>
    <hyperlink r:id="rId962" ref="I251"/>
    <hyperlink r:id="rId963" ref="C252"/>
    <hyperlink r:id="rId964" ref="E252"/>
    <hyperlink r:id="rId965" ref="F252"/>
    <hyperlink r:id="rId966" ref="I252"/>
    <hyperlink r:id="rId967" ref="C253"/>
    <hyperlink r:id="rId968" ref="E253"/>
    <hyperlink r:id="rId969" ref="F253"/>
    <hyperlink r:id="rId970" ref="I253"/>
    <hyperlink r:id="rId971" ref="C254"/>
    <hyperlink r:id="rId972" ref="E254"/>
    <hyperlink r:id="rId973" ref="F254"/>
    <hyperlink r:id="rId974" ref="C255"/>
    <hyperlink r:id="rId975" ref="E255"/>
    <hyperlink r:id="rId976" ref="F255"/>
    <hyperlink r:id="rId977" ref="I255"/>
    <hyperlink r:id="rId978" ref="C256"/>
    <hyperlink r:id="rId979" ref="E256"/>
    <hyperlink r:id="rId980" ref="F256"/>
    <hyperlink r:id="rId981" ref="I256"/>
    <hyperlink r:id="rId982" ref="C257"/>
    <hyperlink r:id="rId983" ref="E257"/>
    <hyperlink r:id="rId984" ref="F257"/>
    <hyperlink r:id="rId985" ref="I257"/>
    <hyperlink r:id="rId986" ref="C258"/>
    <hyperlink r:id="rId987" ref="E258"/>
    <hyperlink r:id="rId988" ref="F258"/>
    <hyperlink r:id="rId989" ref="C259"/>
    <hyperlink r:id="rId990" ref="E259"/>
    <hyperlink r:id="rId991" ref="F259"/>
    <hyperlink r:id="rId992" ref="I259"/>
    <hyperlink r:id="rId993" ref="C260"/>
    <hyperlink r:id="rId994" ref="E260"/>
    <hyperlink r:id="rId995" ref="F260"/>
    <hyperlink r:id="rId996" ref="I260"/>
    <hyperlink r:id="rId997" ref="C261"/>
    <hyperlink r:id="rId998" ref="E261"/>
    <hyperlink r:id="rId999" ref="F261"/>
    <hyperlink r:id="rId1000" ref="I261"/>
    <hyperlink r:id="rId1001" ref="C262"/>
    <hyperlink r:id="rId1002" ref="E262"/>
    <hyperlink r:id="rId1003" ref="F262"/>
    <hyperlink r:id="rId1004" ref="I262"/>
    <hyperlink r:id="rId1005" ref="C263"/>
    <hyperlink r:id="rId1006" ref="E263"/>
    <hyperlink r:id="rId1007" ref="F263"/>
    <hyperlink r:id="rId1008" ref="I263"/>
    <hyperlink r:id="rId1009" ref="C264"/>
    <hyperlink r:id="rId1010" ref="E264"/>
    <hyperlink r:id="rId1011" ref="F264"/>
    <hyperlink r:id="rId1012" ref="I264"/>
    <hyperlink r:id="rId1013" ref="C265"/>
    <hyperlink r:id="rId1014" ref="E265"/>
    <hyperlink r:id="rId1015" ref="F265"/>
    <hyperlink r:id="rId1016" ref="I265"/>
    <hyperlink r:id="rId1017" ref="C266"/>
    <hyperlink r:id="rId1018" ref="E266"/>
    <hyperlink r:id="rId1019" ref="F266"/>
    <hyperlink r:id="rId1020" ref="I266"/>
    <hyperlink r:id="rId1021" ref="C267"/>
    <hyperlink r:id="rId1022" ref="E267"/>
    <hyperlink r:id="rId1023" ref="F267"/>
    <hyperlink r:id="rId1024" ref="I267"/>
    <hyperlink r:id="rId1025" ref="C268"/>
    <hyperlink r:id="rId1026" ref="E268"/>
    <hyperlink r:id="rId1027" ref="F268"/>
    <hyperlink r:id="rId1028" ref="C269"/>
    <hyperlink r:id="rId1029" ref="E269"/>
    <hyperlink r:id="rId1030" ref="F269"/>
    <hyperlink r:id="rId1031" ref="I269"/>
    <hyperlink r:id="rId1032" ref="C270"/>
    <hyperlink r:id="rId1033" ref="E270"/>
    <hyperlink r:id="rId1034" ref="F270"/>
    <hyperlink r:id="rId1035" ref="I270"/>
    <hyperlink r:id="rId1036" ref="C271"/>
    <hyperlink r:id="rId1037" ref="E271"/>
    <hyperlink r:id="rId1038" ref="F271"/>
    <hyperlink r:id="rId1039" ref="I271"/>
    <hyperlink r:id="rId1040" ref="C272"/>
    <hyperlink r:id="rId1041" ref="E272"/>
    <hyperlink r:id="rId1042" ref="F272"/>
    <hyperlink r:id="rId1043" ref="I272"/>
    <hyperlink r:id="rId1044" ref="C273"/>
    <hyperlink r:id="rId1045" ref="E273"/>
    <hyperlink r:id="rId1046" ref="F273"/>
    <hyperlink r:id="rId1047" ref="I273"/>
    <hyperlink r:id="rId1048" ref="C274"/>
    <hyperlink r:id="rId1049" ref="E274"/>
    <hyperlink r:id="rId1050" ref="F274"/>
    <hyperlink r:id="rId1051" ref="I274"/>
    <hyperlink r:id="rId1052" ref="C275"/>
    <hyperlink r:id="rId1053" ref="E275"/>
    <hyperlink r:id="rId1054" ref="F275"/>
    <hyperlink r:id="rId1055" ref="I275"/>
    <hyperlink r:id="rId1056" ref="C276"/>
    <hyperlink r:id="rId1057" ref="E276"/>
    <hyperlink r:id="rId1058" ref="F276"/>
    <hyperlink r:id="rId1059" ref="I276"/>
    <hyperlink r:id="rId1060" ref="C277"/>
    <hyperlink r:id="rId1061" ref="E277"/>
    <hyperlink r:id="rId1062" ref="F277"/>
    <hyperlink r:id="rId1063" ref="I277"/>
    <hyperlink r:id="rId1064" ref="C278"/>
    <hyperlink r:id="rId1065" ref="E278"/>
    <hyperlink r:id="rId1066" ref="F278"/>
    <hyperlink r:id="rId1067" ref="I278"/>
    <hyperlink r:id="rId1068" ref="C279"/>
    <hyperlink r:id="rId1069" ref="E279"/>
    <hyperlink r:id="rId1070" ref="F279"/>
    <hyperlink r:id="rId1071" ref="I279"/>
    <hyperlink r:id="rId1072" ref="C280"/>
    <hyperlink r:id="rId1073" ref="E280"/>
    <hyperlink r:id="rId1074" ref="F280"/>
    <hyperlink r:id="rId1075" ref="I280"/>
    <hyperlink r:id="rId1076" ref="C281"/>
    <hyperlink r:id="rId1077" ref="E281"/>
    <hyperlink r:id="rId1078" ref="F281"/>
    <hyperlink r:id="rId1079" ref="I281"/>
    <hyperlink r:id="rId1080" ref="C282"/>
    <hyperlink r:id="rId1081" ref="E282"/>
    <hyperlink r:id="rId1082" ref="F282"/>
    <hyperlink r:id="rId1083" ref="C283"/>
    <hyperlink r:id="rId1084" ref="E283"/>
    <hyperlink r:id="rId1085" ref="F283"/>
    <hyperlink r:id="rId1086" ref="I283"/>
    <hyperlink r:id="rId1087" ref="C284"/>
    <hyperlink r:id="rId1088" ref="E284"/>
    <hyperlink r:id="rId1089" ref="F284"/>
    <hyperlink r:id="rId1090" ref="C285"/>
    <hyperlink r:id="rId1091" ref="E285"/>
    <hyperlink r:id="rId1092" ref="F285"/>
    <hyperlink r:id="rId1093" ref="I285"/>
    <hyperlink r:id="rId1094" ref="C286"/>
    <hyperlink r:id="rId1095" ref="E286"/>
    <hyperlink r:id="rId1096" ref="F286"/>
    <hyperlink r:id="rId1097" ref="I286"/>
    <hyperlink r:id="rId1098" ref="C287"/>
    <hyperlink r:id="rId1099" ref="E287"/>
    <hyperlink r:id="rId1100" ref="F287"/>
    <hyperlink r:id="rId1101" ref="I287"/>
    <hyperlink r:id="rId1102" ref="C288"/>
    <hyperlink r:id="rId1103" ref="E288"/>
    <hyperlink r:id="rId1104" ref="F288"/>
    <hyperlink r:id="rId1105" ref="I288"/>
    <hyperlink r:id="rId1106" ref="C289"/>
    <hyperlink r:id="rId1107" ref="E289"/>
    <hyperlink r:id="rId1108" ref="F289"/>
    <hyperlink r:id="rId1109" ref="I289"/>
    <hyperlink r:id="rId1110" ref="C290"/>
    <hyperlink r:id="rId1111" ref="E290"/>
    <hyperlink r:id="rId1112" ref="F290"/>
    <hyperlink r:id="rId1113" ref="C291"/>
    <hyperlink r:id="rId1114" ref="E291"/>
    <hyperlink r:id="rId1115" ref="F291"/>
    <hyperlink r:id="rId1116" ref="C292"/>
    <hyperlink r:id="rId1117" ref="E292"/>
    <hyperlink r:id="rId1118" ref="F292"/>
    <hyperlink r:id="rId1119" ref="I292"/>
    <hyperlink r:id="rId1120" ref="C293"/>
    <hyperlink r:id="rId1121" ref="E293"/>
    <hyperlink r:id="rId1122" ref="F293"/>
    <hyperlink r:id="rId1123" ref="C294"/>
    <hyperlink r:id="rId1124" ref="E294"/>
    <hyperlink r:id="rId1125" ref="F294"/>
    <hyperlink r:id="rId1126" ref="C295"/>
    <hyperlink r:id="rId1127" ref="E295"/>
    <hyperlink r:id="rId1128" ref="F295"/>
    <hyperlink r:id="rId1129" ref="C296"/>
    <hyperlink r:id="rId1130" ref="E296"/>
    <hyperlink r:id="rId1131" ref="F296"/>
    <hyperlink r:id="rId1132" ref="C297"/>
    <hyperlink r:id="rId1133" ref="E297"/>
    <hyperlink r:id="rId1134" ref="F297"/>
    <hyperlink r:id="rId1135" ref="C298"/>
    <hyperlink r:id="rId1136" ref="E298"/>
    <hyperlink r:id="rId1137" ref="F298"/>
    <hyperlink r:id="rId1138" ref="I298"/>
    <hyperlink r:id="rId1139" ref="C299"/>
    <hyperlink r:id="rId1140" ref="E299"/>
    <hyperlink r:id="rId1141" ref="F299"/>
    <hyperlink r:id="rId1142" ref="I299"/>
    <hyperlink r:id="rId1143" ref="C300"/>
    <hyperlink r:id="rId1144" ref="E300"/>
    <hyperlink r:id="rId1145" ref="F300"/>
    <hyperlink r:id="rId1146" ref="I300"/>
    <hyperlink r:id="rId1147" ref="C301"/>
    <hyperlink r:id="rId1148" ref="E301"/>
    <hyperlink r:id="rId1149" ref="F301"/>
    <hyperlink r:id="rId1150" ref="I301"/>
    <hyperlink r:id="rId1151" ref="C302"/>
    <hyperlink r:id="rId1152" ref="E302"/>
    <hyperlink r:id="rId1153" ref="F302"/>
    <hyperlink r:id="rId1154" ref="I302"/>
    <hyperlink r:id="rId1155" ref="C303"/>
    <hyperlink r:id="rId1156" ref="E303"/>
    <hyperlink r:id="rId1157" ref="F303"/>
    <hyperlink r:id="rId1158" ref="I303"/>
    <hyperlink r:id="rId1159" ref="C304"/>
    <hyperlink r:id="rId1160" ref="E304"/>
    <hyperlink r:id="rId1161" ref="F304"/>
    <hyperlink r:id="rId1162" ref="I304"/>
    <hyperlink r:id="rId1163" ref="C305"/>
    <hyperlink r:id="rId1164" ref="E305"/>
    <hyperlink r:id="rId1165" ref="F305"/>
    <hyperlink r:id="rId1166" ref="C306"/>
    <hyperlink r:id="rId1167" ref="E306"/>
    <hyperlink r:id="rId1168" ref="F306"/>
    <hyperlink r:id="rId1169" ref="I306"/>
    <hyperlink r:id="rId1170" ref="C307"/>
    <hyperlink r:id="rId1171" ref="E307"/>
    <hyperlink r:id="rId1172" ref="F307"/>
    <hyperlink r:id="rId1173" ref="I307"/>
    <hyperlink r:id="rId1174" ref="C308"/>
    <hyperlink r:id="rId1175" ref="E308"/>
    <hyperlink r:id="rId1176" ref="F308"/>
    <hyperlink r:id="rId1177" ref="I308"/>
    <hyperlink r:id="rId1178" ref="C309"/>
    <hyperlink r:id="rId1179" ref="E309"/>
    <hyperlink r:id="rId1180" ref="F309"/>
    <hyperlink r:id="rId1181" ref="I309"/>
    <hyperlink r:id="rId1182" ref="C310"/>
    <hyperlink r:id="rId1183" ref="E310"/>
    <hyperlink r:id="rId1184" ref="F310"/>
    <hyperlink r:id="rId1185" ref="C311"/>
    <hyperlink r:id="rId1186" ref="E311"/>
    <hyperlink r:id="rId1187" ref="F311"/>
    <hyperlink r:id="rId1188" ref="I311"/>
    <hyperlink r:id="rId1189" ref="C312"/>
    <hyperlink r:id="rId1190" ref="E312"/>
    <hyperlink r:id="rId1191" ref="F312"/>
    <hyperlink r:id="rId1192" ref="I312"/>
    <hyperlink r:id="rId1193" ref="C313"/>
    <hyperlink r:id="rId1194" ref="E313"/>
    <hyperlink r:id="rId1195" ref="F313"/>
    <hyperlink r:id="rId1196" ref="I313"/>
    <hyperlink r:id="rId1197" ref="C314"/>
    <hyperlink r:id="rId1198" ref="E314"/>
    <hyperlink r:id="rId1199" ref="F314"/>
    <hyperlink r:id="rId1200" ref="I314"/>
    <hyperlink r:id="rId1201" ref="C315"/>
    <hyperlink r:id="rId1202" ref="E315"/>
    <hyperlink r:id="rId1203" ref="F315"/>
    <hyperlink r:id="rId1204" ref="I315"/>
    <hyperlink r:id="rId1205" ref="C316"/>
    <hyperlink r:id="rId1206" ref="E316"/>
    <hyperlink r:id="rId1207" ref="F316"/>
    <hyperlink r:id="rId1208" ref="I316"/>
    <hyperlink r:id="rId1209" ref="C317"/>
    <hyperlink r:id="rId1210" ref="E317"/>
    <hyperlink r:id="rId1211" ref="F317"/>
    <hyperlink r:id="rId1212" ref="I317"/>
    <hyperlink r:id="rId1213" ref="C318"/>
    <hyperlink r:id="rId1214" ref="E318"/>
    <hyperlink r:id="rId1215" ref="F318"/>
    <hyperlink r:id="rId1216" ref="I318"/>
    <hyperlink r:id="rId1217" ref="C319"/>
    <hyperlink r:id="rId1218" ref="E319"/>
    <hyperlink r:id="rId1219" ref="F319"/>
    <hyperlink r:id="rId1220" ref="C320"/>
    <hyperlink r:id="rId1221" ref="E320"/>
    <hyperlink r:id="rId1222" ref="F320"/>
    <hyperlink r:id="rId1223" ref="I320"/>
    <hyperlink r:id="rId1224" ref="C321"/>
    <hyperlink r:id="rId1225" ref="E321"/>
    <hyperlink r:id="rId1226" ref="F321"/>
    <hyperlink r:id="rId1227" ref="I321"/>
    <hyperlink r:id="rId1228" ref="C322"/>
    <hyperlink r:id="rId1229" ref="E322"/>
    <hyperlink r:id="rId1230" ref="F322"/>
    <hyperlink r:id="rId1231" ref="I322"/>
    <hyperlink r:id="rId1232" ref="C323"/>
    <hyperlink r:id="rId1233" ref="E323"/>
    <hyperlink r:id="rId1234" ref="F323"/>
    <hyperlink r:id="rId1235" ref="C324"/>
    <hyperlink r:id="rId1236" ref="E324"/>
    <hyperlink r:id="rId1237" ref="F324"/>
    <hyperlink r:id="rId1238" ref="C325"/>
    <hyperlink r:id="rId1239" ref="E325"/>
    <hyperlink r:id="rId1240" ref="F325"/>
    <hyperlink r:id="rId1241" ref="I325"/>
    <hyperlink r:id="rId1242" ref="C326"/>
    <hyperlink r:id="rId1243" ref="E326"/>
    <hyperlink r:id="rId1244" ref="F326"/>
    <hyperlink r:id="rId1245" ref="I326"/>
    <hyperlink r:id="rId1246" ref="C327"/>
    <hyperlink r:id="rId1247" ref="E327"/>
    <hyperlink r:id="rId1248" ref="F327"/>
    <hyperlink r:id="rId1249" ref="I327"/>
    <hyperlink r:id="rId1250" ref="C328"/>
    <hyperlink r:id="rId1251" ref="E328"/>
    <hyperlink r:id="rId1252" ref="F328"/>
    <hyperlink r:id="rId1253" ref="I328"/>
    <hyperlink r:id="rId1254" ref="C329"/>
    <hyperlink r:id="rId1255" ref="E329"/>
    <hyperlink r:id="rId1256" ref="F329"/>
    <hyperlink r:id="rId1257" ref="C330"/>
    <hyperlink r:id="rId1258" ref="E330"/>
    <hyperlink r:id="rId1259" ref="F330"/>
    <hyperlink r:id="rId1260" ref="I330"/>
    <hyperlink r:id="rId1261" ref="C331"/>
    <hyperlink r:id="rId1262" ref="E331"/>
    <hyperlink r:id="rId1263" ref="F331"/>
    <hyperlink r:id="rId1264" ref="I331"/>
    <hyperlink r:id="rId1265" ref="C332"/>
    <hyperlink r:id="rId1266" ref="E332"/>
    <hyperlink r:id="rId1267" ref="F332"/>
    <hyperlink r:id="rId1268" ref="I332"/>
    <hyperlink r:id="rId1269" ref="C333"/>
    <hyperlink r:id="rId1270" ref="E333"/>
    <hyperlink r:id="rId1271" ref="F333"/>
    <hyperlink r:id="rId1272" ref="I333"/>
    <hyperlink r:id="rId1273" ref="C334"/>
    <hyperlink r:id="rId1274" ref="E334"/>
    <hyperlink r:id="rId1275" ref="F334"/>
    <hyperlink r:id="rId1276" ref="I334"/>
    <hyperlink r:id="rId1277" ref="C335"/>
    <hyperlink r:id="rId1278" ref="E335"/>
    <hyperlink r:id="rId1279" ref="F335"/>
    <hyperlink r:id="rId1280" ref="I335"/>
    <hyperlink r:id="rId1281" ref="C336"/>
    <hyperlink r:id="rId1282" ref="E336"/>
    <hyperlink r:id="rId1283" ref="F336"/>
    <hyperlink r:id="rId1284" ref="I336"/>
    <hyperlink r:id="rId1285" ref="C337"/>
    <hyperlink r:id="rId1286" ref="E337"/>
    <hyperlink r:id="rId1287" ref="F337"/>
    <hyperlink r:id="rId1288" ref="C338"/>
    <hyperlink r:id="rId1289" ref="E338"/>
    <hyperlink r:id="rId1290" ref="F338"/>
    <hyperlink r:id="rId1291" ref="I338"/>
    <hyperlink r:id="rId1292" ref="C339"/>
    <hyperlink r:id="rId1293" ref="E339"/>
    <hyperlink r:id="rId1294" ref="F339"/>
    <hyperlink r:id="rId1295" ref="I339"/>
    <hyperlink r:id="rId1296" ref="C340"/>
    <hyperlink r:id="rId1297" ref="E340"/>
    <hyperlink r:id="rId1298" ref="F340"/>
    <hyperlink r:id="rId1299" ref="C341"/>
    <hyperlink r:id="rId1300" ref="E341"/>
    <hyperlink r:id="rId1301" ref="F341"/>
    <hyperlink r:id="rId1302" ref="C342"/>
    <hyperlink r:id="rId1303" ref="E342"/>
    <hyperlink r:id="rId1304" ref="F342"/>
    <hyperlink r:id="rId1305" ref="I342"/>
    <hyperlink r:id="rId1306" ref="C343"/>
    <hyperlink r:id="rId1307" ref="E343"/>
    <hyperlink r:id="rId1308" ref="F343"/>
    <hyperlink r:id="rId1309" ref="C344"/>
    <hyperlink r:id="rId1310" ref="E344"/>
    <hyperlink r:id="rId1311" ref="F344"/>
    <hyperlink r:id="rId1312" ref="I344"/>
    <hyperlink r:id="rId1313" ref="C345"/>
    <hyperlink r:id="rId1314" ref="E345"/>
    <hyperlink r:id="rId1315" ref="F345"/>
    <hyperlink r:id="rId1316" ref="I345"/>
    <hyperlink r:id="rId1317" ref="C346"/>
    <hyperlink r:id="rId1318" ref="E346"/>
    <hyperlink r:id="rId1319" ref="F346"/>
    <hyperlink r:id="rId1320" ref="I346"/>
    <hyperlink r:id="rId1321" ref="C347"/>
    <hyperlink r:id="rId1322" ref="E347"/>
    <hyperlink r:id="rId1323" ref="F347"/>
    <hyperlink r:id="rId1324" ref="I347"/>
    <hyperlink r:id="rId1325" ref="C348"/>
    <hyperlink r:id="rId1326" ref="E348"/>
    <hyperlink r:id="rId1327" ref="F348"/>
    <hyperlink r:id="rId1328" ref="I348"/>
    <hyperlink r:id="rId1329" ref="C349"/>
    <hyperlink r:id="rId1330" ref="E349"/>
    <hyperlink r:id="rId1331" ref="F349"/>
    <hyperlink r:id="rId1332" ref="I349"/>
    <hyperlink r:id="rId1333" ref="C350"/>
    <hyperlink r:id="rId1334" ref="E350"/>
    <hyperlink r:id="rId1335" ref="F350"/>
    <hyperlink r:id="rId1336" ref="C351"/>
    <hyperlink r:id="rId1337" ref="E351"/>
    <hyperlink r:id="rId1338" ref="F351"/>
    <hyperlink r:id="rId1339" ref="I351"/>
    <hyperlink r:id="rId1340" ref="C352"/>
    <hyperlink r:id="rId1341" ref="E352"/>
    <hyperlink r:id="rId1342" ref="F352"/>
    <hyperlink r:id="rId1343" ref="I352"/>
    <hyperlink r:id="rId1344" ref="C353"/>
    <hyperlink r:id="rId1345" ref="E353"/>
    <hyperlink r:id="rId1346" ref="F353"/>
    <hyperlink r:id="rId1347" ref="I353"/>
    <hyperlink r:id="rId1348" ref="C354"/>
    <hyperlink r:id="rId1349" ref="E354"/>
    <hyperlink r:id="rId1350" ref="F354"/>
    <hyperlink r:id="rId1351" ref="I354"/>
    <hyperlink r:id="rId1352" ref="C355"/>
    <hyperlink r:id="rId1353" ref="E355"/>
    <hyperlink r:id="rId1354" ref="F355"/>
    <hyperlink r:id="rId1355" ref="I355"/>
    <hyperlink r:id="rId1356" ref="C356"/>
    <hyperlink r:id="rId1357" ref="E356"/>
    <hyperlink r:id="rId1358" ref="F356"/>
    <hyperlink r:id="rId1359" ref="I356"/>
    <hyperlink r:id="rId1360" ref="C357"/>
    <hyperlink r:id="rId1361" ref="E357"/>
    <hyperlink r:id="rId1362" ref="F357"/>
    <hyperlink r:id="rId1363" ref="I357"/>
    <hyperlink r:id="rId1364" ref="C358"/>
    <hyperlink r:id="rId1365" ref="E358"/>
    <hyperlink r:id="rId1366" ref="F358"/>
    <hyperlink r:id="rId1367" ref="I358"/>
    <hyperlink r:id="rId1368" ref="C359"/>
    <hyperlink r:id="rId1369" ref="E359"/>
    <hyperlink r:id="rId1370" ref="F359"/>
    <hyperlink r:id="rId1371" ref="I359"/>
    <hyperlink r:id="rId1372" ref="C360"/>
    <hyperlink r:id="rId1373" ref="E360"/>
    <hyperlink r:id="rId1374" ref="F360"/>
    <hyperlink r:id="rId1375" ref="I360"/>
    <hyperlink r:id="rId1376" ref="C361"/>
    <hyperlink r:id="rId1377" ref="E361"/>
    <hyperlink r:id="rId1378" ref="F361"/>
    <hyperlink r:id="rId1379" ref="I361"/>
    <hyperlink r:id="rId1380" ref="C362"/>
    <hyperlink r:id="rId1381" ref="E362"/>
    <hyperlink r:id="rId1382" ref="F362"/>
    <hyperlink r:id="rId1383" ref="I362"/>
    <hyperlink r:id="rId1384" ref="C363"/>
    <hyperlink r:id="rId1385" ref="E363"/>
    <hyperlink r:id="rId1386" ref="F363"/>
    <hyperlink r:id="rId1387" ref="I363"/>
    <hyperlink r:id="rId1388" ref="C364"/>
    <hyperlink r:id="rId1389" ref="E364"/>
    <hyperlink r:id="rId1390" ref="F364"/>
    <hyperlink r:id="rId1391" ref="C365"/>
    <hyperlink r:id="rId1392" ref="E365"/>
    <hyperlink r:id="rId1393" ref="F365"/>
    <hyperlink r:id="rId1394" ref="I365"/>
    <hyperlink r:id="rId1395" ref="C366"/>
    <hyperlink r:id="rId1396" ref="E366"/>
    <hyperlink r:id="rId1397" ref="F366"/>
    <hyperlink r:id="rId1398" ref="I366"/>
    <hyperlink r:id="rId1399" ref="C367"/>
    <hyperlink r:id="rId1400" ref="E367"/>
    <hyperlink r:id="rId1401" ref="F367"/>
    <hyperlink r:id="rId1402" ref="I367"/>
    <hyperlink r:id="rId1403" ref="C368"/>
    <hyperlink r:id="rId1404" ref="E368"/>
    <hyperlink r:id="rId1405" ref="F368"/>
    <hyperlink r:id="rId1406" ref="I368"/>
    <hyperlink r:id="rId1407" ref="C369"/>
    <hyperlink r:id="rId1408" ref="E369"/>
    <hyperlink r:id="rId1409" ref="F369"/>
    <hyperlink r:id="rId1410" ref="I369"/>
    <hyperlink r:id="rId1411" ref="C370"/>
    <hyperlink r:id="rId1412" ref="E370"/>
    <hyperlink r:id="rId1413" ref="F370"/>
    <hyperlink r:id="rId1414" ref="I370"/>
    <hyperlink r:id="rId1415" ref="C371"/>
    <hyperlink r:id="rId1416" ref="E371"/>
    <hyperlink r:id="rId1417" ref="F371"/>
    <hyperlink r:id="rId1418" ref="I371"/>
    <hyperlink r:id="rId1419" ref="C372"/>
    <hyperlink r:id="rId1420" ref="E372"/>
    <hyperlink r:id="rId1421" ref="F372"/>
    <hyperlink r:id="rId1422" ref="I372"/>
    <hyperlink r:id="rId1423" ref="C373"/>
    <hyperlink r:id="rId1424" ref="E373"/>
    <hyperlink r:id="rId1425" ref="F373"/>
    <hyperlink r:id="rId1426" ref="I373"/>
    <hyperlink r:id="rId1427" ref="C374"/>
    <hyperlink r:id="rId1428" ref="E374"/>
    <hyperlink r:id="rId1429" ref="F374"/>
    <hyperlink r:id="rId1430" ref="C375"/>
    <hyperlink r:id="rId1431" ref="E375"/>
    <hyperlink r:id="rId1432" ref="F375"/>
    <hyperlink r:id="rId1433" ref="I375"/>
    <hyperlink r:id="rId1434" ref="C376"/>
    <hyperlink r:id="rId1435" ref="E376"/>
    <hyperlink r:id="rId1436" ref="F376"/>
    <hyperlink r:id="rId1437" ref="I376"/>
    <hyperlink r:id="rId1438" ref="C377"/>
    <hyperlink r:id="rId1439" ref="E377"/>
    <hyperlink r:id="rId1440" ref="F377"/>
    <hyperlink r:id="rId1441" ref="I377"/>
    <hyperlink r:id="rId1442" ref="C378"/>
    <hyperlink r:id="rId1443" ref="E378"/>
    <hyperlink r:id="rId1444" ref="F378"/>
    <hyperlink r:id="rId1445" ref="I378"/>
    <hyperlink r:id="rId1446" ref="C379"/>
    <hyperlink r:id="rId1447" ref="E379"/>
    <hyperlink r:id="rId1448" ref="F379"/>
    <hyperlink r:id="rId1449" ref="C380"/>
    <hyperlink r:id="rId1450" ref="E380"/>
    <hyperlink r:id="rId1451" ref="F380"/>
    <hyperlink r:id="rId1452" ref="I380"/>
    <hyperlink r:id="rId1453" ref="C381"/>
    <hyperlink r:id="rId1454" ref="E381"/>
    <hyperlink r:id="rId1455" ref="F381"/>
    <hyperlink r:id="rId1456" ref="I381"/>
    <hyperlink r:id="rId1457" ref="C382"/>
    <hyperlink r:id="rId1458" ref="E382"/>
    <hyperlink r:id="rId1459" ref="F382"/>
    <hyperlink r:id="rId1460" ref="I382"/>
    <hyperlink r:id="rId1461" ref="C383"/>
    <hyperlink r:id="rId1462" ref="E383"/>
    <hyperlink r:id="rId1463" ref="F383"/>
    <hyperlink r:id="rId1464" ref="I383"/>
    <hyperlink r:id="rId1465" ref="C384"/>
    <hyperlink r:id="rId1466" ref="E384"/>
    <hyperlink r:id="rId1467" ref="F384"/>
    <hyperlink r:id="rId1468" ref="C385"/>
    <hyperlink r:id="rId1469" ref="E385"/>
    <hyperlink r:id="rId1470" ref="F385"/>
    <hyperlink r:id="rId1471" ref="I385"/>
    <hyperlink r:id="rId1472" ref="C386"/>
    <hyperlink r:id="rId1473" ref="E386"/>
    <hyperlink r:id="rId1474" ref="F386"/>
    <hyperlink r:id="rId1475" ref="C387"/>
    <hyperlink r:id="rId1476" ref="E387"/>
    <hyperlink r:id="rId1477" ref="F387"/>
    <hyperlink r:id="rId1478" ref="I387"/>
    <hyperlink r:id="rId1479" ref="C388"/>
    <hyperlink r:id="rId1480" ref="E388"/>
    <hyperlink r:id="rId1481" ref="F388"/>
    <hyperlink r:id="rId1482" ref="I388"/>
    <hyperlink r:id="rId1483" ref="C389"/>
    <hyperlink r:id="rId1484" ref="E389"/>
    <hyperlink r:id="rId1485" ref="F389"/>
    <hyperlink r:id="rId1486" ref="I389"/>
    <hyperlink r:id="rId1487" ref="C390"/>
    <hyperlink r:id="rId1488" ref="E390"/>
    <hyperlink r:id="rId1489" ref="F390"/>
    <hyperlink r:id="rId1490" ref="I390"/>
    <hyperlink r:id="rId1491" ref="C391"/>
    <hyperlink r:id="rId1492" ref="E391"/>
    <hyperlink r:id="rId1493" ref="F391"/>
    <hyperlink r:id="rId1494" ref="I391"/>
    <hyperlink r:id="rId1495" ref="C392"/>
    <hyperlink r:id="rId1496" ref="E392"/>
    <hyperlink r:id="rId1497" ref="F392"/>
    <hyperlink r:id="rId1498" ref="I392"/>
    <hyperlink r:id="rId1499" ref="C393"/>
    <hyperlink r:id="rId1500" ref="E393"/>
    <hyperlink r:id="rId1501" ref="F393"/>
    <hyperlink r:id="rId1502" ref="C394"/>
    <hyperlink r:id="rId1503" ref="E394"/>
    <hyperlink r:id="rId1504" ref="F394"/>
    <hyperlink r:id="rId1505" ref="I394"/>
    <hyperlink r:id="rId1506" ref="C395"/>
    <hyperlink r:id="rId1507" ref="E395"/>
    <hyperlink r:id="rId1508" ref="F395"/>
    <hyperlink r:id="rId1509" ref="I395"/>
    <hyperlink r:id="rId1510" ref="C396"/>
    <hyperlink r:id="rId1511" ref="E396"/>
    <hyperlink r:id="rId1512" ref="F396"/>
    <hyperlink r:id="rId1513" ref="I396"/>
    <hyperlink r:id="rId1514" ref="C397"/>
    <hyperlink r:id="rId1515" ref="E397"/>
    <hyperlink r:id="rId1516" ref="F397"/>
    <hyperlink r:id="rId1517" ref="I397"/>
    <hyperlink r:id="rId1518" ref="C398"/>
    <hyperlink r:id="rId1519" ref="E398"/>
    <hyperlink r:id="rId1520" ref="F398"/>
    <hyperlink r:id="rId1521" ref="I398"/>
    <hyperlink r:id="rId1522" ref="C399"/>
    <hyperlink r:id="rId1523" ref="E399"/>
    <hyperlink r:id="rId1524" ref="F399"/>
    <hyperlink r:id="rId1525" ref="I399"/>
    <hyperlink r:id="rId1526" ref="C400"/>
    <hyperlink r:id="rId1527" ref="E400"/>
    <hyperlink r:id="rId1528" ref="F400"/>
    <hyperlink r:id="rId1529" ref="I400"/>
    <hyperlink r:id="rId1530" ref="C401"/>
    <hyperlink r:id="rId1531" ref="E401"/>
    <hyperlink r:id="rId1532" ref="F401"/>
    <hyperlink r:id="rId1533" ref="I401"/>
    <hyperlink r:id="rId1534" ref="C402"/>
    <hyperlink r:id="rId1535" ref="E402"/>
    <hyperlink r:id="rId1536" ref="F402"/>
    <hyperlink r:id="rId1537" ref="I402"/>
    <hyperlink r:id="rId1538" ref="C403"/>
    <hyperlink r:id="rId1539" ref="E403"/>
    <hyperlink r:id="rId1540" ref="F403"/>
    <hyperlink r:id="rId1541" ref="I403"/>
    <hyperlink r:id="rId1542" ref="C404"/>
    <hyperlink r:id="rId1543" ref="E404"/>
    <hyperlink r:id="rId1544" ref="F404"/>
    <hyperlink r:id="rId1545" ref="C405"/>
    <hyperlink r:id="rId1546" ref="E405"/>
    <hyperlink r:id="rId1547" ref="F405"/>
    <hyperlink r:id="rId1548" ref="I405"/>
    <hyperlink r:id="rId1549" ref="C406"/>
    <hyperlink r:id="rId1550" ref="E406"/>
    <hyperlink r:id="rId1551" ref="F406"/>
    <hyperlink r:id="rId1552" ref="I406"/>
    <hyperlink r:id="rId1553" ref="C407"/>
    <hyperlink r:id="rId1554" ref="E407"/>
    <hyperlink r:id="rId1555" ref="F407"/>
    <hyperlink r:id="rId1556" ref="I407"/>
    <hyperlink r:id="rId1557" ref="C408"/>
    <hyperlink r:id="rId1558" ref="E408"/>
    <hyperlink r:id="rId1559" ref="F408"/>
    <hyperlink r:id="rId1560" ref="I408"/>
    <hyperlink r:id="rId1561" ref="C409"/>
    <hyperlink r:id="rId1562" ref="E409"/>
    <hyperlink r:id="rId1563" ref="F409"/>
    <hyperlink r:id="rId1564" ref="C410"/>
    <hyperlink r:id="rId1565" ref="E410"/>
    <hyperlink r:id="rId1566" ref="F410"/>
    <hyperlink r:id="rId1567" ref="C411"/>
    <hyperlink r:id="rId1568" ref="E411"/>
    <hyperlink r:id="rId1569" ref="F411"/>
    <hyperlink r:id="rId1570" ref="C412"/>
    <hyperlink r:id="rId1571" ref="E412"/>
    <hyperlink r:id="rId1572" ref="F412"/>
    <hyperlink r:id="rId1573" ref="C413"/>
    <hyperlink r:id="rId1574" ref="E413"/>
    <hyperlink r:id="rId1575" ref="F413"/>
    <hyperlink r:id="rId1576" ref="I413"/>
    <hyperlink r:id="rId1577" ref="C414"/>
    <hyperlink r:id="rId1578" ref="E414"/>
    <hyperlink r:id="rId1579" ref="F414"/>
    <hyperlink r:id="rId1580" ref="I414"/>
    <hyperlink r:id="rId1581" ref="C415"/>
    <hyperlink r:id="rId1582" ref="E415"/>
    <hyperlink r:id="rId1583" ref="F415"/>
    <hyperlink r:id="rId1584" ref="I415"/>
    <hyperlink r:id="rId1585" ref="C416"/>
    <hyperlink r:id="rId1586" ref="E416"/>
    <hyperlink r:id="rId1587" ref="F416"/>
    <hyperlink r:id="rId1588" ref="I416"/>
  </hyperlinks>
  <printOptions gridLines="1" horizontalCentered="1"/>
  <pageMargins bottom="0.20809792843691147" footer="0.0" header="0.0" left="0.256120527306968" right="0.24811676082862522" top="0.20809792843691147"/>
  <pageSetup fitToHeight="0" cellComments="atEnd" orientation="portrait" pageOrder="overThenDown"/>
  <drawing r:id="rId158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/>
  <cols>
    <col customWidth="1" min="1" max="1" width="3.88"/>
    <col customWidth="1" min="2" max="2" width="7.75"/>
    <col customWidth="1" min="3" max="3" width="8.38"/>
    <col customWidth="1" min="4" max="4" width="23.88"/>
    <col customWidth="1" min="7" max="9" width="10.75"/>
    <col customWidth="1" min="10" max="10" width="12.25"/>
    <col customWidth="1" min="11" max="11" width="30.88"/>
    <col customWidth="1" min="13" max="13" width="32.75"/>
  </cols>
  <sheetData>
    <row r="1">
      <c r="A1" s="36" t="s">
        <v>32</v>
      </c>
      <c r="B1" s="39"/>
      <c r="C1" s="39"/>
      <c r="D1" s="39"/>
      <c r="E1" s="39"/>
      <c r="F1" s="39"/>
      <c r="G1" s="64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>
      <c r="A2" s="36" t="s">
        <v>1176</v>
      </c>
      <c r="B2" s="39"/>
      <c r="C2" s="39"/>
      <c r="D2" s="39"/>
      <c r="E2" s="39"/>
      <c r="F2" s="39"/>
      <c r="G2" s="64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>
      <c r="A3" s="39"/>
      <c r="B3" s="65"/>
      <c r="C3" s="34"/>
      <c r="D3" s="34"/>
      <c r="E3" s="34"/>
      <c r="F3" s="34"/>
      <c r="G3" s="38"/>
      <c r="H3" s="34"/>
      <c r="I3" s="34"/>
      <c r="J3" s="34"/>
      <c r="K3" s="34"/>
      <c r="L3" s="34"/>
      <c r="M3" s="34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>
      <c r="A4" s="39"/>
      <c r="B4" s="65" t="s">
        <v>1177</v>
      </c>
      <c r="C4" s="34"/>
      <c r="D4" s="34"/>
      <c r="E4" s="34"/>
      <c r="F4" s="34"/>
      <c r="G4" s="38"/>
      <c r="H4" s="34"/>
      <c r="I4" s="34"/>
      <c r="J4" s="34"/>
      <c r="K4" s="34"/>
      <c r="L4" s="34"/>
      <c r="M4" s="34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>
      <c r="A5" s="39"/>
      <c r="B5" s="55"/>
      <c r="C5" s="34"/>
      <c r="D5" s="34"/>
      <c r="E5" s="34"/>
      <c r="F5" s="34"/>
      <c r="G5" s="38"/>
      <c r="H5" s="34"/>
      <c r="I5" s="34"/>
      <c r="J5" s="34"/>
      <c r="K5" s="34"/>
      <c r="L5" s="34"/>
      <c r="M5" s="34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>
      <c r="A6" s="39"/>
      <c r="B6" s="66" t="s">
        <v>1178</v>
      </c>
      <c r="C6" s="34"/>
      <c r="D6" s="34"/>
      <c r="E6" s="34"/>
      <c r="F6" s="34"/>
      <c r="G6" s="38"/>
      <c r="H6" s="34"/>
      <c r="I6" s="34"/>
      <c r="J6" s="34"/>
      <c r="K6" s="34"/>
      <c r="L6" s="34"/>
      <c r="M6" s="34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>
      <c r="A7" s="39"/>
      <c r="B7" s="66" t="s">
        <v>1179</v>
      </c>
      <c r="C7" s="34"/>
      <c r="D7" s="34"/>
      <c r="E7" s="34"/>
      <c r="F7" s="34"/>
      <c r="G7" s="38"/>
      <c r="H7" s="34"/>
      <c r="I7" s="34"/>
      <c r="J7" s="34"/>
      <c r="K7" s="34"/>
      <c r="L7" s="34"/>
      <c r="M7" s="34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>
      <c r="A8" s="39"/>
      <c r="B8" s="67" t="s">
        <v>1180</v>
      </c>
      <c r="C8" s="34"/>
      <c r="D8" s="34"/>
      <c r="E8" s="34"/>
      <c r="F8" s="34"/>
      <c r="G8" s="38"/>
      <c r="H8" s="34"/>
      <c r="I8" s="34"/>
      <c r="J8" s="34"/>
      <c r="K8" s="34"/>
      <c r="L8" s="34"/>
      <c r="M8" s="34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>
      <c r="A9" s="39"/>
      <c r="B9" s="67" t="s">
        <v>1181</v>
      </c>
      <c r="C9" s="34"/>
      <c r="D9" s="34"/>
      <c r="E9" s="34"/>
      <c r="F9" s="34"/>
      <c r="G9" s="38"/>
      <c r="H9" s="34"/>
      <c r="I9" s="34"/>
      <c r="J9" s="34"/>
      <c r="K9" s="34"/>
      <c r="L9" s="34"/>
      <c r="M9" s="34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1">
      <c r="A11" s="39"/>
      <c r="B11" s="68" t="s">
        <v>1182</v>
      </c>
      <c r="C11" s="68" t="s">
        <v>1183</v>
      </c>
      <c r="D11" s="68" t="s">
        <v>1184</v>
      </c>
      <c r="E11" s="68" t="s">
        <v>41</v>
      </c>
      <c r="F11" s="68" t="s">
        <v>42</v>
      </c>
      <c r="G11" s="69" t="s">
        <v>1185</v>
      </c>
      <c r="H11" s="68" t="s">
        <v>1186</v>
      </c>
      <c r="I11" s="68" t="s">
        <v>1187</v>
      </c>
      <c r="J11" s="70" t="s">
        <v>1188</v>
      </c>
      <c r="K11" s="68" t="s">
        <v>1189</v>
      </c>
      <c r="L11" s="68" t="s">
        <v>1190</v>
      </c>
      <c r="M11" s="68" t="s">
        <v>1191</v>
      </c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>
      <c r="A12" s="39"/>
      <c r="B12" s="50">
        <v>1.0</v>
      </c>
      <c r="C12" s="71"/>
      <c r="D12" s="49" t="s">
        <v>1192</v>
      </c>
      <c r="E12" s="49" t="s">
        <v>713</v>
      </c>
      <c r="F12" s="49" t="s">
        <v>153</v>
      </c>
      <c r="G12" s="48">
        <v>23500.0</v>
      </c>
      <c r="H12" s="56">
        <v>22000.0</v>
      </c>
      <c r="I12" s="48">
        <v>18947.0</v>
      </c>
      <c r="J12" s="72">
        <f t="shared" ref="J12:J542" si="1">AVERAGE(G12:I12)</f>
        <v>21482.33333</v>
      </c>
      <c r="K12" s="47" t="s">
        <v>1193</v>
      </c>
      <c r="L12" s="50">
        <v>1959.0</v>
      </c>
      <c r="M12" s="34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>
      <c r="A13" s="39"/>
      <c r="B13" s="54">
        <v>2.0</v>
      </c>
      <c r="C13" s="71"/>
      <c r="D13" s="49" t="s">
        <v>1194</v>
      </c>
      <c r="E13" s="49" t="s">
        <v>261</v>
      </c>
      <c r="F13" s="49" t="s">
        <v>262</v>
      </c>
      <c r="G13" s="53">
        <v>23500.0</v>
      </c>
      <c r="H13" s="53">
        <v>20917.0</v>
      </c>
      <c r="I13" s="53">
        <v>19717.0</v>
      </c>
      <c r="J13" s="72">
        <f t="shared" si="1"/>
        <v>21378</v>
      </c>
      <c r="K13" s="47" t="s">
        <v>1195</v>
      </c>
      <c r="L13" s="54">
        <v>1994.0</v>
      </c>
      <c r="M13" s="49" t="s">
        <v>1196</v>
      </c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>
      <c r="A14" s="39"/>
      <c r="B14" s="50">
        <v>3.0</v>
      </c>
      <c r="C14" s="71"/>
      <c r="D14" s="49" t="s">
        <v>1197</v>
      </c>
      <c r="E14" s="49" t="s">
        <v>292</v>
      </c>
      <c r="F14" s="49" t="s">
        <v>286</v>
      </c>
      <c r="G14" s="48">
        <v>23084.0</v>
      </c>
      <c r="H14" s="48">
        <v>22090.0</v>
      </c>
      <c r="I14" s="48">
        <v>21000.0</v>
      </c>
      <c r="J14" s="72">
        <f t="shared" si="1"/>
        <v>22058</v>
      </c>
      <c r="K14" s="47" t="s">
        <v>1198</v>
      </c>
      <c r="L14" s="50">
        <v>2010.0</v>
      </c>
      <c r="M14" s="34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9"/>
      <c r="B15" s="50">
        <v>4.0</v>
      </c>
      <c r="C15" s="71"/>
      <c r="D15" s="49" t="s">
        <v>1199</v>
      </c>
      <c r="E15" s="49" t="s">
        <v>874</v>
      </c>
      <c r="F15" s="49" t="s">
        <v>180</v>
      </c>
      <c r="G15" s="48">
        <v>23000.0</v>
      </c>
      <c r="H15" s="48">
        <v>20722.0</v>
      </c>
      <c r="I15" s="48">
        <v>19106.0</v>
      </c>
      <c r="J15" s="72">
        <f t="shared" si="1"/>
        <v>20942.66667</v>
      </c>
      <c r="K15" s="55"/>
      <c r="L15" s="50">
        <v>1983.0</v>
      </c>
      <c r="M15" s="49" t="s">
        <v>1200</v>
      </c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39"/>
      <c r="B16" s="54">
        <v>5.0</v>
      </c>
      <c r="C16" s="71"/>
      <c r="D16" s="49" t="s">
        <v>1201</v>
      </c>
      <c r="E16" s="49" t="s">
        <v>1202</v>
      </c>
      <c r="F16" s="49" t="s">
        <v>91</v>
      </c>
      <c r="G16" s="53">
        <v>22457.0</v>
      </c>
      <c r="H16" s="53">
        <v>20737.0</v>
      </c>
      <c r="I16" s="53">
        <v>19250.0</v>
      </c>
      <c r="J16" s="72">
        <f t="shared" si="1"/>
        <v>20814.66667</v>
      </c>
      <c r="K16" s="47" t="s">
        <v>1203</v>
      </c>
      <c r="L16" s="54">
        <v>1998.0</v>
      </c>
      <c r="M16" s="49" t="s">
        <v>1204</v>
      </c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39"/>
      <c r="B17" s="50">
        <v>6.0</v>
      </c>
      <c r="C17" s="71"/>
      <c r="D17" s="49" t="s">
        <v>1205</v>
      </c>
      <c r="E17" s="49" t="s">
        <v>210</v>
      </c>
      <c r="F17" s="49" t="s">
        <v>135</v>
      </c>
      <c r="G17" s="48">
        <v>22000.0</v>
      </c>
      <c r="H17" s="48">
        <v>21000.0</v>
      </c>
      <c r="I17" s="48">
        <v>19150.0</v>
      </c>
      <c r="J17" s="72">
        <f t="shared" si="1"/>
        <v>20716.66667</v>
      </c>
      <c r="K17" s="47" t="s">
        <v>1206</v>
      </c>
      <c r="L17" s="50">
        <v>1994.0</v>
      </c>
      <c r="M17" s="49" t="s">
        <v>1207</v>
      </c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>
      <c r="A18" s="39"/>
      <c r="B18" s="54">
        <v>7.0</v>
      </c>
      <c r="C18" s="71"/>
      <c r="D18" s="49" t="s">
        <v>1208</v>
      </c>
      <c r="E18" s="49" t="s">
        <v>187</v>
      </c>
      <c r="F18" s="49" t="s">
        <v>91</v>
      </c>
      <c r="G18" s="53">
        <v>21817.0</v>
      </c>
      <c r="H18" s="53">
        <v>20500.0</v>
      </c>
      <c r="I18" s="53">
        <v>19092.0</v>
      </c>
      <c r="J18" s="72">
        <f t="shared" si="1"/>
        <v>20469.66667</v>
      </c>
      <c r="K18" s="47" t="s">
        <v>1209</v>
      </c>
      <c r="L18" s="54">
        <v>1996.0</v>
      </c>
      <c r="M18" s="49" t="s">
        <v>1210</v>
      </c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>
      <c r="A19" s="39"/>
      <c r="B19" s="54">
        <v>8.0</v>
      </c>
      <c r="C19" s="71"/>
      <c r="D19" s="49" t="s">
        <v>1211</v>
      </c>
      <c r="E19" s="49" t="s">
        <v>204</v>
      </c>
      <c r="F19" s="49" t="s">
        <v>53</v>
      </c>
      <c r="G19" s="53">
        <v>21600.0</v>
      </c>
      <c r="H19" s="53">
        <v>20318.0</v>
      </c>
      <c r="I19" s="53">
        <v>19543.0</v>
      </c>
      <c r="J19" s="72">
        <f t="shared" si="1"/>
        <v>20487</v>
      </c>
      <c r="K19" s="47" t="s">
        <v>1212</v>
      </c>
      <c r="L19" s="54">
        <v>1996.0</v>
      </c>
      <c r="M19" s="49" t="s">
        <v>1213</v>
      </c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>
      <c r="A20" s="39"/>
      <c r="B20" s="54">
        <v>9.0</v>
      </c>
      <c r="C20" s="71"/>
      <c r="D20" s="49" t="s">
        <v>1214</v>
      </c>
      <c r="E20" s="49" t="s">
        <v>310</v>
      </c>
      <c r="F20" s="49" t="s">
        <v>153</v>
      </c>
      <c r="G20" s="53">
        <v>21500.0</v>
      </c>
      <c r="H20" s="53">
        <v>19500.0</v>
      </c>
      <c r="I20" s="53">
        <v>18700.0</v>
      </c>
      <c r="J20" s="72">
        <f t="shared" si="1"/>
        <v>19900</v>
      </c>
      <c r="K20" s="47" t="s">
        <v>1215</v>
      </c>
      <c r="L20" s="54">
        <v>1999.0</v>
      </c>
      <c r="M20" s="34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>
      <c r="A21" s="39"/>
      <c r="B21" s="50">
        <v>10.0</v>
      </c>
      <c r="C21" s="71"/>
      <c r="D21" s="49" t="s">
        <v>1216</v>
      </c>
      <c r="E21" s="49" t="s">
        <v>285</v>
      </c>
      <c r="F21" s="49" t="s">
        <v>286</v>
      </c>
      <c r="G21" s="48">
        <v>21500.0</v>
      </c>
      <c r="H21" s="48">
        <v>20545.0</v>
      </c>
      <c r="I21" s="48">
        <v>18345.0</v>
      </c>
      <c r="J21" s="72">
        <f t="shared" si="1"/>
        <v>20130</v>
      </c>
      <c r="K21" s="47" t="s">
        <v>1217</v>
      </c>
      <c r="L21" s="50">
        <v>1976.0</v>
      </c>
      <c r="M21" s="34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>
      <c r="A22" s="39"/>
      <c r="B22" s="54">
        <v>11.0</v>
      </c>
      <c r="C22" s="71"/>
      <c r="D22" s="49" t="s">
        <v>1218</v>
      </c>
      <c r="E22" s="49" t="s">
        <v>344</v>
      </c>
      <c r="F22" s="49" t="s">
        <v>243</v>
      </c>
      <c r="G22" s="53">
        <v>21000.0</v>
      </c>
      <c r="H22" s="53">
        <v>19911.0</v>
      </c>
      <c r="I22" s="53">
        <v>14000.0</v>
      </c>
      <c r="J22" s="72">
        <f t="shared" si="1"/>
        <v>18303.66667</v>
      </c>
      <c r="K22" s="47" t="s">
        <v>1219</v>
      </c>
      <c r="L22" s="54">
        <v>1991.0</v>
      </c>
      <c r="M22" s="34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>
      <c r="A23" s="39"/>
      <c r="B23" s="54">
        <v>12.0</v>
      </c>
      <c r="C23" s="71"/>
      <c r="D23" s="49" t="s">
        <v>1220</v>
      </c>
      <c r="E23" s="49" t="s">
        <v>228</v>
      </c>
      <c r="F23" s="49" t="s">
        <v>48</v>
      </c>
      <c r="G23" s="53">
        <v>21000.0</v>
      </c>
      <c r="H23" s="53">
        <v>20491.0</v>
      </c>
      <c r="I23" s="53">
        <v>19515.0</v>
      </c>
      <c r="J23" s="72">
        <f t="shared" si="1"/>
        <v>20335.33333</v>
      </c>
      <c r="K23" s="47" t="s">
        <v>1221</v>
      </c>
      <c r="L23" s="54">
        <v>2017.0</v>
      </c>
      <c r="M23" s="34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>
      <c r="A24" s="39"/>
      <c r="B24" s="54">
        <v>13.0</v>
      </c>
      <c r="C24" s="71"/>
      <c r="D24" s="49" t="s">
        <v>1222</v>
      </c>
      <c r="E24" s="49" t="s">
        <v>623</v>
      </c>
      <c r="F24" s="49" t="s">
        <v>325</v>
      </c>
      <c r="G24" s="53">
        <v>21000.0</v>
      </c>
      <c r="H24" s="53">
        <v>19980.0</v>
      </c>
      <c r="I24" s="53">
        <v>18280.0</v>
      </c>
      <c r="J24" s="72">
        <f t="shared" si="1"/>
        <v>19753.33333</v>
      </c>
      <c r="K24" s="47" t="s">
        <v>1223</v>
      </c>
      <c r="L24" s="54">
        <v>1995.0</v>
      </c>
      <c r="M24" s="34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9"/>
      <c r="B25" s="54">
        <v>14.0</v>
      </c>
      <c r="C25" s="71"/>
      <c r="D25" s="49" t="s">
        <v>1224</v>
      </c>
      <c r="E25" s="49" t="s">
        <v>142</v>
      </c>
      <c r="F25" s="49" t="s">
        <v>143</v>
      </c>
      <c r="G25" s="53">
        <v>21000.0</v>
      </c>
      <c r="H25" s="53">
        <v>19155.0</v>
      </c>
      <c r="I25" s="53">
        <v>18007.0</v>
      </c>
      <c r="J25" s="72">
        <f t="shared" si="1"/>
        <v>19387.33333</v>
      </c>
      <c r="K25" s="47" t="s">
        <v>1225</v>
      </c>
      <c r="L25" s="54">
        <v>1999.0</v>
      </c>
      <c r="M25" s="49" t="s">
        <v>1226</v>
      </c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39"/>
      <c r="B26" s="54">
        <v>15.0</v>
      </c>
      <c r="C26" s="71"/>
      <c r="D26" s="49" t="s">
        <v>1227</v>
      </c>
      <c r="E26" s="49" t="s">
        <v>168</v>
      </c>
      <c r="F26" s="49" t="s">
        <v>80</v>
      </c>
      <c r="G26" s="53">
        <v>21000.0</v>
      </c>
      <c r="H26" s="53">
        <v>18047.0</v>
      </c>
      <c r="I26" s="53">
        <v>17624.0</v>
      </c>
      <c r="J26" s="72">
        <f t="shared" si="1"/>
        <v>18890.33333</v>
      </c>
      <c r="K26" s="47" t="s">
        <v>1228</v>
      </c>
      <c r="L26" s="54">
        <v>1999.0</v>
      </c>
      <c r="M26" s="49" t="s">
        <v>1229</v>
      </c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39"/>
      <c r="B27" s="54">
        <v>16.0</v>
      </c>
      <c r="C27" s="71"/>
      <c r="D27" s="49" t="s">
        <v>1230</v>
      </c>
      <c r="E27" s="49" t="s">
        <v>180</v>
      </c>
      <c r="F27" s="49" t="s">
        <v>444</v>
      </c>
      <c r="G27" s="53">
        <v>21000.0</v>
      </c>
      <c r="H27" s="53">
        <v>20308.0</v>
      </c>
      <c r="I27" s="53">
        <v>18506.0</v>
      </c>
      <c r="J27" s="72">
        <f t="shared" si="1"/>
        <v>19938</v>
      </c>
      <c r="K27" s="47" t="s">
        <v>1231</v>
      </c>
      <c r="L27" s="54">
        <v>1997.0</v>
      </c>
      <c r="M27" s="49" t="s">
        <v>1232</v>
      </c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>
      <c r="A28" s="39"/>
      <c r="B28" s="54">
        <v>17.0</v>
      </c>
      <c r="C28" s="71"/>
      <c r="D28" s="49" t="s">
        <v>1233</v>
      </c>
      <c r="E28" s="49" t="s">
        <v>1234</v>
      </c>
      <c r="F28" s="49" t="s">
        <v>163</v>
      </c>
      <c r="G28" s="53">
        <v>20789.0</v>
      </c>
      <c r="H28" s="53">
        <v>19812.0</v>
      </c>
      <c r="I28" s="53">
        <v>18006.0</v>
      </c>
      <c r="J28" s="72">
        <f t="shared" si="1"/>
        <v>19535.66667</v>
      </c>
      <c r="K28" s="47" t="s">
        <v>1235</v>
      </c>
      <c r="L28" s="54">
        <v>1968.0</v>
      </c>
      <c r="M28" s="49" t="s">
        <v>1236</v>
      </c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>
      <c r="A29" s="39"/>
      <c r="B29" s="54">
        <v>18.0</v>
      </c>
      <c r="C29" s="71"/>
      <c r="D29" s="49" t="s">
        <v>1237</v>
      </c>
      <c r="E29" s="49" t="s">
        <v>213</v>
      </c>
      <c r="F29" s="49" t="s">
        <v>214</v>
      </c>
      <c r="G29" s="53">
        <v>20500.0</v>
      </c>
      <c r="H29" s="53">
        <v>19356.0</v>
      </c>
      <c r="I29" s="53">
        <v>17500.0</v>
      </c>
      <c r="J29" s="72">
        <f t="shared" si="1"/>
        <v>19118.66667</v>
      </c>
      <c r="K29" s="47" t="s">
        <v>1238</v>
      </c>
      <c r="L29" s="54">
        <v>1990.0</v>
      </c>
      <c r="M29" s="49" t="s">
        <v>1239</v>
      </c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>
      <c r="A30" s="39"/>
      <c r="B30" s="54">
        <v>19.0</v>
      </c>
      <c r="C30" s="71"/>
      <c r="D30" s="49" t="s">
        <v>1240</v>
      </c>
      <c r="E30" s="49" t="s">
        <v>152</v>
      </c>
      <c r="F30" s="49" t="s">
        <v>153</v>
      </c>
      <c r="G30" s="53">
        <v>20200.0</v>
      </c>
      <c r="H30" s="53">
        <v>19077.0</v>
      </c>
      <c r="I30" s="53">
        <v>14100.0</v>
      </c>
      <c r="J30" s="72">
        <f t="shared" si="1"/>
        <v>17792.33333</v>
      </c>
      <c r="K30" s="47" t="s">
        <v>1241</v>
      </c>
      <c r="L30" s="54">
        <v>2005.0</v>
      </c>
      <c r="M30" s="34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>
      <c r="A31" s="39"/>
      <c r="B31" s="54">
        <v>20.0</v>
      </c>
      <c r="C31" s="71"/>
      <c r="D31" s="49" t="s">
        <v>1242</v>
      </c>
      <c r="E31" s="49" t="s">
        <v>497</v>
      </c>
      <c r="F31" s="49" t="s">
        <v>91</v>
      </c>
      <c r="G31" s="53">
        <v>20000.0</v>
      </c>
      <c r="H31" s="53">
        <v>19600.0</v>
      </c>
      <c r="I31" s="53">
        <v>14447.0</v>
      </c>
      <c r="J31" s="72">
        <f t="shared" si="1"/>
        <v>18015.66667</v>
      </c>
      <c r="K31" s="47" t="s">
        <v>1243</v>
      </c>
      <c r="L31" s="54">
        <v>1999.0</v>
      </c>
      <c r="M31" s="49" t="s">
        <v>1204</v>
      </c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>
      <c r="A32" s="39"/>
      <c r="B32" s="54">
        <v>21.0</v>
      </c>
      <c r="C32" s="71"/>
      <c r="D32" s="49" t="s">
        <v>1244</v>
      </c>
      <c r="E32" s="49" t="s">
        <v>87</v>
      </c>
      <c r="F32" s="49" t="s">
        <v>61</v>
      </c>
      <c r="G32" s="53">
        <v>20000.0</v>
      </c>
      <c r="H32" s="53">
        <v>19200.0</v>
      </c>
      <c r="I32" s="53">
        <v>18532.0</v>
      </c>
      <c r="J32" s="72">
        <f t="shared" si="1"/>
        <v>19244</v>
      </c>
      <c r="K32" s="47" t="s">
        <v>1245</v>
      </c>
      <c r="L32" s="54">
        <v>2001.0</v>
      </c>
      <c r="M32" s="49" t="s">
        <v>1246</v>
      </c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>
      <c r="A33" s="39"/>
      <c r="B33" s="54">
        <v>22.0</v>
      </c>
      <c r="C33" s="71"/>
      <c r="D33" s="49" t="s">
        <v>1247</v>
      </c>
      <c r="E33" s="49" t="s">
        <v>289</v>
      </c>
      <c r="F33" s="49" t="s">
        <v>91</v>
      </c>
      <c r="G33" s="53">
        <v>20000.0</v>
      </c>
      <c r="H33" s="53">
        <v>18846.0</v>
      </c>
      <c r="I33" s="53">
        <v>17353.0</v>
      </c>
      <c r="J33" s="72">
        <f t="shared" si="1"/>
        <v>18733</v>
      </c>
      <c r="K33" s="47" t="s">
        <v>1248</v>
      </c>
      <c r="L33" s="54">
        <v>2010.0</v>
      </c>
      <c r="M33" s="34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>
      <c r="A34" s="39"/>
      <c r="B34" s="54">
        <v>23.0</v>
      </c>
      <c r="C34" s="71"/>
      <c r="D34" s="49" t="s">
        <v>1249</v>
      </c>
      <c r="E34" s="49" t="s">
        <v>253</v>
      </c>
      <c r="F34" s="49" t="s">
        <v>124</v>
      </c>
      <c r="G34" s="53">
        <v>20000.0</v>
      </c>
      <c r="H34" s="53">
        <v>18165.0</v>
      </c>
      <c r="I34" s="53">
        <v>15490.0</v>
      </c>
      <c r="J34" s="72">
        <f t="shared" si="1"/>
        <v>17885</v>
      </c>
      <c r="K34" s="47" t="s">
        <v>1250</v>
      </c>
      <c r="L34" s="54">
        <v>1999.0</v>
      </c>
      <c r="M34" s="34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9"/>
      <c r="B35" s="54">
        <v>24.0</v>
      </c>
      <c r="C35" s="71"/>
      <c r="D35" s="49" t="s">
        <v>1251</v>
      </c>
      <c r="E35" s="49" t="s">
        <v>190</v>
      </c>
      <c r="F35" s="49" t="s">
        <v>69</v>
      </c>
      <c r="G35" s="53">
        <v>20000.0</v>
      </c>
      <c r="H35" s="53">
        <v>19395.0</v>
      </c>
      <c r="I35" s="53">
        <v>17113.0</v>
      </c>
      <c r="J35" s="72">
        <f t="shared" si="1"/>
        <v>18836</v>
      </c>
      <c r="K35" s="47" t="s">
        <v>1252</v>
      </c>
      <c r="L35" s="54">
        <v>1996.0</v>
      </c>
      <c r="M35" s="34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39"/>
      <c r="B36" s="54">
        <v>25.0</v>
      </c>
      <c r="C36" s="71"/>
      <c r="D36" s="49" t="s">
        <v>1253</v>
      </c>
      <c r="E36" s="49" t="s">
        <v>56</v>
      </c>
      <c r="F36" s="49" t="s">
        <v>57</v>
      </c>
      <c r="G36" s="53">
        <v>20000.0</v>
      </c>
      <c r="H36" s="53">
        <v>19500.0</v>
      </c>
      <c r="I36" s="53">
        <v>18144.0</v>
      </c>
      <c r="J36" s="72">
        <f t="shared" si="1"/>
        <v>19214.66667</v>
      </c>
      <c r="K36" s="47" t="s">
        <v>1254</v>
      </c>
      <c r="L36" s="54">
        <v>2000.0</v>
      </c>
      <c r="M36" s="34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39"/>
      <c r="B37" s="50">
        <v>26.0</v>
      </c>
      <c r="C37" s="71"/>
      <c r="D37" s="49" t="s">
        <v>1255</v>
      </c>
      <c r="E37" s="49" t="s">
        <v>402</v>
      </c>
      <c r="F37" s="49" t="s">
        <v>84</v>
      </c>
      <c r="G37" s="48">
        <v>20000.0</v>
      </c>
      <c r="H37" s="48">
        <v>19596.0</v>
      </c>
      <c r="I37" s="48">
        <v>17268.0</v>
      </c>
      <c r="J37" s="72">
        <f t="shared" si="1"/>
        <v>18954.66667</v>
      </c>
      <c r="K37" s="55"/>
      <c r="L37" s="50">
        <v>1966.0</v>
      </c>
      <c r="M37" s="49" t="s">
        <v>1256</v>
      </c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>
      <c r="A38" s="39"/>
      <c r="B38" s="54">
        <v>27.0</v>
      </c>
      <c r="C38" s="71"/>
      <c r="D38" s="49" t="s">
        <v>1257</v>
      </c>
      <c r="E38" s="49" t="s">
        <v>705</v>
      </c>
      <c r="F38" s="49" t="s">
        <v>84</v>
      </c>
      <c r="G38" s="53">
        <v>20000.0</v>
      </c>
      <c r="H38" s="53">
        <v>18543.0</v>
      </c>
      <c r="I38" s="53">
        <v>17562.0</v>
      </c>
      <c r="J38" s="72">
        <f t="shared" si="1"/>
        <v>18701.66667</v>
      </c>
      <c r="K38" s="47" t="s">
        <v>1258</v>
      </c>
      <c r="L38" s="54">
        <v>1993.0</v>
      </c>
      <c r="M38" s="49" t="s">
        <v>1256</v>
      </c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>
      <c r="A39" s="39"/>
      <c r="B39" s="54">
        <v>28.0</v>
      </c>
      <c r="C39" s="71"/>
      <c r="D39" s="49" t="s">
        <v>1259</v>
      </c>
      <c r="E39" s="49" t="s">
        <v>130</v>
      </c>
      <c r="F39" s="49" t="s">
        <v>84</v>
      </c>
      <c r="G39" s="53">
        <v>20000.0</v>
      </c>
      <c r="H39" s="53">
        <v>18997.0</v>
      </c>
      <c r="I39" s="53">
        <v>18230.0</v>
      </c>
      <c r="J39" s="72">
        <f t="shared" si="1"/>
        <v>19075.66667</v>
      </c>
      <c r="K39" s="47" t="s">
        <v>1260</v>
      </c>
      <c r="L39" s="54">
        <v>1999.0</v>
      </c>
      <c r="M39" s="49" t="s">
        <v>1261</v>
      </c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>
      <c r="A40" s="39"/>
      <c r="B40" s="54">
        <v>29.0</v>
      </c>
      <c r="C40" s="71"/>
      <c r="D40" s="49" t="s">
        <v>1262</v>
      </c>
      <c r="E40" s="49" t="s">
        <v>1263</v>
      </c>
      <c r="F40" s="49" t="s">
        <v>232</v>
      </c>
      <c r="G40" s="53">
        <v>20000.0</v>
      </c>
      <c r="H40" s="53">
        <v>18800.0</v>
      </c>
      <c r="I40" s="53">
        <v>17500.0</v>
      </c>
      <c r="J40" s="72">
        <f t="shared" si="1"/>
        <v>18766.66667</v>
      </c>
      <c r="K40" s="47" t="s">
        <v>1264</v>
      </c>
      <c r="L40" s="54">
        <v>2016.0</v>
      </c>
      <c r="M40" s="34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>
      <c r="A41" s="39"/>
      <c r="B41" s="54">
        <v>30.0</v>
      </c>
      <c r="C41" s="71"/>
      <c r="D41" s="49" t="s">
        <v>1265</v>
      </c>
      <c r="E41" s="49" t="s">
        <v>1266</v>
      </c>
      <c r="F41" s="49" t="s">
        <v>114</v>
      </c>
      <c r="G41" s="53">
        <v>19711.0</v>
      </c>
      <c r="H41" s="53">
        <v>18203.0</v>
      </c>
      <c r="I41" s="53">
        <v>18036.0</v>
      </c>
      <c r="J41" s="72">
        <f t="shared" si="1"/>
        <v>18650</v>
      </c>
      <c r="K41" s="47" t="s">
        <v>1267</v>
      </c>
      <c r="L41" s="54">
        <v>2002.0</v>
      </c>
      <c r="M41" s="34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>
      <c r="A42" s="39"/>
      <c r="B42" s="54">
        <v>31.0</v>
      </c>
      <c r="C42" s="71"/>
      <c r="D42" s="49" t="s">
        <v>1268</v>
      </c>
      <c r="E42" s="49" t="s">
        <v>492</v>
      </c>
      <c r="F42" s="49" t="s">
        <v>218</v>
      </c>
      <c r="G42" s="53">
        <v>19580.0</v>
      </c>
      <c r="H42" s="53">
        <v>18624.0</v>
      </c>
      <c r="I42" s="53">
        <v>17565.0</v>
      </c>
      <c r="J42" s="72">
        <f t="shared" si="1"/>
        <v>18589.66667</v>
      </c>
      <c r="K42" s="47" t="s">
        <v>1269</v>
      </c>
      <c r="L42" s="54">
        <v>1995.0</v>
      </c>
      <c r="M42" s="49" t="s">
        <v>1270</v>
      </c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>
      <c r="A43" s="39"/>
      <c r="B43" s="54">
        <v>32.0</v>
      </c>
      <c r="C43" s="71"/>
      <c r="D43" s="49" t="s">
        <v>1271</v>
      </c>
      <c r="E43" s="49" t="s">
        <v>198</v>
      </c>
      <c r="F43" s="49" t="s">
        <v>53</v>
      </c>
      <c r="G43" s="53">
        <v>19578.0</v>
      </c>
      <c r="H43" s="53">
        <v>19100.0</v>
      </c>
      <c r="I43" s="53">
        <v>18387.0</v>
      </c>
      <c r="J43" s="72">
        <f t="shared" si="1"/>
        <v>19021.66667</v>
      </c>
      <c r="K43" s="47" t="s">
        <v>1272</v>
      </c>
      <c r="L43" s="54">
        <v>2010.0</v>
      </c>
      <c r="M43" s="34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>
      <c r="A44" s="39"/>
      <c r="B44" s="54">
        <v>33.0</v>
      </c>
      <c r="C44" s="71"/>
      <c r="D44" s="49" t="s">
        <v>1273</v>
      </c>
      <c r="E44" s="49" t="s">
        <v>307</v>
      </c>
      <c r="F44" s="49" t="s">
        <v>69</v>
      </c>
      <c r="G44" s="53">
        <v>19500.0</v>
      </c>
      <c r="H44" s="53">
        <v>18119.0</v>
      </c>
      <c r="I44" s="53">
        <v>12633.0</v>
      </c>
      <c r="J44" s="72">
        <f t="shared" si="1"/>
        <v>16750.66667</v>
      </c>
      <c r="K44" s="47" t="s">
        <v>1274</v>
      </c>
      <c r="L44" s="54">
        <v>2004.0</v>
      </c>
      <c r="M44" s="49" t="s">
        <v>1275</v>
      </c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A45" s="39"/>
      <c r="B45" s="54">
        <v>34.0</v>
      </c>
      <c r="C45" s="71"/>
      <c r="D45" s="49" t="s">
        <v>1276</v>
      </c>
      <c r="E45" s="49" t="s">
        <v>380</v>
      </c>
      <c r="F45" s="49" t="s">
        <v>247</v>
      </c>
      <c r="G45" s="53">
        <v>19500.0</v>
      </c>
      <c r="H45" s="53">
        <v>18055.0</v>
      </c>
      <c r="I45" s="53">
        <v>16210.0</v>
      </c>
      <c r="J45" s="72">
        <f t="shared" si="1"/>
        <v>17921.66667</v>
      </c>
      <c r="K45" s="47" t="s">
        <v>1277</v>
      </c>
      <c r="L45" s="54">
        <v>1992.0</v>
      </c>
      <c r="M45" s="49" t="s">
        <v>1278</v>
      </c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39"/>
      <c r="B46" s="54">
        <v>35.0</v>
      </c>
      <c r="C46" s="71"/>
      <c r="D46" s="49" t="s">
        <v>1279</v>
      </c>
      <c r="E46" s="49" t="s">
        <v>699</v>
      </c>
      <c r="F46" s="49" t="s">
        <v>102</v>
      </c>
      <c r="G46" s="53">
        <v>19500.0</v>
      </c>
      <c r="H46" s="53">
        <v>18711.0</v>
      </c>
      <c r="I46" s="53">
        <v>16592.0</v>
      </c>
      <c r="J46" s="72">
        <f t="shared" si="1"/>
        <v>18267.66667</v>
      </c>
      <c r="K46" s="47" t="s">
        <v>1280</v>
      </c>
      <c r="L46" s="54">
        <v>2007.0</v>
      </c>
      <c r="M46" s="49" t="s">
        <v>1236</v>
      </c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A47" s="39"/>
      <c r="B47" s="54">
        <v>36.0</v>
      </c>
      <c r="C47" s="71"/>
      <c r="D47" s="49" t="s">
        <v>1281</v>
      </c>
      <c r="E47" s="49" t="s">
        <v>435</v>
      </c>
      <c r="F47" s="49" t="s">
        <v>84</v>
      </c>
      <c r="G47" s="53">
        <v>19500.0</v>
      </c>
      <c r="H47" s="53">
        <v>18064.0</v>
      </c>
      <c r="I47" s="73"/>
      <c r="J47" s="72">
        <f t="shared" si="1"/>
        <v>18782</v>
      </c>
      <c r="K47" s="47" t="s">
        <v>1282</v>
      </c>
      <c r="L47" s="54">
        <v>2019.0</v>
      </c>
      <c r="M47" s="49" t="s">
        <v>1256</v>
      </c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>
      <c r="A48" s="39"/>
      <c r="B48" s="54">
        <v>37.0</v>
      </c>
      <c r="C48" s="71"/>
      <c r="D48" s="49" t="s">
        <v>1283</v>
      </c>
      <c r="E48" s="49" t="s">
        <v>832</v>
      </c>
      <c r="F48" s="49" t="s">
        <v>163</v>
      </c>
      <c r="G48" s="53">
        <v>19468.0</v>
      </c>
      <c r="H48" s="53">
        <v>19200.0</v>
      </c>
      <c r="I48" s="53">
        <v>19070.0</v>
      </c>
      <c r="J48" s="72">
        <f t="shared" si="1"/>
        <v>19246</v>
      </c>
      <c r="K48" s="47" t="s">
        <v>1284</v>
      </c>
      <c r="L48" s="54">
        <v>1996.0</v>
      </c>
      <c r="M48" s="34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>
      <c r="A49" s="39"/>
      <c r="B49" s="54">
        <v>38.0</v>
      </c>
      <c r="C49" s="71"/>
      <c r="D49" s="49" t="s">
        <v>1285</v>
      </c>
      <c r="E49" s="49" t="s">
        <v>207</v>
      </c>
      <c r="F49" s="49" t="s">
        <v>57</v>
      </c>
      <c r="G49" s="53">
        <v>19432.0</v>
      </c>
      <c r="H49" s="53">
        <v>19432.0</v>
      </c>
      <c r="I49" s="53">
        <v>18926.0</v>
      </c>
      <c r="J49" s="72">
        <f t="shared" si="1"/>
        <v>19263.33333</v>
      </c>
      <c r="K49" s="47" t="s">
        <v>1286</v>
      </c>
      <c r="L49" s="54">
        <v>1994.0</v>
      </c>
      <c r="M49" s="49" t="s">
        <v>1287</v>
      </c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>
      <c r="A50" s="39"/>
      <c r="B50" s="54">
        <v>39.0</v>
      </c>
      <c r="C50" s="71"/>
      <c r="D50" s="49" t="s">
        <v>1288</v>
      </c>
      <c r="E50" s="49" t="s">
        <v>779</v>
      </c>
      <c r="F50" s="49" t="s">
        <v>214</v>
      </c>
      <c r="G50" s="53">
        <v>19355.0</v>
      </c>
      <c r="H50" s="53">
        <v>18600.0</v>
      </c>
      <c r="I50" s="53">
        <v>17954.0</v>
      </c>
      <c r="J50" s="72">
        <f t="shared" si="1"/>
        <v>18636.33333</v>
      </c>
      <c r="K50" s="47" t="s">
        <v>1289</v>
      </c>
      <c r="L50" s="54">
        <v>2000.0</v>
      </c>
      <c r="M50" s="49" t="s">
        <v>1239</v>
      </c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>
      <c r="A51" s="39"/>
      <c r="B51" s="50">
        <v>40.0</v>
      </c>
      <c r="C51" s="71"/>
      <c r="D51" s="49" t="s">
        <v>1290</v>
      </c>
      <c r="E51" s="49" t="s">
        <v>134</v>
      </c>
      <c r="F51" s="49" t="s">
        <v>135</v>
      </c>
      <c r="G51" s="48">
        <v>19252.0</v>
      </c>
      <c r="H51" s="48">
        <v>18972.0</v>
      </c>
      <c r="I51" s="48">
        <v>17544.0</v>
      </c>
      <c r="J51" s="72">
        <f t="shared" si="1"/>
        <v>18589.33333</v>
      </c>
      <c r="K51" s="55"/>
      <c r="L51" s="50">
        <v>2007.0</v>
      </c>
      <c r="M51" s="34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>
      <c r="A52" s="39"/>
      <c r="B52" s="50">
        <v>41.0</v>
      </c>
      <c r="C52" s="71"/>
      <c r="D52" s="49" t="s">
        <v>1291</v>
      </c>
      <c r="E52" s="49" t="s">
        <v>565</v>
      </c>
      <c r="F52" s="49" t="s">
        <v>114</v>
      </c>
      <c r="G52" s="48">
        <v>19199.0</v>
      </c>
      <c r="H52" s="48">
        <v>17839.0</v>
      </c>
      <c r="I52" s="48">
        <v>17096.0</v>
      </c>
      <c r="J52" s="72">
        <f t="shared" si="1"/>
        <v>18044.66667</v>
      </c>
      <c r="K52" s="47" t="s">
        <v>1292</v>
      </c>
      <c r="L52" s="50">
        <v>2008.0</v>
      </c>
      <c r="M52" s="34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>
      <c r="A53" s="39"/>
      <c r="B53" s="50">
        <v>42.0</v>
      </c>
      <c r="C53" s="71"/>
      <c r="D53" s="49" t="s">
        <v>1293</v>
      </c>
      <c r="E53" s="49" t="s">
        <v>292</v>
      </c>
      <c r="F53" s="49" t="s">
        <v>286</v>
      </c>
      <c r="G53" s="48">
        <v>19169.0</v>
      </c>
      <c r="H53" s="48">
        <v>18865.0</v>
      </c>
      <c r="I53" s="48">
        <v>17062.0</v>
      </c>
      <c r="J53" s="72">
        <f t="shared" si="1"/>
        <v>18365.33333</v>
      </c>
      <c r="K53" s="47" t="s">
        <v>1294</v>
      </c>
      <c r="L53" s="50">
        <v>1956.0</v>
      </c>
      <c r="M53" s="34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>
      <c r="A54" s="39"/>
      <c r="B54" s="54">
        <v>43.0</v>
      </c>
      <c r="C54" s="71"/>
      <c r="D54" s="49" t="s">
        <v>1295</v>
      </c>
      <c r="E54" s="49" t="s">
        <v>179</v>
      </c>
      <c r="F54" s="49" t="s">
        <v>180</v>
      </c>
      <c r="G54" s="53">
        <v>19125.0</v>
      </c>
      <c r="H54" s="53">
        <v>18600.0</v>
      </c>
      <c r="I54" s="53">
        <v>17400.0</v>
      </c>
      <c r="J54" s="72">
        <f t="shared" si="1"/>
        <v>18375</v>
      </c>
      <c r="K54" s="47" t="s">
        <v>1296</v>
      </c>
      <c r="L54" s="54">
        <v>1962.0</v>
      </c>
      <c r="M54" s="49" t="s">
        <v>1200</v>
      </c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>
      <c r="A55" s="39"/>
      <c r="B55" s="54">
        <v>44.0</v>
      </c>
      <c r="C55" s="71"/>
      <c r="D55" s="49" t="s">
        <v>1297</v>
      </c>
      <c r="E55" s="49" t="s">
        <v>239</v>
      </c>
      <c r="F55" s="49" t="s">
        <v>61</v>
      </c>
      <c r="G55" s="53">
        <v>19000.0</v>
      </c>
      <c r="H55" s="53">
        <v>18581.0</v>
      </c>
      <c r="I55" s="53">
        <v>13800.0</v>
      </c>
      <c r="J55" s="72">
        <f t="shared" si="1"/>
        <v>17127</v>
      </c>
      <c r="K55" s="47" t="s">
        <v>1298</v>
      </c>
      <c r="L55" s="54">
        <v>2002.0</v>
      </c>
      <c r="M55" s="34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>
      <c r="A56" s="39"/>
      <c r="B56" s="54">
        <v>45.0</v>
      </c>
      <c r="C56" s="71"/>
      <c r="D56" s="49" t="s">
        <v>1299</v>
      </c>
      <c r="E56" s="49" t="s">
        <v>1300</v>
      </c>
      <c r="F56" s="49" t="s">
        <v>163</v>
      </c>
      <c r="G56" s="53">
        <v>19000.0</v>
      </c>
      <c r="H56" s="53">
        <v>17732.0</v>
      </c>
      <c r="I56" s="53">
        <v>15795.0</v>
      </c>
      <c r="J56" s="72">
        <f t="shared" si="1"/>
        <v>17509</v>
      </c>
      <c r="K56" s="47" t="s">
        <v>1301</v>
      </c>
      <c r="L56" s="54">
        <v>2012.0</v>
      </c>
      <c r="M56" s="49" t="s">
        <v>1236</v>
      </c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>
      <c r="A57" s="39"/>
      <c r="B57" s="50">
        <v>46.0</v>
      </c>
      <c r="C57" s="71"/>
      <c r="D57" s="49" t="s">
        <v>1302</v>
      </c>
      <c r="E57" s="49" t="s">
        <v>246</v>
      </c>
      <c r="F57" s="49" t="s">
        <v>247</v>
      </c>
      <c r="G57" s="48">
        <v>19000.0</v>
      </c>
      <c r="H57" s="48">
        <v>18300.0</v>
      </c>
      <c r="I57" s="48">
        <v>17125.0</v>
      </c>
      <c r="J57" s="72">
        <f t="shared" si="1"/>
        <v>18141.66667</v>
      </c>
      <c r="K57" s="55"/>
      <c r="L57" s="50">
        <v>2003.0</v>
      </c>
      <c r="M57" s="49" t="s">
        <v>1278</v>
      </c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>
      <c r="A58" s="39"/>
      <c r="B58" s="54">
        <v>47.0</v>
      </c>
      <c r="C58" s="71"/>
      <c r="D58" s="49" t="s">
        <v>1303</v>
      </c>
      <c r="E58" s="49" t="s">
        <v>159</v>
      </c>
      <c r="F58" s="49" t="s">
        <v>61</v>
      </c>
      <c r="G58" s="53">
        <v>19000.0</v>
      </c>
      <c r="H58" s="53">
        <v>18055.0</v>
      </c>
      <c r="I58" s="53">
        <v>17800.0</v>
      </c>
      <c r="J58" s="72">
        <f t="shared" si="1"/>
        <v>18285</v>
      </c>
      <c r="K58" s="47" t="s">
        <v>1304</v>
      </c>
      <c r="L58" s="54">
        <v>2003.0</v>
      </c>
      <c r="M58" s="49" t="s">
        <v>1305</v>
      </c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>
      <c r="A59" s="39"/>
      <c r="B59" s="50">
        <v>48.0</v>
      </c>
      <c r="C59" s="71"/>
      <c r="D59" s="49" t="s">
        <v>1306</v>
      </c>
      <c r="E59" s="49" t="s">
        <v>1307</v>
      </c>
      <c r="F59" s="49" t="s">
        <v>139</v>
      </c>
      <c r="G59" s="48">
        <v>19000.0</v>
      </c>
      <c r="H59" s="48">
        <v>18000.0</v>
      </c>
      <c r="I59" s="48">
        <v>16377.0</v>
      </c>
      <c r="J59" s="72">
        <f t="shared" si="1"/>
        <v>17792.33333</v>
      </c>
      <c r="K59" s="55"/>
      <c r="L59" s="50">
        <v>1999.0</v>
      </c>
      <c r="M59" s="34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>
      <c r="A60" s="39"/>
      <c r="B60" s="54">
        <v>49.0</v>
      </c>
      <c r="C60" s="71"/>
      <c r="D60" s="49" t="s">
        <v>1308</v>
      </c>
      <c r="E60" s="49" t="s">
        <v>716</v>
      </c>
      <c r="F60" s="49" t="s">
        <v>84</v>
      </c>
      <c r="G60" s="53">
        <v>19000.0</v>
      </c>
      <c r="H60" s="53">
        <v>17608.0</v>
      </c>
      <c r="I60" s="53">
        <v>14632.0</v>
      </c>
      <c r="J60" s="72">
        <f t="shared" si="1"/>
        <v>17080</v>
      </c>
      <c r="K60" s="47" t="s">
        <v>1309</v>
      </c>
      <c r="L60" s="54">
        <v>2016.0</v>
      </c>
      <c r="M60" s="34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>
      <c r="A61" s="39"/>
      <c r="B61" s="54">
        <v>50.0</v>
      </c>
      <c r="C61" s="71"/>
      <c r="D61" s="49" t="s">
        <v>1310</v>
      </c>
      <c r="E61" s="49" t="s">
        <v>1311</v>
      </c>
      <c r="F61" s="49" t="s">
        <v>163</v>
      </c>
      <c r="G61" s="53">
        <v>19000.0</v>
      </c>
      <c r="H61" s="74" t="s">
        <v>1312</v>
      </c>
      <c r="I61" s="53">
        <v>17255.0</v>
      </c>
      <c r="J61" s="72">
        <f t="shared" si="1"/>
        <v>18127.5</v>
      </c>
      <c r="K61" s="47" t="s">
        <v>1313</v>
      </c>
      <c r="L61" s="54">
        <v>2021.0</v>
      </c>
      <c r="M61" s="49" t="s">
        <v>1236</v>
      </c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>
      <c r="A62" s="39"/>
      <c r="B62" s="50">
        <v>51.0</v>
      </c>
      <c r="C62" s="55"/>
      <c r="D62" s="49" t="s">
        <v>1314</v>
      </c>
      <c r="E62" s="49" t="s">
        <v>166</v>
      </c>
      <c r="F62" s="49" t="s">
        <v>76</v>
      </c>
      <c r="G62" s="48">
        <v>18977.0</v>
      </c>
      <c r="H62" s="48">
        <v>17654.0</v>
      </c>
      <c r="I62" s="48">
        <v>16850.0</v>
      </c>
      <c r="J62" s="72">
        <f t="shared" si="1"/>
        <v>17827</v>
      </c>
      <c r="K62" s="47" t="s">
        <v>1315</v>
      </c>
      <c r="L62" s="50">
        <v>1976.0</v>
      </c>
      <c r="M62" s="34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>
      <c r="A63" s="39"/>
      <c r="B63" s="50">
        <v>52.0</v>
      </c>
      <c r="C63" s="71"/>
      <c r="D63" s="49" t="s">
        <v>1316</v>
      </c>
      <c r="E63" s="49" t="s">
        <v>650</v>
      </c>
      <c r="F63" s="49" t="s">
        <v>98</v>
      </c>
      <c r="G63" s="48">
        <v>18975.0</v>
      </c>
      <c r="H63" s="48">
        <v>18320.0</v>
      </c>
      <c r="I63" s="48">
        <v>17100.0</v>
      </c>
      <c r="J63" s="72">
        <f t="shared" si="1"/>
        <v>18131.66667</v>
      </c>
      <c r="K63" s="47" t="s">
        <v>1317</v>
      </c>
      <c r="L63" s="50">
        <v>2003.0</v>
      </c>
      <c r="M63" s="34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>
      <c r="A64" s="39"/>
      <c r="B64" s="54">
        <v>53.0</v>
      </c>
      <c r="C64" s="71"/>
      <c r="D64" s="49" t="s">
        <v>1318</v>
      </c>
      <c r="E64" s="49" t="s">
        <v>411</v>
      </c>
      <c r="F64" s="49" t="s">
        <v>84</v>
      </c>
      <c r="G64" s="53">
        <v>18900.0</v>
      </c>
      <c r="H64" s="53">
        <v>18211.0</v>
      </c>
      <c r="I64" s="53">
        <v>17174.0</v>
      </c>
      <c r="J64" s="72">
        <f t="shared" si="1"/>
        <v>18095</v>
      </c>
      <c r="K64" s="47" t="s">
        <v>1319</v>
      </c>
      <c r="L64" s="54">
        <v>1993.0</v>
      </c>
      <c r="M64" s="49" t="s">
        <v>1261</v>
      </c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>
      <c r="A65" s="39"/>
      <c r="B65" s="50">
        <v>54.0</v>
      </c>
      <c r="C65" s="71"/>
      <c r="D65" s="49" t="s">
        <v>1320</v>
      </c>
      <c r="E65" s="49" t="s">
        <v>1321</v>
      </c>
      <c r="F65" s="49" t="s">
        <v>262</v>
      </c>
      <c r="G65" s="48">
        <v>18500.0</v>
      </c>
      <c r="H65" s="48">
        <v>17500.0</v>
      </c>
      <c r="I65" s="48">
        <v>16692.0</v>
      </c>
      <c r="J65" s="72">
        <f t="shared" si="1"/>
        <v>17564</v>
      </c>
      <c r="K65" s="47" t="s">
        <v>1322</v>
      </c>
      <c r="L65" s="50">
        <v>1979.0</v>
      </c>
      <c r="M65" s="49" t="s">
        <v>1196</v>
      </c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>
      <c r="A66" s="39"/>
      <c r="B66" s="54">
        <v>55.0</v>
      </c>
      <c r="C66" s="71"/>
      <c r="D66" s="49" t="s">
        <v>1323</v>
      </c>
      <c r="E66" s="49" t="s">
        <v>156</v>
      </c>
      <c r="F66" s="49" t="s">
        <v>65</v>
      </c>
      <c r="G66" s="53">
        <v>18500.0</v>
      </c>
      <c r="H66" s="53">
        <v>17188.0</v>
      </c>
      <c r="I66" s="53">
        <v>16500.0</v>
      </c>
      <c r="J66" s="72">
        <f t="shared" si="1"/>
        <v>17396</v>
      </c>
      <c r="K66" s="47" t="s">
        <v>1324</v>
      </c>
      <c r="L66" s="54">
        <v>1999.0</v>
      </c>
      <c r="M66" s="49" t="s">
        <v>1325</v>
      </c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>
      <c r="A67" s="39"/>
      <c r="B67" s="50">
        <v>56.0</v>
      </c>
      <c r="C67" s="71"/>
      <c r="D67" s="49" t="s">
        <v>1326</v>
      </c>
      <c r="E67" s="49" t="s">
        <v>176</v>
      </c>
      <c r="F67" s="49" t="s">
        <v>84</v>
      </c>
      <c r="G67" s="48">
        <v>18000.0</v>
      </c>
      <c r="H67" s="48">
        <v>17505.0</v>
      </c>
      <c r="I67" s="48">
        <v>16005.0</v>
      </c>
      <c r="J67" s="72">
        <f t="shared" si="1"/>
        <v>17170</v>
      </c>
      <c r="K67" s="55"/>
      <c r="L67" s="50">
        <v>1967.0</v>
      </c>
      <c r="M67" s="49" t="s">
        <v>1261</v>
      </c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>
      <c r="A68" s="39"/>
      <c r="B68" s="54">
        <v>57.0</v>
      </c>
      <c r="C68" s="71"/>
      <c r="D68" s="49" t="s">
        <v>1327</v>
      </c>
      <c r="E68" s="49" t="s">
        <v>438</v>
      </c>
      <c r="F68" s="49" t="s">
        <v>110</v>
      </c>
      <c r="G68" s="53">
        <v>18000.0</v>
      </c>
      <c r="H68" s="53">
        <v>17500.0</v>
      </c>
      <c r="I68" s="53">
        <v>15178.0</v>
      </c>
      <c r="J68" s="72">
        <f t="shared" si="1"/>
        <v>16892.66667</v>
      </c>
      <c r="K68" s="47" t="s">
        <v>1328</v>
      </c>
      <c r="L68" s="54">
        <v>2018.0</v>
      </c>
      <c r="M68" s="34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>
      <c r="A69" s="39"/>
      <c r="B69" s="54">
        <v>58.0</v>
      </c>
      <c r="C69" s="75"/>
      <c r="D69" s="49" t="s">
        <v>1329</v>
      </c>
      <c r="E69" s="49" t="s">
        <v>176</v>
      </c>
      <c r="F69" s="49" t="s">
        <v>84</v>
      </c>
      <c r="G69" s="53">
        <v>18000.0</v>
      </c>
      <c r="H69" s="53">
        <v>18000.0</v>
      </c>
      <c r="I69" s="73"/>
      <c r="J69" s="72">
        <f t="shared" si="1"/>
        <v>18000</v>
      </c>
      <c r="K69" s="47" t="s">
        <v>1330</v>
      </c>
      <c r="L69" s="54">
        <v>2024.0</v>
      </c>
      <c r="M69" s="49" t="s">
        <v>1261</v>
      </c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>
      <c r="A70" s="39"/>
      <c r="B70" s="50">
        <v>59.0</v>
      </c>
      <c r="C70" s="71"/>
      <c r="D70" s="49" t="s">
        <v>1331</v>
      </c>
      <c r="E70" s="49" t="s">
        <v>225</v>
      </c>
      <c r="F70" s="49" t="s">
        <v>57</v>
      </c>
      <c r="G70" s="48">
        <v>17556.0</v>
      </c>
      <c r="H70" s="48">
        <v>17000.0</v>
      </c>
      <c r="I70" s="48">
        <v>14453.0</v>
      </c>
      <c r="J70" s="72">
        <f t="shared" si="1"/>
        <v>16336.33333</v>
      </c>
      <c r="K70" s="47" t="s">
        <v>1332</v>
      </c>
      <c r="L70" s="50">
        <v>1975.0</v>
      </c>
      <c r="M70" s="34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>
      <c r="A71" s="39"/>
      <c r="B71" s="50">
        <v>60.0</v>
      </c>
      <c r="C71" s="71"/>
      <c r="D71" s="49" t="s">
        <v>1333</v>
      </c>
      <c r="E71" s="49" t="s">
        <v>1334</v>
      </c>
      <c r="F71" s="49" t="s">
        <v>163</v>
      </c>
      <c r="G71" s="48">
        <v>17500.0</v>
      </c>
      <c r="H71" s="48">
        <v>15229.0</v>
      </c>
      <c r="I71" s="48">
        <v>14236.0</v>
      </c>
      <c r="J71" s="72">
        <f t="shared" si="1"/>
        <v>15655</v>
      </c>
      <c r="K71" s="47" t="s">
        <v>1335</v>
      </c>
      <c r="L71" s="50">
        <v>1990.0</v>
      </c>
      <c r="M71" s="34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>
      <c r="A72" s="39"/>
      <c r="B72" s="50">
        <v>61.0</v>
      </c>
      <c r="C72" s="55"/>
      <c r="D72" s="49" t="s">
        <v>1336</v>
      </c>
      <c r="E72" s="49" t="s">
        <v>1263</v>
      </c>
      <c r="F72" s="49" t="s">
        <v>232</v>
      </c>
      <c r="G72" s="48">
        <v>17157.0</v>
      </c>
      <c r="H72" s="48">
        <v>16800.0</v>
      </c>
      <c r="I72" s="48">
        <v>15022.0</v>
      </c>
      <c r="J72" s="72">
        <f t="shared" si="1"/>
        <v>16326.33333</v>
      </c>
      <c r="K72" s="55"/>
      <c r="L72" s="50">
        <v>1993.0</v>
      </c>
      <c r="M72" s="34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>
      <c r="A73" s="39"/>
      <c r="B73" s="50">
        <v>62.0</v>
      </c>
      <c r="C73" s="71"/>
      <c r="D73" s="49" t="s">
        <v>1337</v>
      </c>
      <c r="E73" s="49" t="s">
        <v>1088</v>
      </c>
      <c r="F73" s="49" t="s">
        <v>369</v>
      </c>
      <c r="G73" s="48">
        <v>17000.0</v>
      </c>
      <c r="H73" s="48">
        <v>15004.0</v>
      </c>
      <c r="I73" s="48">
        <v>13450.0</v>
      </c>
      <c r="J73" s="72">
        <f t="shared" si="1"/>
        <v>15151.33333</v>
      </c>
      <c r="K73" s="47" t="s">
        <v>1338</v>
      </c>
      <c r="L73" s="50">
        <v>2010.0</v>
      </c>
      <c r="M73" s="34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>
      <c r="A74" s="39"/>
      <c r="B74" s="50">
        <v>63.0</v>
      </c>
      <c r="C74" s="71"/>
      <c r="D74" s="49" t="s">
        <v>1339</v>
      </c>
      <c r="E74" s="49" t="s">
        <v>894</v>
      </c>
      <c r="F74" s="49" t="s">
        <v>184</v>
      </c>
      <c r="G74" s="48">
        <v>16980.0</v>
      </c>
      <c r="H74" s="48">
        <v>16110.0</v>
      </c>
      <c r="I74" s="48">
        <v>15181.0</v>
      </c>
      <c r="J74" s="72">
        <f t="shared" si="1"/>
        <v>16090.33333</v>
      </c>
      <c r="K74" s="47" t="s">
        <v>1340</v>
      </c>
      <c r="L74" s="50">
        <v>2005.0</v>
      </c>
      <c r="M74" s="34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>
      <c r="A75" s="39"/>
      <c r="B75" s="50">
        <v>64.0</v>
      </c>
      <c r="C75" s="71"/>
      <c r="D75" s="49" t="s">
        <v>1341</v>
      </c>
      <c r="E75" s="49" t="s">
        <v>1342</v>
      </c>
      <c r="F75" s="49" t="s">
        <v>273</v>
      </c>
      <c r="G75" s="48">
        <v>16606.0</v>
      </c>
      <c r="H75" s="48">
        <v>16294.0</v>
      </c>
      <c r="I75" s="48">
        <v>15635.0</v>
      </c>
      <c r="J75" s="72">
        <f t="shared" si="1"/>
        <v>16178.33333</v>
      </c>
      <c r="K75" s="47" t="s">
        <v>1343</v>
      </c>
      <c r="L75" s="50">
        <v>1975.0</v>
      </c>
      <c r="M75" s="34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>
      <c r="A76" s="39"/>
      <c r="B76" s="50">
        <v>65.0</v>
      </c>
      <c r="C76" s="71"/>
      <c r="D76" s="49" t="s">
        <v>1344</v>
      </c>
      <c r="E76" s="49" t="s">
        <v>1345</v>
      </c>
      <c r="F76" s="49" t="s">
        <v>84</v>
      </c>
      <c r="G76" s="48">
        <v>16500.0</v>
      </c>
      <c r="H76" s="48">
        <v>12953.0</v>
      </c>
      <c r="I76" s="48">
        <v>11100.0</v>
      </c>
      <c r="J76" s="72">
        <f t="shared" si="1"/>
        <v>13517.66667</v>
      </c>
      <c r="K76" s="55"/>
      <c r="L76" s="50">
        <v>1941.0</v>
      </c>
      <c r="M76" s="49" t="s">
        <v>1256</v>
      </c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>
      <c r="A77" s="39"/>
      <c r="B77" s="50">
        <v>66.0</v>
      </c>
      <c r="C77" s="71"/>
      <c r="D77" s="49" t="s">
        <v>1346</v>
      </c>
      <c r="E77" s="49" t="s">
        <v>201</v>
      </c>
      <c r="F77" s="49" t="s">
        <v>91</v>
      </c>
      <c r="G77" s="48">
        <v>16301.0</v>
      </c>
      <c r="H77" s="48">
        <v>14091.0</v>
      </c>
      <c r="I77" s="48">
        <v>13141.0</v>
      </c>
      <c r="J77" s="72">
        <f t="shared" si="1"/>
        <v>14511</v>
      </c>
      <c r="K77" s="47" t="s">
        <v>1347</v>
      </c>
      <c r="L77" s="50">
        <v>2003.0</v>
      </c>
      <c r="M77" s="34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>
      <c r="A78" s="39"/>
      <c r="B78" s="50">
        <v>67.0</v>
      </c>
      <c r="C78" s="71"/>
      <c r="D78" s="49" t="s">
        <v>1348</v>
      </c>
      <c r="E78" s="49" t="s">
        <v>97</v>
      </c>
      <c r="F78" s="49" t="s">
        <v>98</v>
      </c>
      <c r="G78" s="48">
        <v>16130.0</v>
      </c>
      <c r="H78" s="48">
        <v>14970.0</v>
      </c>
      <c r="I78" s="48">
        <v>12700.0</v>
      </c>
      <c r="J78" s="72">
        <f t="shared" si="1"/>
        <v>14600</v>
      </c>
      <c r="K78" s="47" t="s">
        <v>1349</v>
      </c>
      <c r="L78" s="50">
        <v>2013.0</v>
      </c>
      <c r="M78" s="34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>
      <c r="A79" s="39"/>
      <c r="B79" s="50">
        <v>68.0</v>
      </c>
      <c r="C79" s="71"/>
      <c r="D79" s="49" t="s">
        <v>1350</v>
      </c>
      <c r="E79" s="49" t="s">
        <v>466</v>
      </c>
      <c r="F79" s="49" t="s">
        <v>84</v>
      </c>
      <c r="G79" s="48">
        <v>16100.0</v>
      </c>
      <c r="H79" s="48">
        <v>14500.0</v>
      </c>
      <c r="I79" s="48">
        <v>12920.0</v>
      </c>
      <c r="J79" s="72">
        <f t="shared" si="1"/>
        <v>14506.66667</v>
      </c>
      <c r="K79" s="47" t="s">
        <v>1351</v>
      </c>
      <c r="L79" s="50">
        <v>1966.0</v>
      </c>
      <c r="M79" s="34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>
      <c r="A80" s="39"/>
      <c r="B80" s="50">
        <v>69.0</v>
      </c>
      <c r="C80" s="71"/>
      <c r="D80" s="49" t="s">
        <v>1352</v>
      </c>
      <c r="E80" s="49" t="s">
        <v>347</v>
      </c>
      <c r="F80" s="49" t="s">
        <v>106</v>
      </c>
      <c r="G80" s="48">
        <v>15951.0</v>
      </c>
      <c r="H80" s="48">
        <v>14897.0</v>
      </c>
      <c r="I80" s="48">
        <v>13707.0</v>
      </c>
      <c r="J80" s="72">
        <f t="shared" si="1"/>
        <v>14851.66667</v>
      </c>
      <c r="K80" s="47" t="s">
        <v>1353</v>
      </c>
      <c r="L80" s="50">
        <v>1998.0</v>
      </c>
      <c r="M80" s="34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>
      <c r="A81" s="39"/>
      <c r="B81" s="50">
        <v>70.0</v>
      </c>
      <c r="C81" s="55"/>
      <c r="D81" s="49" t="s">
        <v>1354</v>
      </c>
      <c r="E81" s="49" t="s">
        <v>1266</v>
      </c>
      <c r="F81" s="49" t="s">
        <v>114</v>
      </c>
      <c r="G81" s="48">
        <v>15634.0</v>
      </c>
      <c r="H81" s="48">
        <v>13846.0</v>
      </c>
      <c r="I81" s="48">
        <v>13399.0</v>
      </c>
      <c r="J81" s="72">
        <f t="shared" si="1"/>
        <v>14293</v>
      </c>
      <c r="K81" s="55"/>
      <c r="L81" s="50">
        <v>1972.0</v>
      </c>
      <c r="M81" s="34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>
      <c r="A82" s="39"/>
      <c r="B82" s="50">
        <v>71.0</v>
      </c>
      <c r="C82" s="71"/>
      <c r="D82" s="49" t="s">
        <v>1355</v>
      </c>
      <c r="E82" s="49" t="s">
        <v>1356</v>
      </c>
      <c r="F82" s="49" t="s">
        <v>236</v>
      </c>
      <c r="G82" s="48">
        <v>15000.0</v>
      </c>
      <c r="H82" s="48">
        <v>10200.0</v>
      </c>
      <c r="I82" s="48">
        <v>9150.0</v>
      </c>
      <c r="J82" s="72">
        <f t="shared" si="1"/>
        <v>11450</v>
      </c>
      <c r="K82" s="55"/>
      <c r="L82" s="50">
        <v>1977.0</v>
      </c>
      <c r="M82" s="34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>
      <c r="A83" s="39"/>
      <c r="B83" s="50">
        <v>72.0</v>
      </c>
      <c r="C83" s="71"/>
      <c r="D83" s="49" t="s">
        <v>1357</v>
      </c>
      <c r="E83" s="49" t="s">
        <v>1358</v>
      </c>
      <c r="F83" s="49" t="s">
        <v>163</v>
      </c>
      <c r="G83" s="48">
        <v>15000.0</v>
      </c>
      <c r="H83" s="48">
        <v>14500.0</v>
      </c>
      <c r="I83" s="48">
        <v>13917.0</v>
      </c>
      <c r="J83" s="72">
        <f t="shared" si="1"/>
        <v>14472.33333</v>
      </c>
      <c r="K83" s="47" t="s">
        <v>1359</v>
      </c>
      <c r="L83" s="50">
        <v>1972.0</v>
      </c>
      <c r="M83" s="49" t="s">
        <v>1236</v>
      </c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>
      <c r="A84" s="39"/>
      <c r="B84" s="50">
        <v>73.0</v>
      </c>
      <c r="C84" s="71"/>
      <c r="D84" s="49" t="s">
        <v>1360</v>
      </c>
      <c r="E84" s="49" t="s">
        <v>672</v>
      </c>
      <c r="F84" s="49" t="s">
        <v>218</v>
      </c>
      <c r="G84" s="48">
        <v>14802.0</v>
      </c>
      <c r="H84" s="48">
        <v>13726.0</v>
      </c>
      <c r="I84" s="48">
        <v>12239.0</v>
      </c>
      <c r="J84" s="72">
        <f t="shared" si="1"/>
        <v>13589</v>
      </c>
      <c r="K84" s="47" t="s">
        <v>1361</v>
      </c>
      <c r="L84" s="50">
        <v>1982.0</v>
      </c>
      <c r="M84" s="49" t="s">
        <v>1270</v>
      </c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>
      <c r="A85" s="39"/>
      <c r="B85" s="50">
        <v>74.0</v>
      </c>
      <c r="C85" s="71"/>
      <c r="D85" s="49" t="s">
        <v>1362</v>
      </c>
      <c r="E85" s="49" t="s">
        <v>380</v>
      </c>
      <c r="F85" s="49" t="s">
        <v>247</v>
      </c>
      <c r="G85" s="48">
        <v>14487.0</v>
      </c>
      <c r="H85" s="48">
        <v>14487.0</v>
      </c>
      <c r="I85" s="48">
        <v>13737.0</v>
      </c>
      <c r="J85" s="72">
        <f t="shared" si="1"/>
        <v>14237</v>
      </c>
      <c r="K85" s="55"/>
      <c r="L85" s="50">
        <v>1965.0</v>
      </c>
      <c r="M85" s="49" t="s">
        <v>1278</v>
      </c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>
      <c r="A86" s="39"/>
      <c r="B86" s="50">
        <v>75.0</v>
      </c>
      <c r="C86" s="55"/>
      <c r="D86" s="49" t="s">
        <v>1363</v>
      </c>
      <c r="E86" s="49" t="s">
        <v>397</v>
      </c>
      <c r="F86" s="49" t="s">
        <v>61</v>
      </c>
      <c r="G86" s="48">
        <v>14000.0</v>
      </c>
      <c r="H86" s="48">
        <v>13300.0</v>
      </c>
      <c r="I86" s="48">
        <v>12200.0</v>
      </c>
      <c r="J86" s="72">
        <f t="shared" si="1"/>
        <v>13166.66667</v>
      </c>
      <c r="K86" s="47" t="s">
        <v>1364</v>
      </c>
      <c r="L86" s="50">
        <v>2019.0</v>
      </c>
      <c r="M86" s="49" t="s">
        <v>1246</v>
      </c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>
      <c r="A87" s="39"/>
      <c r="B87" s="50">
        <v>76.0</v>
      </c>
      <c r="C87" s="71"/>
      <c r="D87" s="49" t="s">
        <v>1365</v>
      </c>
      <c r="E87" s="49" t="s">
        <v>1366</v>
      </c>
      <c r="F87" s="49" t="s">
        <v>65</v>
      </c>
      <c r="G87" s="48">
        <v>14400.0</v>
      </c>
      <c r="H87" s="48">
        <v>13000.0</v>
      </c>
      <c r="I87" s="48">
        <v>12440.0</v>
      </c>
      <c r="J87" s="72">
        <f t="shared" si="1"/>
        <v>13280</v>
      </c>
      <c r="K87" s="55"/>
      <c r="L87" s="50">
        <v>2000.0</v>
      </c>
      <c r="M87" s="34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>
      <c r="A88" s="39"/>
      <c r="B88" s="50">
        <v>77.0</v>
      </c>
      <c r="C88" s="71"/>
      <c r="D88" s="49" t="s">
        <v>1367</v>
      </c>
      <c r="E88" s="49" t="s">
        <v>908</v>
      </c>
      <c r="F88" s="49" t="s">
        <v>163</v>
      </c>
      <c r="G88" s="48">
        <v>14000.0</v>
      </c>
      <c r="H88" s="48">
        <v>12428.0</v>
      </c>
      <c r="I88" s="48">
        <v>11215.0</v>
      </c>
      <c r="J88" s="72">
        <f t="shared" si="1"/>
        <v>12547.66667</v>
      </c>
      <c r="K88" s="47" t="s">
        <v>1368</v>
      </c>
      <c r="L88" s="50">
        <v>1955.0</v>
      </c>
      <c r="M88" s="34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>
      <c r="A89" s="39"/>
      <c r="B89" s="50">
        <v>78.0</v>
      </c>
      <c r="C89" s="71"/>
      <c r="D89" s="49" t="s">
        <v>1369</v>
      </c>
      <c r="E89" s="49" t="s">
        <v>172</v>
      </c>
      <c r="F89" s="49" t="s">
        <v>173</v>
      </c>
      <c r="G89" s="48">
        <v>13300.0</v>
      </c>
      <c r="H89" s="48">
        <v>11614.0</v>
      </c>
      <c r="I89" s="48">
        <v>10582.0</v>
      </c>
      <c r="J89" s="72">
        <f t="shared" si="1"/>
        <v>11832</v>
      </c>
      <c r="K89" s="55"/>
      <c r="L89" s="50">
        <v>1962.0</v>
      </c>
      <c r="M89" s="49" t="s">
        <v>1232</v>
      </c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>
      <c r="A90" s="39"/>
      <c r="B90" s="50">
        <v>79.0</v>
      </c>
      <c r="C90" s="71"/>
      <c r="D90" s="49" t="s">
        <v>1370</v>
      </c>
      <c r="E90" s="49" t="s">
        <v>748</v>
      </c>
      <c r="F90" s="49" t="s">
        <v>749</v>
      </c>
      <c r="G90" s="48">
        <v>14000.0</v>
      </c>
      <c r="H90" s="48">
        <v>12400.0</v>
      </c>
      <c r="I90" s="48">
        <v>11075.0</v>
      </c>
      <c r="J90" s="72">
        <f t="shared" si="1"/>
        <v>12491.66667</v>
      </c>
      <c r="K90" s="47" t="s">
        <v>1371</v>
      </c>
      <c r="L90" s="50">
        <v>1972.0</v>
      </c>
      <c r="M90" s="49" t="s">
        <v>1270</v>
      </c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>
      <c r="A91" s="39"/>
      <c r="B91" s="50">
        <v>80.0</v>
      </c>
      <c r="C91" s="71"/>
      <c r="D91" s="49" t="s">
        <v>1372</v>
      </c>
      <c r="E91" s="49" t="s">
        <v>1373</v>
      </c>
      <c r="F91" s="49" t="s">
        <v>102</v>
      </c>
      <c r="G91" s="48">
        <v>13800.0</v>
      </c>
      <c r="H91" s="48">
        <v>11100.0</v>
      </c>
      <c r="I91" s="48">
        <v>10900.0</v>
      </c>
      <c r="J91" s="72">
        <f t="shared" si="1"/>
        <v>11933.33333</v>
      </c>
      <c r="K91" s="55"/>
      <c r="L91" s="50">
        <v>1929.0</v>
      </c>
      <c r="M91" s="49" t="s">
        <v>1213</v>
      </c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>
      <c r="A92" s="39"/>
      <c r="B92" s="50">
        <v>81.0</v>
      </c>
      <c r="C92" s="71"/>
      <c r="D92" s="49" t="s">
        <v>1374</v>
      </c>
      <c r="E92" s="49" t="s">
        <v>975</v>
      </c>
      <c r="F92" s="49" t="s">
        <v>222</v>
      </c>
      <c r="G92" s="48">
        <v>13800.0</v>
      </c>
      <c r="H92" s="48">
        <v>10147.0</v>
      </c>
      <c r="I92" s="48">
        <v>7940.0</v>
      </c>
      <c r="J92" s="72">
        <f t="shared" si="1"/>
        <v>10629</v>
      </c>
      <c r="K92" s="55"/>
      <c r="L92" s="50">
        <v>1970.0</v>
      </c>
      <c r="M92" s="49" t="s">
        <v>1375</v>
      </c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>
      <c r="A93" s="39"/>
      <c r="B93" s="50">
        <v>82.0</v>
      </c>
      <c r="C93" s="71"/>
      <c r="D93" s="49" t="s">
        <v>1376</v>
      </c>
      <c r="E93" s="49" t="s">
        <v>571</v>
      </c>
      <c r="F93" s="49" t="s">
        <v>222</v>
      </c>
      <c r="G93" s="48">
        <v>13800.0</v>
      </c>
      <c r="H93" s="48">
        <v>10253.0</v>
      </c>
      <c r="I93" s="48">
        <v>8700.0</v>
      </c>
      <c r="J93" s="72">
        <f t="shared" si="1"/>
        <v>10917.66667</v>
      </c>
      <c r="K93" s="47" t="s">
        <v>1377</v>
      </c>
      <c r="L93" s="50">
        <v>1971.0</v>
      </c>
      <c r="M93" s="49" t="s">
        <v>1375</v>
      </c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>
      <c r="A94" s="39"/>
      <c r="B94" s="50">
        <v>83.0</v>
      </c>
      <c r="C94" s="71"/>
      <c r="D94" s="49" t="s">
        <v>1378</v>
      </c>
      <c r="E94" s="49" t="s">
        <v>1379</v>
      </c>
      <c r="F94" s="49" t="s">
        <v>84</v>
      </c>
      <c r="G94" s="48">
        <v>13609.0</v>
      </c>
      <c r="H94" s="48">
        <v>11719.0</v>
      </c>
      <c r="I94" s="48">
        <v>11200.0</v>
      </c>
      <c r="J94" s="72">
        <f t="shared" si="1"/>
        <v>12176</v>
      </c>
      <c r="K94" s="55"/>
      <c r="L94" s="50">
        <v>1962.0</v>
      </c>
      <c r="M94" s="49" t="s">
        <v>1261</v>
      </c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>
      <c r="A95" s="39"/>
      <c r="B95" s="50">
        <v>84.0</v>
      </c>
      <c r="C95" s="55"/>
      <c r="D95" s="49" t="s">
        <v>1380</v>
      </c>
      <c r="E95" s="49" t="s">
        <v>793</v>
      </c>
      <c r="F95" s="49" t="s">
        <v>304</v>
      </c>
      <c r="G95" s="48">
        <v>13500.0</v>
      </c>
      <c r="H95" s="48">
        <v>12500.0</v>
      </c>
      <c r="I95" s="48">
        <v>10000.0</v>
      </c>
      <c r="J95" s="72">
        <f t="shared" si="1"/>
        <v>12000</v>
      </c>
      <c r="K95" s="55"/>
      <c r="L95" s="50">
        <v>1959.0</v>
      </c>
      <c r="M95" s="34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>
      <c r="A96" s="39"/>
      <c r="B96" s="50">
        <v>85.0</v>
      </c>
      <c r="C96" s="55"/>
      <c r="D96" s="49" t="s">
        <v>1381</v>
      </c>
      <c r="E96" s="49" t="s">
        <v>138</v>
      </c>
      <c r="F96" s="49" t="s">
        <v>153</v>
      </c>
      <c r="G96" s="48">
        <v>13500.0</v>
      </c>
      <c r="H96" s="48">
        <v>9564.0</v>
      </c>
      <c r="I96" s="48">
        <v>8920.0</v>
      </c>
      <c r="J96" s="72">
        <f t="shared" si="1"/>
        <v>10661.33333</v>
      </c>
      <c r="K96" s="47" t="s">
        <v>1382</v>
      </c>
      <c r="L96" s="50">
        <v>1997.0</v>
      </c>
      <c r="M96" s="34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>
      <c r="A97" s="39"/>
      <c r="B97" s="50">
        <v>86.0</v>
      </c>
      <c r="C97" s="71"/>
      <c r="D97" s="49" t="s">
        <v>1383</v>
      </c>
      <c r="E97" s="49" t="s">
        <v>397</v>
      </c>
      <c r="F97" s="49" t="s">
        <v>61</v>
      </c>
      <c r="G97" s="48">
        <v>13500.0</v>
      </c>
      <c r="H97" s="48">
        <v>13000.0</v>
      </c>
      <c r="I97" s="48">
        <v>11200.0</v>
      </c>
      <c r="J97" s="72">
        <f t="shared" si="1"/>
        <v>12566.66667</v>
      </c>
      <c r="K97" s="55"/>
      <c r="L97" s="50">
        <v>1968.0</v>
      </c>
      <c r="M97" s="49" t="s">
        <v>1246</v>
      </c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>
      <c r="A98" s="39"/>
      <c r="B98" s="50">
        <v>87.0</v>
      </c>
      <c r="C98" s="71"/>
      <c r="D98" s="49" t="s">
        <v>1384</v>
      </c>
      <c r="E98" s="49" t="s">
        <v>678</v>
      </c>
      <c r="F98" s="49" t="s">
        <v>222</v>
      </c>
      <c r="G98" s="48">
        <v>13410.0</v>
      </c>
      <c r="H98" s="48">
        <v>11666.0</v>
      </c>
      <c r="I98" s="48">
        <v>11008.0</v>
      </c>
      <c r="J98" s="72">
        <f t="shared" si="1"/>
        <v>12028</v>
      </c>
      <c r="K98" s="55"/>
      <c r="L98" s="50">
        <v>1971.0</v>
      </c>
      <c r="M98" s="34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>
      <c r="A99" s="39"/>
      <c r="B99" s="50">
        <v>88.0</v>
      </c>
      <c r="C99" s="71"/>
      <c r="D99" s="49" t="s">
        <v>1385</v>
      </c>
      <c r="E99" s="49" t="s">
        <v>1386</v>
      </c>
      <c r="F99" s="49" t="s">
        <v>106</v>
      </c>
      <c r="G99" s="48">
        <v>13295.0</v>
      </c>
      <c r="H99" s="48">
        <v>11475.0</v>
      </c>
      <c r="I99" s="48">
        <v>10568.0</v>
      </c>
      <c r="J99" s="72">
        <f t="shared" si="1"/>
        <v>11779.33333</v>
      </c>
      <c r="K99" s="47" t="s">
        <v>1387</v>
      </c>
      <c r="L99" s="50">
        <v>1993.0</v>
      </c>
      <c r="M99" s="34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>
      <c r="A100" s="39"/>
      <c r="B100" s="50">
        <v>89.0</v>
      </c>
      <c r="C100" s="71"/>
      <c r="D100" s="49" t="s">
        <v>1388</v>
      </c>
      <c r="E100" s="49" t="s">
        <v>1389</v>
      </c>
      <c r="F100" s="49" t="s">
        <v>48</v>
      </c>
      <c r="G100" s="48">
        <v>13184.0</v>
      </c>
      <c r="H100" s="48">
        <v>11500.0</v>
      </c>
      <c r="I100" s="48">
        <v>10834.0</v>
      </c>
      <c r="J100" s="72">
        <f t="shared" si="1"/>
        <v>11839.33333</v>
      </c>
      <c r="K100" s="47" t="s">
        <v>1390</v>
      </c>
      <c r="L100" s="50">
        <v>1996.0</v>
      </c>
      <c r="M100" s="34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>
      <c r="A101" s="39"/>
      <c r="B101" s="50">
        <v>90.0</v>
      </c>
      <c r="C101" s="71"/>
      <c r="D101" s="49" t="s">
        <v>1391</v>
      </c>
      <c r="E101" s="49" t="s">
        <v>1392</v>
      </c>
      <c r="F101" s="49" t="s">
        <v>504</v>
      </c>
      <c r="G101" s="48">
        <v>13100.0</v>
      </c>
      <c r="H101" s="48">
        <v>12279.0</v>
      </c>
      <c r="I101" s="76"/>
      <c r="J101" s="72">
        <f t="shared" si="1"/>
        <v>12689.5</v>
      </c>
      <c r="K101" s="47" t="s">
        <v>1393</v>
      </c>
      <c r="L101" s="50">
        <v>1997.0</v>
      </c>
      <c r="M101" s="34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>
      <c r="A102" s="39"/>
      <c r="B102" s="50">
        <v>91.0</v>
      </c>
      <c r="C102" s="71"/>
      <c r="D102" s="49" t="s">
        <v>1394</v>
      </c>
      <c r="E102" s="49" t="s">
        <v>1395</v>
      </c>
      <c r="F102" s="49" t="s">
        <v>80</v>
      </c>
      <c r="G102" s="48">
        <v>13000.0</v>
      </c>
      <c r="H102" s="48">
        <v>12000.0</v>
      </c>
      <c r="I102" s="48">
        <v>11355.0</v>
      </c>
      <c r="J102" s="72">
        <f t="shared" si="1"/>
        <v>12118.33333</v>
      </c>
      <c r="K102" s="47" t="s">
        <v>1396</v>
      </c>
      <c r="L102" s="50">
        <v>2003.0</v>
      </c>
      <c r="M102" s="49" t="s">
        <v>1229</v>
      </c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>
      <c r="A103" s="39"/>
      <c r="B103" s="50">
        <v>92.0</v>
      </c>
      <c r="C103" s="71"/>
      <c r="D103" s="49" t="s">
        <v>1397</v>
      </c>
      <c r="E103" s="49" t="s">
        <v>1113</v>
      </c>
      <c r="F103" s="49" t="s">
        <v>783</v>
      </c>
      <c r="G103" s="48">
        <v>13000.0</v>
      </c>
      <c r="H103" s="48">
        <v>12400.0</v>
      </c>
      <c r="I103" s="48">
        <v>10678.0</v>
      </c>
      <c r="J103" s="72">
        <f t="shared" si="1"/>
        <v>12026</v>
      </c>
      <c r="K103" s="47" t="s">
        <v>1398</v>
      </c>
      <c r="L103" s="50">
        <v>2014.0</v>
      </c>
      <c r="M103" s="34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>
      <c r="A104" s="39"/>
      <c r="B104" s="50">
        <v>93.0</v>
      </c>
      <c r="C104" s="71"/>
      <c r="D104" s="49" t="s">
        <v>1399</v>
      </c>
      <c r="E104" s="49" t="s">
        <v>623</v>
      </c>
      <c r="F104" s="49" t="s">
        <v>325</v>
      </c>
      <c r="G104" s="48">
        <v>13000.0</v>
      </c>
      <c r="H104" s="48">
        <v>12888.0</v>
      </c>
      <c r="I104" s="48">
        <v>10407.0</v>
      </c>
      <c r="J104" s="72">
        <f t="shared" si="1"/>
        <v>12098.33333</v>
      </c>
      <c r="K104" s="47" t="s">
        <v>1400</v>
      </c>
      <c r="L104" s="50">
        <v>1960.0</v>
      </c>
      <c r="M104" s="34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>
      <c r="A105" s="39"/>
      <c r="B105" s="50">
        <v>94.0</v>
      </c>
      <c r="C105" s="71"/>
      <c r="D105" s="49" t="s">
        <v>1401</v>
      </c>
      <c r="E105" s="49" t="s">
        <v>1402</v>
      </c>
      <c r="F105" s="49" t="s">
        <v>243</v>
      </c>
      <c r="G105" s="48">
        <v>12600.0</v>
      </c>
      <c r="H105" s="48">
        <v>11500.0</v>
      </c>
      <c r="I105" s="48">
        <v>10100.0</v>
      </c>
      <c r="J105" s="72">
        <f t="shared" si="1"/>
        <v>11400</v>
      </c>
      <c r="K105" s="47" t="s">
        <v>1403</v>
      </c>
      <c r="L105" s="50">
        <v>1997.0</v>
      </c>
      <c r="M105" s="34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>
      <c r="A106" s="39"/>
      <c r="B106" s="50">
        <v>95.0</v>
      </c>
      <c r="C106" s="71"/>
      <c r="D106" s="49" t="s">
        <v>1404</v>
      </c>
      <c r="E106" s="49" t="s">
        <v>603</v>
      </c>
      <c r="F106" s="49" t="s">
        <v>76</v>
      </c>
      <c r="G106" s="48">
        <v>12500.0</v>
      </c>
      <c r="H106" s="48">
        <v>11540.0</v>
      </c>
      <c r="I106" s="48">
        <v>10420.0</v>
      </c>
      <c r="J106" s="72">
        <f t="shared" si="1"/>
        <v>11486.66667</v>
      </c>
      <c r="K106" s="55"/>
      <c r="L106" s="50">
        <v>1953.0</v>
      </c>
      <c r="M106" s="34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>
      <c r="A107" s="39"/>
      <c r="B107" s="50">
        <v>96.0</v>
      </c>
      <c r="C107" s="71"/>
      <c r="D107" s="49" t="s">
        <v>1405</v>
      </c>
      <c r="E107" s="49" t="s">
        <v>152</v>
      </c>
      <c r="F107" s="49" t="s">
        <v>153</v>
      </c>
      <c r="G107" s="48">
        <v>12500.0</v>
      </c>
      <c r="H107" s="48">
        <v>11666.0</v>
      </c>
      <c r="I107" s="48">
        <v>9605.0</v>
      </c>
      <c r="J107" s="72">
        <f t="shared" si="1"/>
        <v>11257</v>
      </c>
      <c r="K107" s="47" t="s">
        <v>1406</v>
      </c>
      <c r="L107" s="50">
        <v>1955.0</v>
      </c>
      <c r="M107" s="34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>
      <c r="A108" s="39"/>
      <c r="B108" s="50">
        <v>97.0</v>
      </c>
      <c r="C108" s="71"/>
      <c r="D108" s="49" t="s">
        <v>1407</v>
      </c>
      <c r="E108" s="49" t="s">
        <v>868</v>
      </c>
      <c r="F108" s="49" t="s">
        <v>53</v>
      </c>
      <c r="G108" s="48">
        <v>12500.0</v>
      </c>
      <c r="H108" s="48">
        <v>11000.0</v>
      </c>
      <c r="I108" s="48">
        <v>10500.0</v>
      </c>
      <c r="J108" s="72">
        <f t="shared" si="1"/>
        <v>11333.33333</v>
      </c>
      <c r="K108" s="47" t="s">
        <v>1408</v>
      </c>
      <c r="L108" s="50">
        <v>2002.0</v>
      </c>
      <c r="M108" s="34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>
      <c r="A109" s="39"/>
      <c r="B109" s="50">
        <v>98.0</v>
      </c>
      <c r="C109" s="71"/>
      <c r="D109" s="49" t="s">
        <v>1409</v>
      </c>
      <c r="E109" s="49" t="s">
        <v>1012</v>
      </c>
      <c r="F109" s="49" t="s">
        <v>262</v>
      </c>
      <c r="G109" s="48">
        <v>12248.0</v>
      </c>
      <c r="H109" s="48">
        <v>11658.0</v>
      </c>
      <c r="I109" s="48">
        <v>9919.0</v>
      </c>
      <c r="J109" s="72">
        <f t="shared" si="1"/>
        <v>11275</v>
      </c>
      <c r="K109" s="47" t="s">
        <v>1410</v>
      </c>
      <c r="L109" s="50">
        <v>1982.0</v>
      </c>
      <c r="M109" s="34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>
      <c r="A110" s="39"/>
      <c r="B110" s="50">
        <v>99.0</v>
      </c>
      <c r="C110" s="71"/>
      <c r="D110" s="49" t="s">
        <v>1411</v>
      </c>
      <c r="E110" s="49" t="s">
        <v>438</v>
      </c>
      <c r="F110" s="49" t="s">
        <v>110</v>
      </c>
      <c r="G110" s="48">
        <v>12200.0</v>
      </c>
      <c r="H110" s="48">
        <v>11052.0</v>
      </c>
      <c r="I110" s="48">
        <v>9652.0</v>
      </c>
      <c r="J110" s="72">
        <f t="shared" si="1"/>
        <v>10968</v>
      </c>
      <c r="K110" s="47" t="s">
        <v>1412</v>
      </c>
      <c r="L110" s="50">
        <v>1950.0</v>
      </c>
      <c r="M110" s="34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>
      <c r="A111" s="39"/>
      <c r="B111" s="50">
        <v>100.0</v>
      </c>
      <c r="C111" s="71"/>
      <c r="D111" s="49" t="s">
        <v>1413</v>
      </c>
      <c r="E111" s="49" t="s">
        <v>1414</v>
      </c>
      <c r="F111" s="49" t="s">
        <v>124</v>
      </c>
      <c r="G111" s="48">
        <v>13000.0</v>
      </c>
      <c r="H111" s="48">
        <v>11083.0</v>
      </c>
      <c r="I111" s="48">
        <v>10480.0</v>
      </c>
      <c r="J111" s="72">
        <f t="shared" si="1"/>
        <v>11521</v>
      </c>
      <c r="K111" s="47" t="s">
        <v>1415</v>
      </c>
      <c r="L111" s="50">
        <v>1952.0</v>
      </c>
      <c r="M111" s="34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>
      <c r="A112" s="39"/>
      <c r="B112" s="50">
        <v>101.0</v>
      </c>
      <c r="C112" s="55"/>
      <c r="D112" s="49" t="s">
        <v>1416</v>
      </c>
      <c r="E112" s="49" t="s">
        <v>97</v>
      </c>
      <c r="F112" s="49" t="s">
        <v>98</v>
      </c>
      <c r="G112" s="48">
        <v>12000.0</v>
      </c>
      <c r="H112" s="48">
        <v>11654.0</v>
      </c>
      <c r="I112" s="48">
        <v>10840.0</v>
      </c>
      <c r="J112" s="72">
        <f t="shared" si="1"/>
        <v>11498</v>
      </c>
      <c r="K112" s="55"/>
      <c r="L112" s="50">
        <v>2001.0</v>
      </c>
      <c r="M112" s="34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>
      <c r="A113" s="39"/>
      <c r="B113" s="50">
        <v>102.0</v>
      </c>
      <c r="C113" s="71"/>
      <c r="D113" s="49" t="s">
        <v>1417</v>
      </c>
      <c r="E113" s="49" t="s">
        <v>1418</v>
      </c>
      <c r="F113" s="49" t="s">
        <v>262</v>
      </c>
      <c r="G113" s="48">
        <v>12000.0</v>
      </c>
      <c r="H113" s="48">
        <v>10700.0</v>
      </c>
      <c r="I113" s="48">
        <v>9810.0</v>
      </c>
      <c r="J113" s="72">
        <f t="shared" si="1"/>
        <v>10836.66667</v>
      </c>
      <c r="K113" s="47" t="s">
        <v>1419</v>
      </c>
      <c r="L113" s="50">
        <v>1993.0</v>
      </c>
      <c r="M113" s="49" t="s">
        <v>1420</v>
      </c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>
      <c r="A114" s="39"/>
      <c r="B114" s="54">
        <v>103.0</v>
      </c>
      <c r="C114" s="75"/>
      <c r="D114" s="49" t="s">
        <v>1421</v>
      </c>
      <c r="E114" s="49" t="s">
        <v>1263</v>
      </c>
      <c r="F114" s="49" t="s">
        <v>232</v>
      </c>
      <c r="G114" s="53">
        <v>12000.0</v>
      </c>
      <c r="H114" s="73"/>
      <c r="I114" s="73"/>
      <c r="J114" s="72">
        <f t="shared" si="1"/>
        <v>12000</v>
      </c>
      <c r="K114" s="47" t="s">
        <v>1422</v>
      </c>
      <c r="L114" s="54">
        <v>1999.0</v>
      </c>
      <c r="M114" s="34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>
      <c r="A115" s="39"/>
      <c r="B115" s="50">
        <v>104.0</v>
      </c>
      <c r="C115" s="71"/>
      <c r="D115" s="49" t="s">
        <v>1423</v>
      </c>
      <c r="E115" s="49" t="s">
        <v>1424</v>
      </c>
      <c r="F115" s="49" t="s">
        <v>627</v>
      </c>
      <c r="G115" s="48">
        <v>12000.0</v>
      </c>
      <c r="H115" s="48">
        <v>10500.0</v>
      </c>
      <c r="I115" s="48">
        <v>8700.0</v>
      </c>
      <c r="J115" s="72">
        <f t="shared" si="1"/>
        <v>10400</v>
      </c>
      <c r="K115" s="55"/>
      <c r="L115" s="50">
        <v>1975.0</v>
      </c>
      <c r="M115" s="34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>
      <c r="A116" s="39"/>
      <c r="B116" s="50">
        <v>105.0</v>
      </c>
      <c r="C116" s="71"/>
      <c r="D116" s="49" t="s">
        <v>1425</v>
      </c>
      <c r="E116" s="49" t="s">
        <v>64</v>
      </c>
      <c r="F116" s="49" t="s">
        <v>65</v>
      </c>
      <c r="G116" s="48">
        <v>12000.0</v>
      </c>
      <c r="H116" s="48">
        <v>9400.0</v>
      </c>
      <c r="I116" s="48">
        <v>8120.0</v>
      </c>
      <c r="J116" s="72">
        <f t="shared" si="1"/>
        <v>9840</v>
      </c>
      <c r="K116" s="55"/>
      <c r="L116" s="50">
        <v>1978.0</v>
      </c>
      <c r="M116" s="34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>
      <c r="A117" s="39"/>
      <c r="B117" s="50">
        <v>106.0</v>
      </c>
      <c r="C117" s="71"/>
      <c r="D117" s="49" t="s">
        <v>1426</v>
      </c>
      <c r="E117" s="49" t="s">
        <v>1427</v>
      </c>
      <c r="F117" s="49" t="s">
        <v>84</v>
      </c>
      <c r="G117" s="48">
        <v>12000.0</v>
      </c>
      <c r="H117" s="48">
        <v>11100.0</v>
      </c>
      <c r="I117" s="48">
        <v>9737.0</v>
      </c>
      <c r="J117" s="72">
        <f t="shared" si="1"/>
        <v>10945.66667</v>
      </c>
      <c r="K117" s="47" t="s">
        <v>1428</v>
      </c>
      <c r="L117" s="50">
        <v>2005.0</v>
      </c>
      <c r="M117" s="34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>
      <c r="A118" s="39"/>
      <c r="B118" s="50">
        <v>107.0</v>
      </c>
      <c r="C118" s="71"/>
      <c r="D118" s="49" t="s">
        <v>1429</v>
      </c>
      <c r="E118" s="49" t="s">
        <v>474</v>
      </c>
      <c r="F118" s="49" t="s">
        <v>475</v>
      </c>
      <c r="G118" s="48">
        <v>12000.0</v>
      </c>
      <c r="H118" s="48">
        <v>11571.0</v>
      </c>
      <c r="I118" s="48">
        <v>10120.0</v>
      </c>
      <c r="J118" s="72">
        <f t="shared" si="1"/>
        <v>11230.33333</v>
      </c>
      <c r="K118" s="47" t="s">
        <v>1430</v>
      </c>
      <c r="L118" s="50">
        <v>1957.0</v>
      </c>
      <c r="M118" s="34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>
      <c r="A119" s="39"/>
      <c r="B119" s="50">
        <v>108.0</v>
      </c>
      <c r="C119" s="71"/>
      <c r="D119" s="49" t="s">
        <v>1431</v>
      </c>
      <c r="E119" s="49" t="s">
        <v>1432</v>
      </c>
      <c r="F119" s="49" t="s">
        <v>1028</v>
      </c>
      <c r="G119" s="48">
        <v>11770.0</v>
      </c>
      <c r="H119" s="48">
        <v>11140.0</v>
      </c>
      <c r="I119" s="48">
        <v>9852.0</v>
      </c>
      <c r="J119" s="72">
        <f t="shared" si="1"/>
        <v>10920.66667</v>
      </c>
      <c r="K119" s="55"/>
      <c r="L119" s="50">
        <v>2001.0</v>
      </c>
      <c r="M119" s="49" t="s">
        <v>1270</v>
      </c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>
      <c r="A120" s="39"/>
      <c r="B120" s="50">
        <v>109.0</v>
      </c>
      <c r="C120" s="55"/>
      <c r="D120" s="49" t="s">
        <v>1433</v>
      </c>
      <c r="E120" s="49" t="s">
        <v>187</v>
      </c>
      <c r="F120" s="49" t="s">
        <v>91</v>
      </c>
      <c r="G120" s="48">
        <v>11700.0</v>
      </c>
      <c r="H120" s="76"/>
      <c r="I120" s="48">
        <v>10475.0</v>
      </c>
      <c r="J120" s="72">
        <f t="shared" si="1"/>
        <v>11087.5</v>
      </c>
      <c r="K120" s="55"/>
      <c r="L120" s="50">
        <v>1976.0</v>
      </c>
      <c r="M120" s="49" t="s">
        <v>1210</v>
      </c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>
      <c r="A121" s="39"/>
      <c r="B121" s="50">
        <v>110.0</v>
      </c>
      <c r="C121" s="55"/>
      <c r="D121" s="49" t="s">
        <v>1434</v>
      </c>
      <c r="E121" s="49" t="s">
        <v>1435</v>
      </c>
      <c r="F121" s="49" t="s">
        <v>84</v>
      </c>
      <c r="G121" s="48">
        <v>11679.0</v>
      </c>
      <c r="H121" s="48">
        <v>10815.0</v>
      </c>
      <c r="I121" s="48">
        <v>9918.0</v>
      </c>
      <c r="J121" s="72">
        <f t="shared" si="1"/>
        <v>10804</v>
      </c>
      <c r="K121" s="47" t="s">
        <v>1436</v>
      </c>
      <c r="L121" s="50">
        <v>2022.0</v>
      </c>
      <c r="M121" s="34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>
      <c r="A122" s="39"/>
      <c r="B122" s="50">
        <v>111.0</v>
      </c>
      <c r="C122" s="71"/>
      <c r="D122" s="49" t="s">
        <v>1437</v>
      </c>
      <c r="E122" s="49" t="s">
        <v>1438</v>
      </c>
      <c r="F122" s="49" t="s">
        <v>180</v>
      </c>
      <c r="G122" s="48">
        <v>11661.0</v>
      </c>
      <c r="H122" s="48">
        <v>11736.0</v>
      </c>
      <c r="I122" s="48">
        <v>9916.0</v>
      </c>
      <c r="J122" s="72">
        <f t="shared" si="1"/>
        <v>11104.33333</v>
      </c>
      <c r="K122" s="47" t="s">
        <v>1439</v>
      </c>
      <c r="L122" s="50">
        <v>1995.0</v>
      </c>
      <c r="M122" s="34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>
      <c r="A123" s="39"/>
      <c r="B123" s="50">
        <v>112.0</v>
      </c>
      <c r="C123" s="71"/>
      <c r="D123" s="49" t="s">
        <v>1440</v>
      </c>
      <c r="E123" s="49" t="s">
        <v>1441</v>
      </c>
      <c r="F123" s="49" t="s">
        <v>135</v>
      </c>
      <c r="G123" s="48">
        <v>11522.0</v>
      </c>
      <c r="H123" s="48">
        <v>10467.0</v>
      </c>
      <c r="I123" s="48">
        <v>9755.0</v>
      </c>
      <c r="J123" s="72">
        <f t="shared" si="1"/>
        <v>10581.33333</v>
      </c>
      <c r="K123" s="47" t="s">
        <v>1442</v>
      </c>
      <c r="L123" s="50">
        <v>1999.0</v>
      </c>
      <c r="M123" s="34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>
      <c r="A124" s="39"/>
      <c r="B124" s="50">
        <v>113.0</v>
      </c>
      <c r="C124" s="71"/>
      <c r="D124" s="49" t="s">
        <v>1443</v>
      </c>
      <c r="E124" s="49" t="s">
        <v>457</v>
      </c>
      <c r="F124" s="49" t="s">
        <v>84</v>
      </c>
      <c r="G124" s="48">
        <v>11300.0</v>
      </c>
      <c r="H124" s="48">
        <v>10132.0</v>
      </c>
      <c r="I124" s="48">
        <v>10120.0</v>
      </c>
      <c r="J124" s="72">
        <f t="shared" si="1"/>
        <v>10517.33333</v>
      </c>
      <c r="K124" s="55"/>
      <c r="L124" s="50">
        <v>1966.0</v>
      </c>
      <c r="M124" s="34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>
      <c r="A125" s="39"/>
      <c r="B125" s="50">
        <v>114.0</v>
      </c>
      <c r="C125" s="71"/>
      <c r="D125" s="49" t="s">
        <v>1444</v>
      </c>
      <c r="E125" s="49" t="s">
        <v>1445</v>
      </c>
      <c r="F125" s="49" t="s">
        <v>262</v>
      </c>
      <c r="G125" s="48">
        <v>11218.0</v>
      </c>
      <c r="H125" s="48">
        <v>8590.0</v>
      </c>
      <c r="I125" s="48">
        <v>8386.0</v>
      </c>
      <c r="J125" s="72">
        <f t="shared" si="1"/>
        <v>9398</v>
      </c>
      <c r="K125" s="47" t="s">
        <v>1446</v>
      </c>
      <c r="L125" s="50">
        <v>2006.0</v>
      </c>
      <c r="M125" s="49" t="s">
        <v>1196</v>
      </c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>
      <c r="A126" s="39"/>
      <c r="B126" s="50">
        <v>115.0</v>
      </c>
      <c r="C126" s="71"/>
      <c r="D126" s="49" t="s">
        <v>1447</v>
      </c>
      <c r="E126" s="49" t="s">
        <v>1448</v>
      </c>
      <c r="F126" s="49" t="s">
        <v>84</v>
      </c>
      <c r="G126" s="48">
        <v>11089.0</v>
      </c>
      <c r="H126" s="48">
        <v>10832.0</v>
      </c>
      <c r="I126" s="48">
        <v>9584.0</v>
      </c>
      <c r="J126" s="72">
        <f t="shared" si="1"/>
        <v>10501.66667</v>
      </c>
      <c r="K126" s="47" t="s">
        <v>1449</v>
      </c>
      <c r="L126" s="50">
        <v>2008.0</v>
      </c>
      <c r="M126" s="49" t="s">
        <v>1261</v>
      </c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>
      <c r="A127" s="39"/>
      <c r="B127" s="50">
        <v>116.0</v>
      </c>
      <c r="C127" s="71"/>
      <c r="D127" s="49" t="s">
        <v>987</v>
      </c>
      <c r="E127" s="49" t="s">
        <v>1450</v>
      </c>
      <c r="F127" s="49" t="s">
        <v>124</v>
      </c>
      <c r="G127" s="48">
        <v>11000.0</v>
      </c>
      <c r="H127" s="48">
        <v>10000.0</v>
      </c>
      <c r="I127" s="48">
        <v>9000.0</v>
      </c>
      <c r="J127" s="72">
        <f t="shared" si="1"/>
        <v>10000</v>
      </c>
      <c r="K127" s="47" t="s">
        <v>1451</v>
      </c>
      <c r="L127" s="50">
        <v>2011.0</v>
      </c>
      <c r="M127" s="34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>
      <c r="A128" s="39"/>
      <c r="B128" s="50">
        <v>117.0</v>
      </c>
      <c r="C128" s="55"/>
      <c r="D128" s="49" t="s">
        <v>1452</v>
      </c>
      <c r="E128" s="49" t="s">
        <v>1266</v>
      </c>
      <c r="F128" s="49" t="s">
        <v>114</v>
      </c>
      <c r="G128" s="48">
        <v>10944.0</v>
      </c>
      <c r="H128" s="76"/>
      <c r="I128" s="48">
        <v>9000.0</v>
      </c>
      <c r="J128" s="72">
        <f t="shared" si="1"/>
        <v>9972</v>
      </c>
      <c r="K128" s="55"/>
      <c r="L128" s="50">
        <v>1965.0</v>
      </c>
      <c r="M128" s="34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>
      <c r="A129" s="39"/>
      <c r="B129" s="50">
        <v>118.0</v>
      </c>
      <c r="C129" s="71"/>
      <c r="D129" s="49" t="s">
        <v>1453</v>
      </c>
      <c r="E129" s="49" t="s">
        <v>1334</v>
      </c>
      <c r="F129" s="49" t="s">
        <v>80</v>
      </c>
      <c r="G129" s="48">
        <v>10711.0</v>
      </c>
      <c r="H129" s="48">
        <v>8267.0</v>
      </c>
      <c r="I129" s="48">
        <v>6570.0</v>
      </c>
      <c r="J129" s="72">
        <f t="shared" si="1"/>
        <v>8516</v>
      </c>
      <c r="K129" s="55"/>
      <c r="L129" s="50">
        <v>1983.0</v>
      </c>
      <c r="M129" s="34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>
      <c r="A130" s="39"/>
      <c r="B130" s="50">
        <v>119.0</v>
      </c>
      <c r="C130" s="71"/>
      <c r="D130" s="49" t="s">
        <v>1454</v>
      </c>
      <c r="E130" s="49" t="s">
        <v>134</v>
      </c>
      <c r="F130" s="49" t="s">
        <v>135</v>
      </c>
      <c r="G130" s="48">
        <v>10700.0</v>
      </c>
      <c r="H130" s="48">
        <v>9552.0</v>
      </c>
      <c r="I130" s="48">
        <v>7300.0</v>
      </c>
      <c r="J130" s="72">
        <f t="shared" si="1"/>
        <v>9184</v>
      </c>
      <c r="K130" s="47" t="s">
        <v>1455</v>
      </c>
      <c r="L130" s="50">
        <v>1936.0</v>
      </c>
      <c r="M130" s="34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>
      <c r="A131" s="39"/>
      <c r="B131" s="50">
        <v>120.0</v>
      </c>
      <c r="C131" s="71"/>
      <c r="D131" s="49" t="s">
        <v>1456</v>
      </c>
      <c r="E131" s="49" t="s">
        <v>469</v>
      </c>
      <c r="F131" s="49" t="s">
        <v>76</v>
      </c>
      <c r="G131" s="48">
        <v>10676.0</v>
      </c>
      <c r="H131" s="48">
        <v>10120.0</v>
      </c>
      <c r="I131" s="48">
        <v>8033.0</v>
      </c>
      <c r="J131" s="72">
        <f t="shared" si="1"/>
        <v>9609.666667</v>
      </c>
      <c r="K131" s="55"/>
      <c r="L131" s="50">
        <v>1966.0</v>
      </c>
      <c r="M131" s="34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>
      <c r="A132" s="39"/>
      <c r="B132" s="50">
        <v>121.0</v>
      </c>
      <c r="C132" s="55"/>
      <c r="D132" s="49" t="s">
        <v>1457</v>
      </c>
      <c r="E132" s="49" t="s">
        <v>1458</v>
      </c>
      <c r="F132" s="49" t="s">
        <v>222</v>
      </c>
      <c r="G132" s="48">
        <v>10600.0</v>
      </c>
      <c r="H132" s="48">
        <v>9614.0</v>
      </c>
      <c r="I132" s="48">
        <v>8672.0</v>
      </c>
      <c r="J132" s="72">
        <f t="shared" si="1"/>
        <v>9628.666667</v>
      </c>
      <c r="K132" s="47" t="s">
        <v>1459</v>
      </c>
      <c r="L132" s="50">
        <v>1971.0</v>
      </c>
      <c r="M132" s="34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>
      <c r="A133" s="39"/>
      <c r="B133" s="50">
        <v>122.0</v>
      </c>
      <c r="C133" s="71"/>
      <c r="D133" s="49" t="s">
        <v>1460</v>
      </c>
      <c r="E133" s="49" t="s">
        <v>142</v>
      </c>
      <c r="F133" s="49" t="s">
        <v>143</v>
      </c>
      <c r="G133" s="48">
        <v>10500.0</v>
      </c>
      <c r="H133" s="48">
        <v>9340.0</v>
      </c>
      <c r="I133" s="77">
        <v>8140.0</v>
      </c>
      <c r="J133" s="72">
        <f t="shared" si="1"/>
        <v>9326.666667</v>
      </c>
      <c r="K133" s="55"/>
      <c r="L133" s="50">
        <v>1951.0</v>
      </c>
      <c r="M133" s="34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>
      <c r="A134" s="39"/>
      <c r="B134" s="50">
        <v>123.0</v>
      </c>
      <c r="C134" s="55"/>
      <c r="D134" s="49" t="s">
        <v>1461</v>
      </c>
      <c r="E134" s="49" t="s">
        <v>878</v>
      </c>
      <c r="F134" s="49" t="s">
        <v>53</v>
      </c>
      <c r="G134" s="48">
        <v>10500.0</v>
      </c>
      <c r="H134" s="76"/>
      <c r="I134" s="48">
        <v>8420.0</v>
      </c>
      <c r="J134" s="72">
        <f t="shared" si="1"/>
        <v>9460</v>
      </c>
      <c r="K134" s="47" t="s">
        <v>1462</v>
      </c>
      <c r="L134" s="50">
        <v>2014.0</v>
      </c>
      <c r="M134" s="34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>
      <c r="A135" s="39"/>
      <c r="B135" s="50">
        <v>124.0</v>
      </c>
      <c r="C135" s="71"/>
      <c r="D135" s="49" t="s">
        <v>1463</v>
      </c>
      <c r="E135" s="49" t="s">
        <v>1464</v>
      </c>
      <c r="F135" s="49" t="s">
        <v>91</v>
      </c>
      <c r="G135" s="48">
        <v>10500.0</v>
      </c>
      <c r="H135" s="76"/>
      <c r="I135" s="48">
        <v>8300.0</v>
      </c>
      <c r="J135" s="72">
        <f t="shared" si="1"/>
        <v>9400</v>
      </c>
      <c r="K135" s="55"/>
      <c r="L135" s="50">
        <v>2003.0</v>
      </c>
      <c r="M135" s="34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>
      <c r="A136" s="39"/>
      <c r="B136" s="50">
        <v>125.0</v>
      </c>
      <c r="C136" s="71"/>
      <c r="D136" s="49" t="s">
        <v>1465</v>
      </c>
      <c r="E136" s="49" t="s">
        <v>1466</v>
      </c>
      <c r="F136" s="49" t="s">
        <v>102</v>
      </c>
      <c r="G136" s="48">
        <v>10500.0</v>
      </c>
      <c r="H136" s="48">
        <v>8600.0</v>
      </c>
      <c r="I136" s="48">
        <v>7605.0</v>
      </c>
      <c r="J136" s="72">
        <f t="shared" si="1"/>
        <v>8901.666667</v>
      </c>
      <c r="K136" s="55"/>
      <c r="L136" s="50">
        <v>2000.0</v>
      </c>
      <c r="M136" s="34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>
      <c r="A137" s="39"/>
      <c r="B137" s="50">
        <v>126.0</v>
      </c>
      <c r="C137" s="71"/>
      <c r="D137" s="49" t="s">
        <v>1467</v>
      </c>
      <c r="E137" s="49" t="s">
        <v>1468</v>
      </c>
      <c r="F137" s="49" t="s">
        <v>783</v>
      </c>
      <c r="G137" s="48">
        <v>10400.0</v>
      </c>
      <c r="H137" s="48">
        <v>9400.0</v>
      </c>
      <c r="I137" s="48">
        <v>8000.0</v>
      </c>
      <c r="J137" s="72">
        <f t="shared" si="1"/>
        <v>9266.666667</v>
      </c>
      <c r="K137" s="47" t="s">
        <v>1469</v>
      </c>
      <c r="L137" s="50">
        <v>1977.0</v>
      </c>
      <c r="M137" s="34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>
      <c r="A138" s="39"/>
      <c r="B138" s="54">
        <v>127.0</v>
      </c>
      <c r="C138" s="71"/>
      <c r="D138" s="49" t="s">
        <v>1470</v>
      </c>
      <c r="E138" s="49" t="s">
        <v>261</v>
      </c>
      <c r="F138" s="49" t="s">
        <v>262</v>
      </c>
      <c r="G138" s="53">
        <v>10387.0</v>
      </c>
      <c r="H138" s="53">
        <v>10387.0</v>
      </c>
      <c r="I138" s="73"/>
      <c r="J138" s="72">
        <f t="shared" si="1"/>
        <v>10387</v>
      </c>
      <c r="K138" s="47" t="s">
        <v>1471</v>
      </c>
      <c r="L138" s="54">
        <v>2017.0</v>
      </c>
      <c r="M138" s="49" t="s">
        <v>1196</v>
      </c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>
      <c r="A139" s="39"/>
      <c r="B139" s="50">
        <v>128.0</v>
      </c>
      <c r="C139" s="71"/>
      <c r="D139" s="49" t="s">
        <v>1472</v>
      </c>
      <c r="E139" s="49" t="s">
        <v>1473</v>
      </c>
      <c r="F139" s="49" t="s">
        <v>61</v>
      </c>
      <c r="G139" s="48">
        <v>10323.0</v>
      </c>
      <c r="H139" s="48">
        <v>8280.0</v>
      </c>
      <c r="I139" s="48">
        <v>7728.0</v>
      </c>
      <c r="J139" s="72">
        <f t="shared" si="1"/>
        <v>8777</v>
      </c>
      <c r="K139" s="55"/>
      <c r="L139" s="50">
        <v>2004.0</v>
      </c>
      <c r="M139" s="34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>
      <c r="A140" s="39"/>
      <c r="B140" s="50">
        <v>129.0</v>
      </c>
      <c r="C140" s="55"/>
      <c r="D140" s="49" t="s">
        <v>1474</v>
      </c>
      <c r="E140" s="49" t="s">
        <v>56</v>
      </c>
      <c r="F140" s="49" t="s">
        <v>57</v>
      </c>
      <c r="G140" s="48">
        <v>10200.0</v>
      </c>
      <c r="H140" s="76"/>
      <c r="I140" s="76"/>
      <c r="J140" s="72">
        <f t="shared" si="1"/>
        <v>10200</v>
      </c>
      <c r="K140" s="55"/>
      <c r="L140" s="50">
        <v>1992.0</v>
      </c>
      <c r="M140" s="34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>
      <c r="A141" s="39"/>
      <c r="B141" s="50">
        <v>130.0</v>
      </c>
      <c r="C141" s="71"/>
      <c r="D141" s="49" t="s">
        <v>1475</v>
      </c>
      <c r="E141" s="49" t="s">
        <v>109</v>
      </c>
      <c r="F141" s="49" t="s">
        <v>110</v>
      </c>
      <c r="G141" s="48">
        <v>10200.0</v>
      </c>
      <c r="H141" s="48">
        <v>9729.0</v>
      </c>
      <c r="I141" s="48">
        <v>8709.0</v>
      </c>
      <c r="J141" s="72">
        <f t="shared" si="1"/>
        <v>9546</v>
      </c>
      <c r="K141" s="47" t="s">
        <v>1476</v>
      </c>
      <c r="L141" s="50">
        <v>2002.0</v>
      </c>
      <c r="M141" s="34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>
      <c r="A142" s="39"/>
      <c r="B142" s="50">
        <v>131.0</v>
      </c>
      <c r="C142" s="55"/>
      <c r="D142" s="49" t="s">
        <v>1456</v>
      </c>
      <c r="E142" s="49" t="s">
        <v>469</v>
      </c>
      <c r="F142" s="49" t="s">
        <v>76</v>
      </c>
      <c r="G142" s="48">
        <v>10112.0</v>
      </c>
      <c r="H142" s="48">
        <v>8030.0</v>
      </c>
      <c r="I142" s="48">
        <v>8000.0</v>
      </c>
      <c r="J142" s="72">
        <f t="shared" si="1"/>
        <v>8714</v>
      </c>
      <c r="K142" s="55"/>
      <c r="L142" s="50">
        <v>1964.0</v>
      </c>
      <c r="M142" s="34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>
      <c r="A143" s="39"/>
      <c r="B143" s="50">
        <v>132.0</v>
      </c>
      <c r="C143" s="55"/>
      <c r="D143" s="49" t="s">
        <v>1477</v>
      </c>
      <c r="E143" s="49" t="s">
        <v>1478</v>
      </c>
      <c r="F143" s="49" t="s">
        <v>787</v>
      </c>
      <c r="G143" s="48">
        <v>10100.0</v>
      </c>
      <c r="H143" s="48">
        <v>8800.0</v>
      </c>
      <c r="I143" s="48">
        <v>7590.0</v>
      </c>
      <c r="J143" s="72">
        <f t="shared" si="1"/>
        <v>8830</v>
      </c>
      <c r="K143" s="55"/>
      <c r="L143" s="50">
        <v>1969.0</v>
      </c>
      <c r="M143" s="34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>
      <c r="A144" s="39"/>
      <c r="B144" s="50">
        <v>133.0</v>
      </c>
      <c r="C144" s="55"/>
      <c r="D144" s="49" t="s">
        <v>1479</v>
      </c>
      <c r="E144" s="49" t="s">
        <v>1480</v>
      </c>
      <c r="F144" s="49" t="s">
        <v>236</v>
      </c>
      <c r="G144" s="48">
        <v>10045.0</v>
      </c>
      <c r="H144" s="48">
        <v>8362.0</v>
      </c>
      <c r="I144" s="48">
        <v>8400.0</v>
      </c>
      <c r="J144" s="72">
        <f t="shared" si="1"/>
        <v>8935.666667</v>
      </c>
      <c r="K144" s="47" t="s">
        <v>1481</v>
      </c>
      <c r="L144" s="50">
        <v>2000.0</v>
      </c>
      <c r="M144" s="49" t="s">
        <v>1275</v>
      </c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>
      <c r="A145" s="39"/>
      <c r="B145" s="50">
        <v>134.0</v>
      </c>
      <c r="C145" s="55"/>
      <c r="D145" s="49" t="s">
        <v>1482</v>
      </c>
      <c r="E145" s="49" t="s">
        <v>1483</v>
      </c>
      <c r="F145" s="49" t="s">
        <v>61</v>
      </c>
      <c r="G145" s="48">
        <v>10000.0</v>
      </c>
      <c r="H145" s="76"/>
      <c r="I145" s="48">
        <v>8600.0</v>
      </c>
      <c r="J145" s="72">
        <f t="shared" si="1"/>
        <v>9300</v>
      </c>
      <c r="K145" s="55"/>
      <c r="L145" s="50">
        <v>2023.0</v>
      </c>
      <c r="M145" s="49" t="s">
        <v>1305</v>
      </c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>
      <c r="A146" s="39"/>
      <c r="B146" s="50">
        <v>135.0</v>
      </c>
      <c r="C146" s="71"/>
      <c r="D146" s="49" t="s">
        <v>1484</v>
      </c>
      <c r="E146" s="49" t="s">
        <v>1485</v>
      </c>
      <c r="F146" s="49" t="s">
        <v>91</v>
      </c>
      <c r="G146" s="48">
        <v>10008.0</v>
      </c>
      <c r="H146" s="48">
        <v>8300.0</v>
      </c>
      <c r="I146" s="48">
        <v>8150.0</v>
      </c>
      <c r="J146" s="72">
        <f t="shared" si="1"/>
        <v>8819.333333</v>
      </c>
      <c r="K146" s="47" t="s">
        <v>1486</v>
      </c>
      <c r="L146" s="50">
        <v>1985.0</v>
      </c>
      <c r="M146" s="34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>
      <c r="A147" s="39"/>
      <c r="B147" s="50">
        <v>136.0</v>
      </c>
      <c r="C147" s="55"/>
      <c r="D147" s="49" t="s">
        <v>1487</v>
      </c>
      <c r="E147" s="49" t="s">
        <v>880</v>
      </c>
      <c r="F147" s="49" t="s">
        <v>61</v>
      </c>
      <c r="G147" s="48">
        <v>10000.0</v>
      </c>
      <c r="H147" s="76"/>
      <c r="I147" s="48">
        <v>5000.0</v>
      </c>
      <c r="J147" s="72">
        <f t="shared" si="1"/>
        <v>7500</v>
      </c>
      <c r="K147" s="55"/>
      <c r="L147" s="50">
        <v>2000.0</v>
      </c>
      <c r="M147" s="34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>
      <c r="A148" s="39"/>
      <c r="B148" s="50">
        <v>137.0</v>
      </c>
      <c r="C148" s="55"/>
      <c r="D148" s="49" t="s">
        <v>1488</v>
      </c>
      <c r="E148" s="49" t="s">
        <v>1169</v>
      </c>
      <c r="F148" s="49" t="s">
        <v>236</v>
      </c>
      <c r="G148" s="48">
        <v>10000.0</v>
      </c>
      <c r="H148" s="48">
        <v>9000.0</v>
      </c>
      <c r="I148" s="48">
        <v>8000.0</v>
      </c>
      <c r="J148" s="72">
        <f t="shared" si="1"/>
        <v>9000</v>
      </c>
      <c r="K148" s="55"/>
      <c r="L148" s="50">
        <v>1993.0</v>
      </c>
      <c r="M148" s="34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>
      <c r="A149" s="39"/>
      <c r="B149" s="50">
        <v>138.0</v>
      </c>
      <c r="C149" s="71"/>
      <c r="D149" s="49" t="s">
        <v>1489</v>
      </c>
      <c r="E149" s="49" t="s">
        <v>1490</v>
      </c>
      <c r="F149" s="49" t="s">
        <v>262</v>
      </c>
      <c r="G149" s="48">
        <v>10000.0</v>
      </c>
      <c r="H149" s="48">
        <v>7669.0</v>
      </c>
      <c r="I149" s="48">
        <v>5767.0</v>
      </c>
      <c r="J149" s="72">
        <f t="shared" si="1"/>
        <v>7812</v>
      </c>
      <c r="K149" s="47" t="s">
        <v>1491</v>
      </c>
      <c r="L149" s="50">
        <v>1979.0</v>
      </c>
      <c r="M149" s="34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>
      <c r="A150" s="39"/>
      <c r="B150" s="50">
        <v>139.0</v>
      </c>
      <c r="C150" s="55"/>
      <c r="D150" s="49" t="s">
        <v>1492</v>
      </c>
      <c r="E150" s="49" t="s">
        <v>56</v>
      </c>
      <c r="F150" s="49" t="s">
        <v>80</v>
      </c>
      <c r="G150" s="48">
        <v>10000.0</v>
      </c>
      <c r="H150" s="48">
        <v>9000.0</v>
      </c>
      <c r="I150" s="48">
        <v>7609.0</v>
      </c>
      <c r="J150" s="72">
        <f t="shared" si="1"/>
        <v>8869.666667</v>
      </c>
      <c r="K150" s="47" t="s">
        <v>1493</v>
      </c>
      <c r="L150" s="50">
        <v>1996.0</v>
      </c>
      <c r="M150" s="34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>
      <c r="A151" s="39"/>
      <c r="B151" s="50">
        <v>140.0</v>
      </c>
      <c r="C151" s="71"/>
      <c r="D151" s="49" t="s">
        <v>1494</v>
      </c>
      <c r="E151" s="49" t="s">
        <v>1495</v>
      </c>
      <c r="F151" s="49" t="s">
        <v>180</v>
      </c>
      <c r="G151" s="48">
        <v>10000.0</v>
      </c>
      <c r="H151" s="48">
        <v>9150.0</v>
      </c>
      <c r="I151" s="48">
        <v>8149.0</v>
      </c>
      <c r="J151" s="72">
        <f t="shared" si="1"/>
        <v>9099.666667</v>
      </c>
      <c r="K151" s="47" t="s">
        <v>1496</v>
      </c>
      <c r="L151" s="50">
        <v>2003.0</v>
      </c>
      <c r="M151" s="49" t="s">
        <v>1200</v>
      </c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>
      <c r="A152" s="39"/>
      <c r="B152" s="50">
        <v>141.0</v>
      </c>
      <c r="C152" s="71"/>
      <c r="D152" s="49" t="s">
        <v>1497</v>
      </c>
      <c r="E152" s="49" t="s">
        <v>180</v>
      </c>
      <c r="F152" s="49" t="s">
        <v>444</v>
      </c>
      <c r="G152" s="48">
        <v>10000.0</v>
      </c>
      <c r="H152" s="76"/>
      <c r="I152" s="76"/>
      <c r="J152" s="72">
        <f t="shared" si="1"/>
        <v>10000</v>
      </c>
      <c r="K152" s="55"/>
      <c r="L152" s="50">
        <v>1941.0</v>
      </c>
      <c r="M152" s="49" t="s">
        <v>1232</v>
      </c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>
      <c r="A153" s="39"/>
      <c r="B153" s="50">
        <v>142.0</v>
      </c>
      <c r="C153" s="71"/>
      <c r="D153" s="49" t="s">
        <v>1498</v>
      </c>
      <c r="E153" s="49" t="s">
        <v>899</v>
      </c>
      <c r="F153" s="49" t="s">
        <v>106</v>
      </c>
      <c r="G153" s="48">
        <v>10000.0</v>
      </c>
      <c r="H153" s="48">
        <v>9000.0</v>
      </c>
      <c r="I153" s="48">
        <v>7526.0</v>
      </c>
      <c r="J153" s="72">
        <f t="shared" si="1"/>
        <v>8842</v>
      </c>
      <c r="K153" s="55"/>
      <c r="L153" s="50">
        <v>1993.0</v>
      </c>
      <c r="M153" s="34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>
      <c r="A154" s="39"/>
      <c r="B154" s="50">
        <v>143.0</v>
      </c>
      <c r="C154" s="71"/>
      <c r="D154" s="49" t="s">
        <v>1499</v>
      </c>
      <c r="E154" s="49" t="s">
        <v>608</v>
      </c>
      <c r="F154" s="49" t="s">
        <v>57</v>
      </c>
      <c r="G154" s="48">
        <v>10000.0</v>
      </c>
      <c r="H154" s="48">
        <v>9000.0</v>
      </c>
      <c r="I154" s="48">
        <v>8000.0</v>
      </c>
      <c r="J154" s="72">
        <f t="shared" si="1"/>
        <v>9000</v>
      </c>
      <c r="K154" s="47" t="s">
        <v>1500</v>
      </c>
      <c r="L154" s="50">
        <v>2009.0</v>
      </c>
      <c r="M154" s="34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>
      <c r="A155" s="39"/>
      <c r="B155" s="50">
        <v>144.0</v>
      </c>
      <c r="C155" s="55"/>
      <c r="D155" s="49" t="s">
        <v>1501</v>
      </c>
      <c r="E155" s="49" t="s">
        <v>1502</v>
      </c>
      <c r="F155" s="49" t="s">
        <v>91</v>
      </c>
      <c r="G155" s="48">
        <v>10000.0</v>
      </c>
      <c r="H155" s="76"/>
      <c r="I155" s="76"/>
      <c r="J155" s="72">
        <f t="shared" si="1"/>
        <v>10000</v>
      </c>
      <c r="K155" s="55"/>
      <c r="L155" s="50">
        <v>2008.0</v>
      </c>
      <c r="M155" s="34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>
      <c r="A156" s="39"/>
      <c r="B156" s="50">
        <v>145.0</v>
      </c>
      <c r="C156" s="71"/>
      <c r="D156" s="49" t="s">
        <v>1503</v>
      </c>
      <c r="E156" s="49" t="s">
        <v>1504</v>
      </c>
      <c r="F156" s="49" t="s">
        <v>61</v>
      </c>
      <c r="G156" s="48">
        <v>10000.0</v>
      </c>
      <c r="H156" s="48">
        <v>7380.0</v>
      </c>
      <c r="I156" s="48">
        <v>6500.0</v>
      </c>
      <c r="J156" s="72">
        <f t="shared" si="1"/>
        <v>7960</v>
      </c>
      <c r="K156" s="47" t="s">
        <v>1505</v>
      </c>
      <c r="L156" s="50">
        <v>2003.0</v>
      </c>
      <c r="M156" s="34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>
      <c r="A157" s="39"/>
      <c r="B157" s="50">
        <v>146.0</v>
      </c>
      <c r="C157" s="55"/>
      <c r="D157" s="49" t="s">
        <v>1506</v>
      </c>
      <c r="E157" s="49" t="s">
        <v>1507</v>
      </c>
      <c r="F157" s="49" t="s">
        <v>91</v>
      </c>
      <c r="G157" s="48">
        <v>10000.0</v>
      </c>
      <c r="H157" s="48">
        <v>8178.0</v>
      </c>
      <c r="I157" s="48">
        <v>8178.0</v>
      </c>
      <c r="J157" s="72">
        <f t="shared" si="1"/>
        <v>8785.333333</v>
      </c>
      <c r="K157" s="47" t="s">
        <v>1508</v>
      </c>
      <c r="L157" s="50">
        <v>1974.0</v>
      </c>
      <c r="M157" s="34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>
      <c r="A158" s="39"/>
      <c r="B158" s="50">
        <v>147.0</v>
      </c>
      <c r="C158" s="71"/>
      <c r="D158" s="49" t="s">
        <v>1509</v>
      </c>
      <c r="E158" s="49" t="s">
        <v>1510</v>
      </c>
      <c r="F158" s="49" t="s">
        <v>369</v>
      </c>
      <c r="G158" s="48">
        <v>10000.0</v>
      </c>
      <c r="H158" s="48">
        <v>7777.0</v>
      </c>
      <c r="I158" s="48">
        <v>7777.0</v>
      </c>
      <c r="J158" s="72">
        <f t="shared" si="1"/>
        <v>8518</v>
      </c>
      <c r="K158" s="55"/>
      <c r="L158" s="50">
        <v>1987.0</v>
      </c>
      <c r="M158" s="34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>
      <c r="A159" s="39"/>
      <c r="B159" s="50">
        <v>148.0</v>
      </c>
      <c r="C159" s="71"/>
      <c r="D159" s="49" t="s">
        <v>1511</v>
      </c>
      <c r="E159" s="49" t="s">
        <v>297</v>
      </c>
      <c r="F159" s="49" t="s">
        <v>236</v>
      </c>
      <c r="G159" s="48">
        <v>10000.0</v>
      </c>
      <c r="H159" s="48">
        <v>6812.0</v>
      </c>
      <c r="I159" s="48">
        <v>6500.0</v>
      </c>
      <c r="J159" s="72">
        <f t="shared" si="1"/>
        <v>7770.666667</v>
      </c>
      <c r="K159" s="55"/>
      <c r="L159" s="50">
        <v>1962.0</v>
      </c>
      <c r="M159" s="34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>
      <c r="A160" s="39"/>
      <c r="B160" s="54">
        <v>149.0</v>
      </c>
      <c r="C160" s="75"/>
      <c r="D160" s="49" t="s">
        <v>1512</v>
      </c>
      <c r="E160" s="49" t="s">
        <v>1513</v>
      </c>
      <c r="F160" s="49" t="s">
        <v>273</v>
      </c>
      <c r="G160" s="53">
        <v>10000.0</v>
      </c>
      <c r="H160" s="53">
        <v>10000.0</v>
      </c>
      <c r="I160" s="73"/>
      <c r="J160" s="72">
        <f t="shared" si="1"/>
        <v>10000</v>
      </c>
      <c r="K160" s="47" t="s">
        <v>1514</v>
      </c>
      <c r="L160" s="54">
        <v>2001.0</v>
      </c>
      <c r="M160" s="34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>
      <c r="A161" s="39"/>
      <c r="B161" s="50">
        <v>150.0</v>
      </c>
      <c r="C161" s="71"/>
      <c r="D161" s="49" t="s">
        <v>1515</v>
      </c>
      <c r="E161" s="49" t="s">
        <v>1516</v>
      </c>
      <c r="F161" s="49" t="s">
        <v>53</v>
      </c>
      <c r="G161" s="48">
        <v>10000.0</v>
      </c>
      <c r="H161" s="48">
        <v>9700.0</v>
      </c>
      <c r="I161" s="48">
        <v>8050.0</v>
      </c>
      <c r="J161" s="72">
        <f t="shared" si="1"/>
        <v>9250</v>
      </c>
      <c r="K161" s="47" t="s">
        <v>1517</v>
      </c>
      <c r="L161" s="50">
        <v>1998.0</v>
      </c>
      <c r="M161" s="34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>
      <c r="A162" s="39"/>
      <c r="B162" s="50">
        <v>151.0</v>
      </c>
      <c r="C162" s="71"/>
      <c r="D162" s="49" t="s">
        <v>1518</v>
      </c>
      <c r="E162" s="49" t="s">
        <v>774</v>
      </c>
      <c r="F162" s="49" t="s">
        <v>84</v>
      </c>
      <c r="G162" s="48">
        <v>10000.0</v>
      </c>
      <c r="H162" s="48">
        <v>9333.0</v>
      </c>
      <c r="I162" s="48">
        <v>8641.0</v>
      </c>
      <c r="J162" s="72">
        <f t="shared" si="1"/>
        <v>9324.666667</v>
      </c>
      <c r="K162" s="47" t="s">
        <v>1519</v>
      </c>
      <c r="L162" s="50">
        <v>1998.0</v>
      </c>
      <c r="M162" s="34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>
      <c r="A163" s="39"/>
      <c r="B163" s="50">
        <v>152.0</v>
      </c>
      <c r="C163" s="71"/>
      <c r="D163" s="49" t="s">
        <v>1520</v>
      </c>
      <c r="E163" s="49" t="s">
        <v>1158</v>
      </c>
      <c r="F163" s="49" t="s">
        <v>184</v>
      </c>
      <c r="G163" s="48">
        <v>10000.0</v>
      </c>
      <c r="H163" s="48">
        <v>7200.0</v>
      </c>
      <c r="I163" s="76"/>
      <c r="J163" s="72">
        <f t="shared" si="1"/>
        <v>8600</v>
      </c>
      <c r="K163" s="47" t="s">
        <v>1521</v>
      </c>
      <c r="L163" s="50">
        <v>1979.0</v>
      </c>
      <c r="M163" s="34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>
      <c r="A164" s="39"/>
      <c r="B164" s="50">
        <v>153.0</v>
      </c>
      <c r="C164" s="55"/>
      <c r="D164" s="49" t="s">
        <v>1522</v>
      </c>
      <c r="E164" s="49" t="s">
        <v>1523</v>
      </c>
      <c r="F164" s="49" t="s">
        <v>61</v>
      </c>
      <c r="G164" s="48">
        <v>10000.0</v>
      </c>
      <c r="H164" s="48">
        <v>9174.0</v>
      </c>
      <c r="I164" s="48">
        <v>8055.0</v>
      </c>
      <c r="J164" s="72">
        <f t="shared" si="1"/>
        <v>9076.333333</v>
      </c>
      <c r="K164" s="55"/>
      <c r="L164" s="50">
        <v>1983.0</v>
      </c>
      <c r="M164" s="34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>
      <c r="A165" s="39"/>
      <c r="B165" s="50">
        <v>154.0</v>
      </c>
      <c r="C165" s="71"/>
      <c r="D165" s="49" t="s">
        <v>1524</v>
      </c>
      <c r="E165" s="49" t="s">
        <v>979</v>
      </c>
      <c r="F165" s="49" t="s">
        <v>273</v>
      </c>
      <c r="G165" s="48">
        <v>10000.0</v>
      </c>
      <c r="H165" s="48">
        <v>9000.0</v>
      </c>
      <c r="I165" s="48">
        <v>8525.0</v>
      </c>
      <c r="J165" s="72">
        <f t="shared" si="1"/>
        <v>9175</v>
      </c>
      <c r="K165" s="47" t="s">
        <v>1525</v>
      </c>
      <c r="L165" s="50">
        <v>2001.0</v>
      </c>
      <c r="M165" s="49" t="s">
        <v>1236</v>
      </c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>
      <c r="A166" s="39"/>
      <c r="B166" s="50">
        <v>155.0</v>
      </c>
      <c r="C166" s="71"/>
      <c r="D166" s="49" t="s">
        <v>1526</v>
      </c>
      <c r="E166" s="49" t="s">
        <v>253</v>
      </c>
      <c r="F166" s="49" t="s">
        <v>124</v>
      </c>
      <c r="G166" s="48">
        <v>9939.0</v>
      </c>
      <c r="H166" s="48">
        <v>9479.0</v>
      </c>
      <c r="I166" s="48">
        <v>8100.0</v>
      </c>
      <c r="J166" s="72">
        <f t="shared" si="1"/>
        <v>9172.666667</v>
      </c>
      <c r="K166" s="47" t="s">
        <v>1527</v>
      </c>
      <c r="L166" s="50">
        <v>1939.0</v>
      </c>
      <c r="M166" s="34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>
      <c r="A167" s="39"/>
      <c r="B167" s="50">
        <v>156.0</v>
      </c>
      <c r="C167" s="71"/>
      <c r="D167" s="49" t="s">
        <v>1528</v>
      </c>
      <c r="E167" s="49" t="s">
        <v>146</v>
      </c>
      <c r="F167" s="49" t="s">
        <v>110</v>
      </c>
      <c r="G167" s="48">
        <v>9762.0</v>
      </c>
      <c r="H167" s="48">
        <v>9131.0</v>
      </c>
      <c r="I167" s="48">
        <v>7426.0</v>
      </c>
      <c r="J167" s="72">
        <f t="shared" si="1"/>
        <v>8773</v>
      </c>
      <c r="K167" s="47" t="s">
        <v>1529</v>
      </c>
      <c r="L167" s="50">
        <v>1967.0</v>
      </c>
      <c r="M167" s="34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>
      <c r="A168" s="39"/>
      <c r="B168" s="50">
        <v>157.0</v>
      </c>
      <c r="C168" s="71"/>
      <c r="D168" s="49" t="s">
        <v>1530</v>
      </c>
      <c r="E168" s="49" t="s">
        <v>849</v>
      </c>
      <c r="F168" s="49" t="s">
        <v>61</v>
      </c>
      <c r="G168" s="48">
        <v>9737.0</v>
      </c>
      <c r="H168" s="48">
        <v>9100.0</v>
      </c>
      <c r="I168" s="48">
        <v>8200.0</v>
      </c>
      <c r="J168" s="72">
        <f t="shared" si="1"/>
        <v>9012.333333</v>
      </c>
      <c r="K168" s="55"/>
      <c r="L168" s="50">
        <v>2003.0</v>
      </c>
      <c r="M168" s="34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>
      <c r="A169" s="39"/>
      <c r="B169" s="50">
        <v>158.0</v>
      </c>
      <c r="C169" s="55"/>
      <c r="D169" s="49" t="s">
        <v>1531</v>
      </c>
      <c r="E169" s="49" t="s">
        <v>1532</v>
      </c>
      <c r="F169" s="49" t="s">
        <v>559</v>
      </c>
      <c r="G169" s="48">
        <v>9700.0</v>
      </c>
      <c r="H169" s="76"/>
      <c r="I169" s="48">
        <v>7286.0</v>
      </c>
      <c r="J169" s="72">
        <f t="shared" si="1"/>
        <v>8493</v>
      </c>
      <c r="K169" s="55"/>
      <c r="L169" s="50">
        <v>1982.0</v>
      </c>
      <c r="M169" s="34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>
      <c r="A170" s="39"/>
      <c r="B170" s="50">
        <v>159.0</v>
      </c>
      <c r="C170" s="71"/>
      <c r="D170" s="49" t="s">
        <v>1533</v>
      </c>
      <c r="E170" s="49" t="s">
        <v>239</v>
      </c>
      <c r="F170" s="49" t="s">
        <v>61</v>
      </c>
      <c r="G170" s="48">
        <v>9700.0</v>
      </c>
      <c r="H170" s="76"/>
      <c r="I170" s="48">
        <v>9021.0</v>
      </c>
      <c r="J170" s="72">
        <f t="shared" si="1"/>
        <v>9360.5</v>
      </c>
      <c r="K170" s="55"/>
      <c r="L170" s="50">
        <v>1950.0</v>
      </c>
      <c r="M170" s="34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>
      <c r="A171" s="39"/>
      <c r="B171" s="50">
        <v>160.0</v>
      </c>
      <c r="C171" s="71"/>
      <c r="D171" s="49" t="s">
        <v>1534</v>
      </c>
      <c r="E171" s="49" t="s">
        <v>1535</v>
      </c>
      <c r="F171" s="49" t="s">
        <v>184</v>
      </c>
      <c r="G171" s="48">
        <v>9657.0</v>
      </c>
      <c r="H171" s="48">
        <v>6437.0</v>
      </c>
      <c r="I171" s="48">
        <v>6327.0</v>
      </c>
      <c r="J171" s="72">
        <f t="shared" si="1"/>
        <v>7473.666667</v>
      </c>
      <c r="K171" s="47" t="s">
        <v>1536</v>
      </c>
      <c r="L171" s="50">
        <v>2003.0</v>
      </c>
      <c r="M171" s="34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>
      <c r="A172" s="39"/>
      <c r="B172" s="50">
        <v>161.0</v>
      </c>
      <c r="C172" s="71"/>
      <c r="D172" s="49" t="s">
        <v>1537</v>
      </c>
      <c r="E172" s="49" t="s">
        <v>190</v>
      </c>
      <c r="F172" s="49" t="s">
        <v>69</v>
      </c>
      <c r="G172" s="48">
        <v>9654.0</v>
      </c>
      <c r="H172" s="48">
        <v>8000.0</v>
      </c>
      <c r="I172" s="48">
        <v>7500.0</v>
      </c>
      <c r="J172" s="72">
        <f t="shared" si="1"/>
        <v>8384.666667</v>
      </c>
      <c r="K172" s="55"/>
      <c r="L172" s="50">
        <v>1962.0</v>
      </c>
      <c r="M172" s="34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>
      <c r="A173" s="39"/>
      <c r="B173" s="50">
        <v>162.0</v>
      </c>
      <c r="C173" s="71"/>
      <c r="D173" s="49" t="s">
        <v>1538</v>
      </c>
      <c r="E173" s="49" t="s">
        <v>1539</v>
      </c>
      <c r="F173" s="49" t="s">
        <v>61</v>
      </c>
      <c r="G173" s="48">
        <v>9622.0</v>
      </c>
      <c r="H173" s="48">
        <v>8665.0</v>
      </c>
      <c r="I173" s="48">
        <v>8065.0</v>
      </c>
      <c r="J173" s="72">
        <f t="shared" si="1"/>
        <v>8784</v>
      </c>
      <c r="K173" s="55"/>
      <c r="L173" s="50">
        <v>2001.0</v>
      </c>
      <c r="M173" s="34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>
      <c r="A174" s="39"/>
      <c r="B174" s="50">
        <v>163.0</v>
      </c>
      <c r="C174" s="55"/>
      <c r="D174" s="49" t="s">
        <v>1540</v>
      </c>
      <c r="E174" s="49" t="s">
        <v>1541</v>
      </c>
      <c r="F174" s="49" t="s">
        <v>80</v>
      </c>
      <c r="G174" s="48">
        <v>9600.0</v>
      </c>
      <c r="H174" s="48">
        <v>7500.0</v>
      </c>
      <c r="I174" s="48">
        <v>6846.0</v>
      </c>
      <c r="J174" s="72">
        <f t="shared" si="1"/>
        <v>7982</v>
      </c>
      <c r="K174" s="55"/>
      <c r="L174" s="50">
        <v>1974.0</v>
      </c>
      <c r="M174" s="34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>
      <c r="A175" s="39"/>
      <c r="B175" s="50">
        <v>164.0</v>
      </c>
      <c r="C175" s="71"/>
      <c r="D175" s="49" t="s">
        <v>1542</v>
      </c>
      <c r="E175" s="49" t="s">
        <v>87</v>
      </c>
      <c r="F175" s="49" t="s">
        <v>61</v>
      </c>
      <c r="G175" s="48">
        <v>9552.0</v>
      </c>
      <c r="H175" s="76"/>
      <c r="I175" s="48">
        <v>7513.0</v>
      </c>
      <c r="J175" s="72">
        <f t="shared" si="1"/>
        <v>8532.5</v>
      </c>
      <c r="K175" s="55"/>
      <c r="L175" s="50">
        <v>1936.0</v>
      </c>
      <c r="M175" s="49" t="s">
        <v>1246</v>
      </c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>
      <c r="A176" s="39"/>
      <c r="B176" s="50">
        <v>165.0</v>
      </c>
      <c r="C176" s="55"/>
      <c r="D176" s="49" t="s">
        <v>1543</v>
      </c>
      <c r="E176" s="49" t="s">
        <v>1544</v>
      </c>
      <c r="F176" s="49" t="s">
        <v>124</v>
      </c>
      <c r="G176" s="48">
        <v>9500.0</v>
      </c>
      <c r="H176" s="48">
        <v>8640.0</v>
      </c>
      <c r="I176" s="76"/>
      <c r="J176" s="72">
        <f t="shared" si="1"/>
        <v>9070</v>
      </c>
      <c r="K176" s="55"/>
      <c r="L176" s="50">
        <v>1961.0</v>
      </c>
      <c r="M176" s="34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>
      <c r="A177" s="39"/>
      <c r="B177" s="50">
        <v>166.0</v>
      </c>
      <c r="C177" s="55"/>
      <c r="D177" s="49" t="s">
        <v>1545</v>
      </c>
      <c r="E177" s="49" t="s">
        <v>1546</v>
      </c>
      <c r="F177" s="49" t="s">
        <v>76</v>
      </c>
      <c r="G177" s="48">
        <v>9500.0</v>
      </c>
      <c r="H177" s="48">
        <v>6000.0</v>
      </c>
      <c r="I177" s="48">
        <v>5000.0</v>
      </c>
      <c r="J177" s="72">
        <f t="shared" si="1"/>
        <v>6833.333333</v>
      </c>
      <c r="K177" s="55"/>
      <c r="L177" s="50">
        <v>1972.0</v>
      </c>
      <c r="M177" s="34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>
      <c r="A178" s="39"/>
      <c r="B178" s="50">
        <v>167.0</v>
      </c>
      <c r="C178" s="71"/>
      <c r="D178" s="49" t="s">
        <v>1547</v>
      </c>
      <c r="E178" s="49" t="s">
        <v>1548</v>
      </c>
      <c r="F178" s="49" t="s">
        <v>91</v>
      </c>
      <c r="G178" s="48">
        <v>9500.0</v>
      </c>
      <c r="H178" s="76"/>
      <c r="I178" s="76"/>
      <c r="J178" s="72">
        <f t="shared" si="1"/>
        <v>9500</v>
      </c>
      <c r="K178" s="55"/>
      <c r="L178" s="50">
        <v>1957.0</v>
      </c>
      <c r="M178" s="34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>
      <c r="A179" s="39"/>
      <c r="B179" s="50">
        <v>168.0</v>
      </c>
      <c r="C179" s="55"/>
      <c r="D179" s="49" t="s">
        <v>1549</v>
      </c>
      <c r="E179" s="49" t="s">
        <v>1541</v>
      </c>
      <c r="F179" s="49" t="s">
        <v>80</v>
      </c>
      <c r="G179" s="48">
        <v>9500.0</v>
      </c>
      <c r="H179" s="48">
        <v>6474.0</v>
      </c>
      <c r="I179" s="48">
        <v>6082.0</v>
      </c>
      <c r="J179" s="72">
        <f t="shared" si="1"/>
        <v>7352</v>
      </c>
      <c r="K179" s="47" t="s">
        <v>1550</v>
      </c>
      <c r="L179" s="50">
        <v>2022.0</v>
      </c>
      <c r="M179" s="34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>
      <c r="A180" s="39"/>
      <c r="B180" s="50">
        <v>169.0</v>
      </c>
      <c r="C180" s="71"/>
      <c r="D180" s="49" t="s">
        <v>1551</v>
      </c>
      <c r="E180" s="49" t="s">
        <v>1552</v>
      </c>
      <c r="F180" s="49" t="s">
        <v>91</v>
      </c>
      <c r="G180" s="48">
        <v>9440.0</v>
      </c>
      <c r="H180" s="48">
        <v>8362.0</v>
      </c>
      <c r="I180" s="48">
        <v>6176.0</v>
      </c>
      <c r="J180" s="72">
        <f t="shared" si="1"/>
        <v>7992.666667</v>
      </c>
      <c r="K180" s="55"/>
      <c r="L180" s="50">
        <v>1985.0</v>
      </c>
      <c r="M180" s="34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>
      <c r="A181" s="39"/>
      <c r="B181" s="50">
        <v>170.0</v>
      </c>
      <c r="C181" s="71"/>
      <c r="D181" s="49" t="s">
        <v>1553</v>
      </c>
      <c r="E181" s="49" t="s">
        <v>72</v>
      </c>
      <c r="F181" s="49" t="s">
        <v>61</v>
      </c>
      <c r="G181" s="48">
        <v>9400.0</v>
      </c>
      <c r="H181" s="48">
        <v>8265.0</v>
      </c>
      <c r="I181" s="48">
        <v>7344.0</v>
      </c>
      <c r="J181" s="72">
        <f t="shared" si="1"/>
        <v>8336.333333</v>
      </c>
      <c r="K181" s="55"/>
      <c r="L181" s="50">
        <v>1983.0</v>
      </c>
      <c r="M181" s="34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>
      <c r="A182" s="39"/>
      <c r="B182" s="50">
        <v>171.0</v>
      </c>
      <c r="C182" s="55"/>
      <c r="D182" s="49" t="s">
        <v>1554</v>
      </c>
      <c r="E182" s="49" t="s">
        <v>989</v>
      </c>
      <c r="F182" s="49" t="s">
        <v>61</v>
      </c>
      <c r="G182" s="48">
        <v>9353.0</v>
      </c>
      <c r="H182" s="48">
        <v>8563.0</v>
      </c>
      <c r="I182" s="48">
        <v>7278.0</v>
      </c>
      <c r="J182" s="72">
        <f t="shared" si="1"/>
        <v>8398</v>
      </c>
      <c r="K182" s="55"/>
      <c r="L182" s="50" t="s">
        <v>1555</v>
      </c>
      <c r="M182" s="34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>
      <c r="A183" s="39"/>
      <c r="B183" s="50">
        <v>172.0</v>
      </c>
      <c r="C183" s="55"/>
      <c r="D183" s="49" t="s">
        <v>1556</v>
      </c>
      <c r="E183" s="49" t="s">
        <v>1083</v>
      </c>
      <c r="F183" s="49" t="s">
        <v>80</v>
      </c>
      <c r="G183" s="48">
        <v>9252.0</v>
      </c>
      <c r="H183" s="48">
        <v>8500.0</v>
      </c>
      <c r="I183" s="48">
        <v>7182.0</v>
      </c>
      <c r="J183" s="72">
        <f t="shared" si="1"/>
        <v>8311.333333</v>
      </c>
      <c r="K183" s="47" t="s">
        <v>1557</v>
      </c>
      <c r="L183" s="50">
        <v>1968.0</v>
      </c>
      <c r="M183" s="34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>
      <c r="A184" s="39"/>
      <c r="B184" s="50">
        <v>173.0</v>
      </c>
      <c r="C184" s="71"/>
      <c r="D184" s="49" t="s">
        <v>1558</v>
      </c>
      <c r="E184" s="49" t="s">
        <v>87</v>
      </c>
      <c r="F184" s="49" t="s">
        <v>61</v>
      </c>
      <c r="G184" s="48">
        <v>9200.0</v>
      </c>
      <c r="H184" s="76"/>
      <c r="I184" s="48">
        <v>7428.0</v>
      </c>
      <c r="J184" s="72">
        <f t="shared" si="1"/>
        <v>8314</v>
      </c>
      <c r="K184" s="55"/>
      <c r="L184" s="50">
        <v>1957.0</v>
      </c>
      <c r="M184" s="49" t="s">
        <v>1246</v>
      </c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>
      <c r="A185" s="39"/>
      <c r="B185" s="50">
        <v>174.0</v>
      </c>
      <c r="C185" s="71"/>
      <c r="D185" s="49" t="s">
        <v>1559</v>
      </c>
      <c r="E185" s="49" t="s">
        <v>1560</v>
      </c>
      <c r="F185" s="49" t="s">
        <v>80</v>
      </c>
      <c r="G185" s="48">
        <v>9167.0</v>
      </c>
      <c r="H185" s="48">
        <v>7255.0</v>
      </c>
      <c r="I185" s="48">
        <v>6557.0</v>
      </c>
      <c r="J185" s="72">
        <f t="shared" si="1"/>
        <v>7659.666667</v>
      </c>
      <c r="K185" s="55"/>
      <c r="L185" s="50">
        <v>1973.0</v>
      </c>
      <c r="M185" s="34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>
      <c r="A186" s="39"/>
      <c r="B186" s="50">
        <v>175.0</v>
      </c>
      <c r="C186" s="71"/>
      <c r="D186" s="49" t="s">
        <v>1561</v>
      </c>
      <c r="E186" s="49" t="s">
        <v>411</v>
      </c>
      <c r="F186" s="49" t="s">
        <v>84</v>
      </c>
      <c r="G186" s="48">
        <v>9100.0</v>
      </c>
      <c r="H186" s="48">
        <v>8700.0</v>
      </c>
      <c r="I186" s="48">
        <v>7500.0</v>
      </c>
      <c r="J186" s="72">
        <f t="shared" si="1"/>
        <v>8433.333333</v>
      </c>
      <c r="K186" s="55"/>
      <c r="L186" s="50">
        <v>1967.0</v>
      </c>
      <c r="M186" s="49" t="s">
        <v>1261</v>
      </c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>
      <c r="A187" s="39"/>
      <c r="B187" s="50">
        <v>176.0</v>
      </c>
      <c r="C187" s="55"/>
      <c r="D187" s="49" t="s">
        <v>1562</v>
      </c>
      <c r="E187" s="49" t="s">
        <v>474</v>
      </c>
      <c r="F187" s="49" t="s">
        <v>475</v>
      </c>
      <c r="G187" s="48">
        <v>9048.0</v>
      </c>
      <c r="H187" s="48">
        <v>8250.0</v>
      </c>
      <c r="I187" s="48">
        <v>7136.0</v>
      </c>
      <c r="J187" s="72">
        <f t="shared" si="1"/>
        <v>8144.666667</v>
      </c>
      <c r="K187" s="55"/>
      <c r="L187" s="55"/>
      <c r="M187" s="34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>
      <c r="A188" s="39"/>
      <c r="B188" s="50">
        <v>177.0</v>
      </c>
      <c r="C188" s="71"/>
      <c r="D188" s="49" t="s">
        <v>1563</v>
      </c>
      <c r="E188" s="49" t="s">
        <v>231</v>
      </c>
      <c r="F188" s="49" t="s">
        <v>232</v>
      </c>
      <c r="G188" s="48">
        <v>9037.0</v>
      </c>
      <c r="H188" s="48">
        <v>8193.0</v>
      </c>
      <c r="I188" s="48">
        <v>7773.0</v>
      </c>
      <c r="J188" s="72">
        <f t="shared" si="1"/>
        <v>8334.333333</v>
      </c>
      <c r="K188" s="47" t="s">
        <v>1564</v>
      </c>
      <c r="L188" s="50">
        <v>2003.0</v>
      </c>
      <c r="M188" s="34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>
      <c r="A189" s="39"/>
      <c r="B189" s="50">
        <v>178.0</v>
      </c>
      <c r="C189" s="71"/>
      <c r="D189" s="49" t="s">
        <v>1565</v>
      </c>
      <c r="E189" s="49" t="s">
        <v>810</v>
      </c>
      <c r="F189" s="49" t="s">
        <v>65</v>
      </c>
      <c r="G189" s="48">
        <v>9000.0</v>
      </c>
      <c r="H189" s="48">
        <v>8500.0</v>
      </c>
      <c r="I189" s="76"/>
      <c r="J189" s="72">
        <f t="shared" si="1"/>
        <v>8750</v>
      </c>
      <c r="K189" s="55"/>
      <c r="L189" s="50">
        <v>1977.0</v>
      </c>
      <c r="M189" s="34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>
      <c r="A190" s="39"/>
      <c r="B190" s="50">
        <v>179.0</v>
      </c>
      <c r="C190" s="55"/>
      <c r="D190" s="47" t="s">
        <v>1566</v>
      </c>
      <c r="E190" s="49" t="s">
        <v>623</v>
      </c>
      <c r="F190" s="49" t="s">
        <v>325</v>
      </c>
      <c r="G190" s="48">
        <v>9000.0</v>
      </c>
      <c r="H190" s="48">
        <v>8400.0</v>
      </c>
      <c r="I190" s="48">
        <v>7280.0</v>
      </c>
      <c r="J190" s="72">
        <f t="shared" si="1"/>
        <v>8226.666667</v>
      </c>
      <c r="K190" s="55"/>
      <c r="L190" s="50">
        <v>1997.0</v>
      </c>
      <c r="M190" s="34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>
      <c r="A191" s="39"/>
      <c r="B191" s="50">
        <v>180.0</v>
      </c>
      <c r="C191" s="55"/>
      <c r="D191" s="49" t="s">
        <v>1567</v>
      </c>
      <c r="E191" s="49" t="s">
        <v>1568</v>
      </c>
      <c r="F191" s="49" t="s">
        <v>69</v>
      </c>
      <c r="G191" s="48">
        <v>9000.0</v>
      </c>
      <c r="H191" s="48">
        <v>8175.0</v>
      </c>
      <c r="I191" s="48">
        <v>7064.0</v>
      </c>
      <c r="J191" s="72">
        <f t="shared" si="1"/>
        <v>8079.666667</v>
      </c>
      <c r="K191" s="55"/>
      <c r="L191" s="50">
        <v>2022.0</v>
      </c>
      <c r="M191" s="34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>
      <c r="A192" s="39"/>
      <c r="B192" s="50">
        <v>181.0</v>
      </c>
      <c r="C192" s="55"/>
      <c r="D192" s="49" t="s">
        <v>1569</v>
      </c>
      <c r="E192" s="49" t="s">
        <v>623</v>
      </c>
      <c r="F192" s="49" t="s">
        <v>1107</v>
      </c>
      <c r="G192" s="48">
        <v>9000.0</v>
      </c>
      <c r="H192" s="48">
        <v>6746.0</v>
      </c>
      <c r="I192" s="48">
        <v>6733.0</v>
      </c>
      <c r="J192" s="72">
        <f t="shared" si="1"/>
        <v>7493</v>
      </c>
      <c r="K192" s="47" t="s">
        <v>1570</v>
      </c>
      <c r="L192" s="50">
        <v>1977.0</v>
      </c>
      <c r="M192" s="34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>
      <c r="A193" s="39"/>
      <c r="B193" s="50">
        <v>182.0</v>
      </c>
      <c r="C193" s="71"/>
      <c r="D193" s="49" t="s">
        <v>1571</v>
      </c>
      <c r="E193" s="49" t="s">
        <v>416</v>
      </c>
      <c r="F193" s="49" t="s">
        <v>61</v>
      </c>
      <c r="G193" s="48">
        <v>9000.0</v>
      </c>
      <c r="H193" s="48">
        <v>6000.0</v>
      </c>
      <c r="I193" s="48">
        <v>5600.0</v>
      </c>
      <c r="J193" s="72">
        <f t="shared" si="1"/>
        <v>6866.666667</v>
      </c>
      <c r="K193" s="55"/>
      <c r="L193" s="50">
        <v>1953.0</v>
      </c>
      <c r="M193" s="34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>
      <c r="A194" s="39"/>
      <c r="B194" s="50">
        <v>183.0</v>
      </c>
      <c r="C194" s="55"/>
      <c r="D194" s="49" t="s">
        <v>1572</v>
      </c>
      <c r="E194" s="49" t="s">
        <v>1573</v>
      </c>
      <c r="F194" s="49" t="s">
        <v>184</v>
      </c>
      <c r="G194" s="48">
        <v>9000.0</v>
      </c>
      <c r="H194" s="48">
        <v>7800.0</v>
      </c>
      <c r="I194" s="48">
        <v>6700.0</v>
      </c>
      <c r="J194" s="72">
        <f t="shared" si="1"/>
        <v>7833.333333</v>
      </c>
      <c r="K194" s="55"/>
      <c r="L194" s="50">
        <v>2002.0</v>
      </c>
      <c r="M194" s="34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>
      <c r="A195" s="39"/>
      <c r="B195" s="50">
        <v>184.0</v>
      </c>
      <c r="C195" s="55"/>
      <c r="D195" s="49" t="s">
        <v>1574</v>
      </c>
      <c r="E195" s="49" t="s">
        <v>1110</v>
      </c>
      <c r="F195" s="49" t="s">
        <v>53</v>
      </c>
      <c r="G195" s="48">
        <v>9000.0</v>
      </c>
      <c r="H195" s="48">
        <v>8000.0</v>
      </c>
      <c r="I195" s="48">
        <v>7083.0</v>
      </c>
      <c r="J195" s="72">
        <f t="shared" si="1"/>
        <v>8027.666667</v>
      </c>
      <c r="K195" s="47" t="s">
        <v>1575</v>
      </c>
      <c r="L195" s="50">
        <v>2001.0</v>
      </c>
      <c r="M195" s="49" t="s">
        <v>1213</v>
      </c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>
      <c r="A196" s="39"/>
      <c r="B196" s="50">
        <v>185.0</v>
      </c>
      <c r="C196" s="71"/>
      <c r="D196" s="49" t="s">
        <v>1576</v>
      </c>
      <c r="E196" s="49" t="s">
        <v>719</v>
      </c>
      <c r="F196" s="49" t="s">
        <v>76</v>
      </c>
      <c r="G196" s="48">
        <v>9000.0</v>
      </c>
      <c r="H196" s="48">
        <v>7198.0</v>
      </c>
      <c r="I196" s="48">
        <v>6602.0</v>
      </c>
      <c r="J196" s="72">
        <f t="shared" si="1"/>
        <v>7600</v>
      </c>
      <c r="K196" s="47" t="s">
        <v>1577</v>
      </c>
      <c r="L196" s="50">
        <v>1975.0</v>
      </c>
      <c r="M196" s="34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>
      <c r="A197" s="39"/>
      <c r="B197" s="50">
        <v>186.0</v>
      </c>
      <c r="C197" s="71"/>
      <c r="D197" s="49" t="s">
        <v>1578</v>
      </c>
      <c r="E197" s="49" t="s">
        <v>405</v>
      </c>
      <c r="F197" s="49" t="s">
        <v>143</v>
      </c>
      <c r="G197" s="48">
        <v>9000.0</v>
      </c>
      <c r="H197" s="48">
        <v>8099.0</v>
      </c>
      <c r="I197" s="48">
        <v>7343.0</v>
      </c>
      <c r="J197" s="72">
        <f t="shared" si="1"/>
        <v>8147.333333</v>
      </c>
      <c r="K197" s="47" t="s">
        <v>1579</v>
      </c>
      <c r="L197" s="50">
        <v>1997.0</v>
      </c>
      <c r="M197" s="34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>
      <c r="A198" s="39"/>
      <c r="B198" s="50">
        <v>187.0</v>
      </c>
      <c r="C198" s="55"/>
      <c r="D198" s="49" t="s">
        <v>1580</v>
      </c>
      <c r="E198" s="49" t="s">
        <v>1581</v>
      </c>
      <c r="F198" s="49" t="s">
        <v>61</v>
      </c>
      <c r="G198" s="48">
        <v>9000.0</v>
      </c>
      <c r="H198" s="48">
        <v>7838.0</v>
      </c>
      <c r="I198" s="76"/>
      <c r="J198" s="72">
        <f t="shared" si="1"/>
        <v>8419</v>
      </c>
      <c r="K198" s="47" t="s">
        <v>1582</v>
      </c>
      <c r="L198" s="50">
        <v>2018.0</v>
      </c>
      <c r="M198" s="34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>
      <c r="A199" s="39"/>
      <c r="B199" s="50">
        <v>188.0</v>
      </c>
      <c r="C199" s="55"/>
      <c r="D199" s="49" t="s">
        <v>1583</v>
      </c>
      <c r="E199" s="49" t="s">
        <v>608</v>
      </c>
      <c r="F199" s="49" t="s">
        <v>57</v>
      </c>
      <c r="G199" s="48">
        <v>9000.0</v>
      </c>
      <c r="H199" s="48">
        <v>5000.0</v>
      </c>
      <c r="I199" s="48">
        <v>3218.0</v>
      </c>
      <c r="J199" s="72">
        <f t="shared" si="1"/>
        <v>5739.333333</v>
      </c>
      <c r="K199" s="55"/>
      <c r="L199" s="50">
        <v>1987.0</v>
      </c>
      <c r="M199" s="34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>
      <c r="A200" s="39"/>
      <c r="B200" s="50">
        <v>189.0</v>
      </c>
      <c r="C200" s="55"/>
      <c r="D200" s="49" t="s">
        <v>1584</v>
      </c>
      <c r="E200" s="49" t="s">
        <v>1585</v>
      </c>
      <c r="F200" s="49" t="s">
        <v>163</v>
      </c>
      <c r="G200" s="48">
        <v>9000.0</v>
      </c>
      <c r="H200" s="48">
        <v>4000.0</v>
      </c>
      <c r="I200" s="48">
        <v>4000.0</v>
      </c>
      <c r="J200" s="72">
        <f t="shared" si="1"/>
        <v>5666.666667</v>
      </c>
      <c r="K200" s="55"/>
      <c r="L200" s="50">
        <v>1927.0</v>
      </c>
      <c r="M200" s="34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>
      <c r="A201" s="39"/>
      <c r="B201" s="50">
        <v>190.0</v>
      </c>
      <c r="C201" s="55"/>
      <c r="D201" s="49" t="s">
        <v>1586</v>
      </c>
      <c r="E201" s="49" t="s">
        <v>1535</v>
      </c>
      <c r="F201" s="49" t="s">
        <v>184</v>
      </c>
      <c r="G201" s="48">
        <v>8973.0</v>
      </c>
      <c r="H201" s="48">
        <v>8016.0</v>
      </c>
      <c r="I201" s="48">
        <v>6290.0</v>
      </c>
      <c r="J201" s="72">
        <f t="shared" si="1"/>
        <v>7759.666667</v>
      </c>
      <c r="K201" s="55"/>
      <c r="L201" s="50">
        <v>2020.0</v>
      </c>
      <c r="M201" s="34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>
      <c r="A202" s="39"/>
      <c r="B202" s="50">
        <v>191.0</v>
      </c>
      <c r="C202" s="71"/>
      <c r="D202" s="49" t="s">
        <v>1587</v>
      </c>
      <c r="E202" s="49" t="s">
        <v>355</v>
      </c>
      <c r="F202" s="49" t="s">
        <v>247</v>
      </c>
      <c r="G202" s="48">
        <v>8962.0</v>
      </c>
      <c r="H202" s="48">
        <v>7712.0</v>
      </c>
      <c r="I202" s="48">
        <v>6791.0</v>
      </c>
      <c r="J202" s="72">
        <f t="shared" si="1"/>
        <v>7821.666667</v>
      </c>
      <c r="K202" s="47" t="s">
        <v>1588</v>
      </c>
      <c r="L202" s="50">
        <v>1971.0</v>
      </c>
      <c r="M202" s="34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>
      <c r="A203" s="39"/>
      <c r="B203" s="50">
        <v>192.0</v>
      </c>
      <c r="C203" s="71"/>
      <c r="D203" s="49" t="s">
        <v>1589</v>
      </c>
      <c r="E203" s="49" t="s">
        <v>813</v>
      </c>
      <c r="F203" s="49" t="s">
        <v>262</v>
      </c>
      <c r="G203" s="48">
        <v>8900.0</v>
      </c>
      <c r="H203" s="76"/>
      <c r="I203" s="76"/>
      <c r="J203" s="72">
        <f t="shared" si="1"/>
        <v>8900</v>
      </c>
      <c r="K203" s="55"/>
      <c r="L203" s="50">
        <v>1978.0</v>
      </c>
      <c r="M203" s="34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>
      <c r="A204" s="39"/>
      <c r="B204" s="50">
        <v>193.0</v>
      </c>
      <c r="C204" s="55"/>
      <c r="D204" s="49" t="s">
        <v>1590</v>
      </c>
      <c r="E204" s="49" t="s">
        <v>565</v>
      </c>
      <c r="F204" s="49" t="s">
        <v>114</v>
      </c>
      <c r="G204" s="48">
        <v>8900.0</v>
      </c>
      <c r="H204" s="48">
        <v>7500.0</v>
      </c>
      <c r="I204" s="48">
        <v>7111.0</v>
      </c>
      <c r="J204" s="72">
        <f t="shared" si="1"/>
        <v>7837</v>
      </c>
      <c r="K204" s="55"/>
      <c r="L204" s="50">
        <v>1964.0</v>
      </c>
      <c r="M204" s="34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>
      <c r="A205" s="39"/>
      <c r="B205" s="50">
        <v>194.0</v>
      </c>
      <c r="C205" s="71"/>
      <c r="D205" s="49" t="s">
        <v>1591</v>
      </c>
      <c r="E205" s="49" t="s">
        <v>372</v>
      </c>
      <c r="F205" s="49" t="s">
        <v>760</v>
      </c>
      <c r="G205" s="48">
        <v>8733.0</v>
      </c>
      <c r="H205" s="48">
        <v>7775.0</v>
      </c>
      <c r="I205" s="48">
        <v>6500.0</v>
      </c>
      <c r="J205" s="72">
        <f t="shared" si="1"/>
        <v>7669.333333</v>
      </c>
      <c r="K205" s="55"/>
      <c r="L205" s="50">
        <v>1964.0</v>
      </c>
      <c r="M205" s="34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>
      <c r="A206" s="39"/>
      <c r="B206" s="50">
        <v>195.0</v>
      </c>
      <c r="C206" s="71"/>
      <c r="D206" s="49" t="s">
        <v>1592</v>
      </c>
      <c r="E206" s="49" t="s">
        <v>1593</v>
      </c>
      <c r="F206" s="49" t="s">
        <v>61</v>
      </c>
      <c r="G206" s="48">
        <v>8700.0</v>
      </c>
      <c r="H206" s="48">
        <v>8000.0</v>
      </c>
      <c r="I206" s="48">
        <v>6863.0</v>
      </c>
      <c r="J206" s="72">
        <f t="shared" si="1"/>
        <v>7854.333333</v>
      </c>
      <c r="K206" s="47" t="s">
        <v>1594</v>
      </c>
      <c r="L206" s="50">
        <v>2009.0</v>
      </c>
      <c r="M206" s="34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>
      <c r="A207" s="39"/>
      <c r="B207" s="50">
        <v>196.0</v>
      </c>
      <c r="C207" s="55"/>
      <c r="D207" s="49" t="s">
        <v>1595</v>
      </c>
      <c r="E207" s="49" t="s">
        <v>1596</v>
      </c>
      <c r="F207" s="49" t="s">
        <v>180</v>
      </c>
      <c r="G207" s="48">
        <v>8676.0</v>
      </c>
      <c r="H207" s="48">
        <v>3664.0</v>
      </c>
      <c r="I207" s="48">
        <v>2684.0</v>
      </c>
      <c r="J207" s="72">
        <f t="shared" si="1"/>
        <v>5008</v>
      </c>
      <c r="K207" s="55"/>
      <c r="L207" s="50">
        <v>2009.0</v>
      </c>
      <c r="M207" s="34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>
      <c r="A208" s="39"/>
      <c r="B208" s="50">
        <v>197.0</v>
      </c>
      <c r="C208" s="71"/>
      <c r="D208" s="49" t="s">
        <v>1597</v>
      </c>
      <c r="E208" s="49" t="s">
        <v>1598</v>
      </c>
      <c r="F208" s="49" t="s">
        <v>1599</v>
      </c>
      <c r="G208" s="48">
        <v>8674.0</v>
      </c>
      <c r="H208" s="48">
        <v>7900.0</v>
      </c>
      <c r="I208" s="48">
        <v>6399.0</v>
      </c>
      <c r="J208" s="72">
        <f t="shared" si="1"/>
        <v>7657.666667</v>
      </c>
      <c r="K208" s="55"/>
      <c r="L208" s="50">
        <v>1983.0</v>
      </c>
      <c r="M208" s="34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>
      <c r="A209" s="39"/>
      <c r="B209" s="50">
        <v>198.0</v>
      </c>
      <c r="C209" s="55"/>
      <c r="D209" s="47" t="s">
        <v>1600</v>
      </c>
      <c r="E209" s="49" t="s">
        <v>1601</v>
      </c>
      <c r="F209" s="49" t="s">
        <v>124</v>
      </c>
      <c r="G209" s="48">
        <v>8592.0</v>
      </c>
      <c r="H209" s="76"/>
      <c r="I209" s="48">
        <v>5982.0</v>
      </c>
      <c r="J209" s="72">
        <f t="shared" si="1"/>
        <v>7287</v>
      </c>
      <c r="K209" s="55"/>
      <c r="L209" s="50">
        <v>2008.0</v>
      </c>
      <c r="M209" s="34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>
      <c r="A210" s="39"/>
      <c r="B210" s="50">
        <v>199.0</v>
      </c>
      <c r="C210" s="71"/>
      <c r="D210" s="49" t="s">
        <v>1602</v>
      </c>
      <c r="E210" s="49" t="s">
        <v>537</v>
      </c>
      <c r="F210" s="49" t="s">
        <v>304</v>
      </c>
      <c r="G210" s="48">
        <v>8500.0</v>
      </c>
      <c r="H210" s="48">
        <v>6785.0</v>
      </c>
      <c r="I210" s="48">
        <v>5771.0</v>
      </c>
      <c r="J210" s="72">
        <f t="shared" si="1"/>
        <v>7018.666667</v>
      </c>
      <c r="K210" s="55"/>
      <c r="L210" s="50">
        <v>1976.0</v>
      </c>
      <c r="M210" s="34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>
      <c r="A211" s="39"/>
      <c r="B211" s="50">
        <v>200.0</v>
      </c>
      <c r="C211" s="55"/>
      <c r="D211" s="49" t="s">
        <v>1603</v>
      </c>
      <c r="E211" s="49" t="s">
        <v>1395</v>
      </c>
      <c r="F211" s="49" t="s">
        <v>214</v>
      </c>
      <c r="G211" s="48">
        <v>8500.0</v>
      </c>
      <c r="H211" s="48">
        <v>7200.0</v>
      </c>
      <c r="I211" s="48">
        <v>6600.0</v>
      </c>
      <c r="J211" s="72">
        <f t="shared" si="1"/>
        <v>7433.333333</v>
      </c>
      <c r="K211" s="47" t="s">
        <v>1604</v>
      </c>
      <c r="L211" s="50">
        <v>2010.0</v>
      </c>
      <c r="M211" s="34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>
      <c r="A212" s="39"/>
      <c r="B212" s="50">
        <v>201.0</v>
      </c>
      <c r="C212" s="71"/>
      <c r="D212" s="49" t="s">
        <v>1605</v>
      </c>
      <c r="E212" s="49" t="s">
        <v>1606</v>
      </c>
      <c r="F212" s="49" t="s">
        <v>91</v>
      </c>
      <c r="G212" s="48">
        <v>8500.0</v>
      </c>
      <c r="H212" s="48">
        <v>7128.0</v>
      </c>
      <c r="I212" s="48">
        <v>7081.0</v>
      </c>
      <c r="J212" s="72">
        <f t="shared" si="1"/>
        <v>7569.666667</v>
      </c>
      <c r="K212" s="47" t="s">
        <v>1607</v>
      </c>
      <c r="L212" s="50">
        <v>1998.0</v>
      </c>
      <c r="M212" s="34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>
      <c r="A213" s="39"/>
      <c r="B213" s="50">
        <v>202.0</v>
      </c>
      <c r="C213" s="55"/>
      <c r="D213" s="49" t="s">
        <v>1608</v>
      </c>
      <c r="E213" s="49" t="s">
        <v>816</v>
      </c>
      <c r="F213" s="49" t="s">
        <v>243</v>
      </c>
      <c r="G213" s="48">
        <v>8500.0</v>
      </c>
      <c r="H213" s="76"/>
      <c r="I213" s="48">
        <v>6500.0</v>
      </c>
      <c r="J213" s="72">
        <f t="shared" si="1"/>
        <v>7500</v>
      </c>
      <c r="K213" s="55"/>
      <c r="L213" s="50">
        <v>1988.0</v>
      </c>
      <c r="M213" s="34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>
      <c r="A214" s="39"/>
      <c r="B214" s="50">
        <v>203.0</v>
      </c>
      <c r="C214" s="71"/>
      <c r="D214" s="49" t="s">
        <v>1609</v>
      </c>
      <c r="E214" s="49" t="s">
        <v>159</v>
      </c>
      <c r="F214" s="49" t="s">
        <v>61</v>
      </c>
      <c r="G214" s="48">
        <v>8500.0</v>
      </c>
      <c r="H214" s="48">
        <v>6500.0</v>
      </c>
      <c r="I214" s="48">
        <v>6000.0</v>
      </c>
      <c r="J214" s="72">
        <f t="shared" si="1"/>
        <v>7000</v>
      </c>
      <c r="K214" s="55"/>
      <c r="L214" s="50">
        <v>1974.0</v>
      </c>
      <c r="M214" s="49" t="s">
        <v>1305</v>
      </c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>
      <c r="A215" s="39"/>
      <c r="B215" s="50">
        <v>204.0</v>
      </c>
      <c r="C215" s="55"/>
      <c r="D215" s="49" t="s">
        <v>1610</v>
      </c>
      <c r="E215" s="49" t="s">
        <v>862</v>
      </c>
      <c r="F215" s="49" t="s">
        <v>139</v>
      </c>
      <c r="G215" s="48">
        <v>8500.0</v>
      </c>
      <c r="H215" s="48">
        <v>5000.0</v>
      </c>
      <c r="I215" s="76"/>
      <c r="J215" s="72">
        <f t="shared" si="1"/>
        <v>6750</v>
      </c>
      <c r="K215" s="55"/>
      <c r="L215" s="50">
        <v>1976.0</v>
      </c>
      <c r="M215" s="34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</row>
    <row r="216">
      <c r="A216" s="39"/>
      <c r="B216" s="50">
        <v>205.0</v>
      </c>
      <c r="C216" s="55"/>
      <c r="D216" s="49" t="s">
        <v>1611</v>
      </c>
      <c r="E216" s="49" t="s">
        <v>285</v>
      </c>
      <c r="F216" s="49" t="s">
        <v>286</v>
      </c>
      <c r="G216" s="48">
        <v>8500.0</v>
      </c>
      <c r="H216" s="48">
        <v>7540.0</v>
      </c>
      <c r="I216" s="48">
        <v>5512.0</v>
      </c>
      <c r="J216" s="72">
        <f t="shared" si="1"/>
        <v>7184</v>
      </c>
      <c r="K216" s="55"/>
      <c r="L216" s="50">
        <v>2009.0</v>
      </c>
      <c r="M216" s="34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>
      <c r="A217" s="39"/>
      <c r="B217" s="50">
        <v>206.0</v>
      </c>
      <c r="C217" s="55"/>
      <c r="D217" s="49" t="s">
        <v>1612</v>
      </c>
      <c r="E217" s="49" t="s">
        <v>1613</v>
      </c>
      <c r="F217" s="49" t="s">
        <v>61</v>
      </c>
      <c r="G217" s="48">
        <v>8300.0</v>
      </c>
      <c r="H217" s="48">
        <v>6960.0</v>
      </c>
      <c r="I217" s="48">
        <v>6500.0</v>
      </c>
      <c r="J217" s="72">
        <f t="shared" si="1"/>
        <v>7253.333333</v>
      </c>
      <c r="K217" s="55"/>
      <c r="L217" s="50">
        <v>1983.0</v>
      </c>
      <c r="M217" s="34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>
      <c r="A218" s="39"/>
      <c r="B218" s="50">
        <v>207.0</v>
      </c>
      <c r="C218" s="55"/>
      <c r="D218" s="49" t="s">
        <v>1614</v>
      </c>
      <c r="E218" s="49" t="s">
        <v>1615</v>
      </c>
      <c r="F218" s="49" t="s">
        <v>80</v>
      </c>
      <c r="G218" s="48">
        <v>8250.0</v>
      </c>
      <c r="H218" s="48">
        <v>5002.0</v>
      </c>
      <c r="I218" s="76"/>
      <c r="J218" s="72">
        <f t="shared" si="1"/>
        <v>6626</v>
      </c>
      <c r="K218" s="55"/>
      <c r="L218" s="50">
        <v>1990.0</v>
      </c>
      <c r="M218" s="34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>
      <c r="A219" s="39"/>
      <c r="B219" s="50">
        <v>208.0</v>
      </c>
      <c r="C219" s="55"/>
      <c r="D219" s="49" t="s">
        <v>1616</v>
      </c>
      <c r="E219" s="49" t="s">
        <v>1617</v>
      </c>
      <c r="F219" s="49" t="s">
        <v>143</v>
      </c>
      <c r="G219" s="48">
        <v>8225.0</v>
      </c>
      <c r="H219" s="76"/>
      <c r="I219" s="76"/>
      <c r="J219" s="72">
        <f t="shared" si="1"/>
        <v>8225</v>
      </c>
      <c r="K219" s="55"/>
      <c r="L219" s="50">
        <v>1995.0</v>
      </c>
      <c r="M219" s="34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</row>
    <row r="220">
      <c r="A220" s="39"/>
      <c r="B220" s="50">
        <v>209.0</v>
      </c>
      <c r="C220" s="71"/>
      <c r="D220" s="49" t="s">
        <v>1618</v>
      </c>
      <c r="E220" s="49" t="s">
        <v>1619</v>
      </c>
      <c r="F220" s="49" t="s">
        <v>214</v>
      </c>
      <c r="G220" s="48">
        <v>8200.0</v>
      </c>
      <c r="H220" s="48">
        <v>5705.0</v>
      </c>
      <c r="I220" s="48">
        <v>5280.0</v>
      </c>
      <c r="J220" s="72">
        <f t="shared" si="1"/>
        <v>6395</v>
      </c>
      <c r="K220" s="47" t="s">
        <v>1620</v>
      </c>
      <c r="L220" s="50">
        <v>1995.0</v>
      </c>
      <c r="M220" s="34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</row>
    <row r="221">
      <c r="A221" s="39"/>
      <c r="B221" s="50">
        <v>210.0</v>
      </c>
      <c r="C221" s="71"/>
      <c r="D221" s="49" t="s">
        <v>1621</v>
      </c>
      <c r="E221" s="49" t="s">
        <v>813</v>
      </c>
      <c r="F221" s="49" t="s">
        <v>218</v>
      </c>
      <c r="G221" s="48">
        <v>8177.0</v>
      </c>
      <c r="H221" s="48">
        <v>7525.0</v>
      </c>
      <c r="I221" s="48">
        <v>6789.0</v>
      </c>
      <c r="J221" s="72">
        <f t="shared" si="1"/>
        <v>7497</v>
      </c>
      <c r="K221" s="47" t="s">
        <v>1622</v>
      </c>
      <c r="L221" s="50">
        <v>1972.0</v>
      </c>
      <c r="M221" s="34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</row>
    <row r="222">
      <c r="A222" s="39"/>
      <c r="B222" s="50">
        <v>211.0</v>
      </c>
      <c r="C222" s="55"/>
      <c r="D222" s="49" t="s">
        <v>1399</v>
      </c>
      <c r="E222" s="49" t="s">
        <v>1623</v>
      </c>
      <c r="F222" s="49" t="s">
        <v>475</v>
      </c>
      <c r="G222" s="48">
        <v>8137.0</v>
      </c>
      <c r="H222" s="76"/>
      <c r="I222" s="48">
        <v>5137.0</v>
      </c>
      <c r="J222" s="72">
        <f t="shared" si="1"/>
        <v>6637</v>
      </c>
      <c r="K222" s="55"/>
      <c r="L222" s="55"/>
      <c r="M222" s="34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</row>
    <row r="223">
      <c r="A223" s="39"/>
      <c r="B223" s="50">
        <v>212.0</v>
      </c>
      <c r="C223" s="71"/>
      <c r="D223" s="49" t="s">
        <v>1624</v>
      </c>
      <c r="E223" s="49" t="s">
        <v>1625</v>
      </c>
      <c r="F223" s="49" t="s">
        <v>61</v>
      </c>
      <c r="G223" s="48">
        <v>8100.0</v>
      </c>
      <c r="H223" s="48">
        <v>7080.0</v>
      </c>
      <c r="I223" s="48">
        <v>6225.0</v>
      </c>
      <c r="J223" s="72">
        <f t="shared" si="1"/>
        <v>7135</v>
      </c>
      <c r="K223" s="47" t="s">
        <v>1626</v>
      </c>
      <c r="L223" s="50">
        <v>2009.0</v>
      </c>
      <c r="M223" s="49" t="s">
        <v>1246</v>
      </c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</row>
    <row r="224">
      <c r="A224" s="39"/>
      <c r="B224" s="50">
        <v>213.0</v>
      </c>
      <c r="C224" s="55"/>
      <c r="D224" s="49" t="s">
        <v>1627</v>
      </c>
      <c r="E224" s="49" t="s">
        <v>1502</v>
      </c>
      <c r="F224" s="49" t="s">
        <v>91</v>
      </c>
      <c r="G224" s="48">
        <v>8000.0</v>
      </c>
      <c r="H224" s="48">
        <v>8000.0</v>
      </c>
      <c r="I224" s="76"/>
      <c r="J224" s="72">
        <f t="shared" si="1"/>
        <v>8000</v>
      </c>
      <c r="K224" s="55"/>
      <c r="L224" s="50">
        <v>2018.0</v>
      </c>
      <c r="M224" s="34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</row>
    <row r="225">
      <c r="A225" s="39"/>
      <c r="B225" s="50">
        <v>214.0</v>
      </c>
      <c r="C225" s="71"/>
      <c r="D225" s="49" t="s">
        <v>1628</v>
      </c>
      <c r="E225" s="49" t="s">
        <v>1629</v>
      </c>
      <c r="F225" s="49" t="s">
        <v>61</v>
      </c>
      <c r="G225" s="48">
        <v>8000.0</v>
      </c>
      <c r="H225" s="76"/>
      <c r="I225" s="48">
        <v>6559.0</v>
      </c>
      <c r="J225" s="72">
        <f t="shared" si="1"/>
        <v>7279.5</v>
      </c>
      <c r="K225" s="55"/>
      <c r="L225" s="50">
        <v>1987.0</v>
      </c>
      <c r="M225" s="34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</row>
    <row r="226">
      <c r="A226" s="39"/>
      <c r="B226" s="50">
        <v>215.0</v>
      </c>
      <c r="C226" s="55"/>
      <c r="D226" s="49" t="s">
        <v>1630</v>
      </c>
      <c r="E226" s="49" t="s">
        <v>1631</v>
      </c>
      <c r="F226" s="49" t="s">
        <v>114</v>
      </c>
      <c r="G226" s="48">
        <v>8000.0</v>
      </c>
      <c r="H226" s="48">
        <v>6000.0</v>
      </c>
      <c r="I226" s="76"/>
      <c r="J226" s="72">
        <f t="shared" si="1"/>
        <v>7000</v>
      </c>
      <c r="K226" s="55"/>
      <c r="L226" s="50">
        <v>1998.0</v>
      </c>
      <c r="M226" s="34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</row>
    <row r="227">
      <c r="A227" s="39"/>
      <c r="B227" s="50">
        <v>216.0</v>
      </c>
      <c r="C227" s="71"/>
      <c r="D227" s="49" t="s">
        <v>1632</v>
      </c>
      <c r="E227" s="49" t="s">
        <v>808</v>
      </c>
      <c r="F227" s="49" t="s">
        <v>61</v>
      </c>
      <c r="G227" s="48">
        <v>8000.0</v>
      </c>
      <c r="H227" s="76"/>
      <c r="I227" s="48">
        <v>5131.0</v>
      </c>
      <c r="J227" s="72">
        <f t="shared" si="1"/>
        <v>6565.5</v>
      </c>
      <c r="K227" s="55"/>
      <c r="L227" s="50">
        <v>1954.0</v>
      </c>
      <c r="M227" s="34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</row>
    <row r="228">
      <c r="A228" s="39"/>
      <c r="B228" s="50">
        <v>217.0</v>
      </c>
      <c r="C228" s="71"/>
      <c r="D228" s="49" t="s">
        <v>1633</v>
      </c>
      <c r="E228" s="49" t="s">
        <v>868</v>
      </c>
      <c r="F228" s="49" t="s">
        <v>53</v>
      </c>
      <c r="G228" s="48">
        <v>8000.0</v>
      </c>
      <c r="H228" s="76"/>
      <c r="I228" s="48">
        <v>7286.0</v>
      </c>
      <c r="J228" s="72">
        <f t="shared" si="1"/>
        <v>7643</v>
      </c>
      <c r="K228" s="55"/>
      <c r="L228" s="50">
        <v>1936.0</v>
      </c>
      <c r="M228" s="34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</row>
    <row r="229">
      <c r="A229" s="39"/>
      <c r="B229" s="50">
        <v>218.0</v>
      </c>
      <c r="C229" s="71"/>
      <c r="D229" s="49" t="s">
        <v>1634</v>
      </c>
      <c r="E229" s="49" t="s">
        <v>1635</v>
      </c>
      <c r="F229" s="49" t="s">
        <v>110</v>
      </c>
      <c r="G229" s="48">
        <v>8000.0</v>
      </c>
      <c r="H229" s="48">
        <v>6000.0</v>
      </c>
      <c r="I229" s="48">
        <v>5500.0</v>
      </c>
      <c r="J229" s="72">
        <f t="shared" si="1"/>
        <v>6500</v>
      </c>
      <c r="K229" s="55"/>
      <c r="L229" s="50">
        <v>1980.0</v>
      </c>
      <c r="M229" s="34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</row>
    <row r="230">
      <c r="A230" s="39"/>
      <c r="B230" s="50">
        <v>219.0</v>
      </c>
      <c r="C230" s="71"/>
      <c r="D230" s="49" t="s">
        <v>1636</v>
      </c>
      <c r="E230" s="49" t="s">
        <v>376</v>
      </c>
      <c r="F230" s="49" t="s">
        <v>163</v>
      </c>
      <c r="G230" s="48">
        <v>8000.0</v>
      </c>
      <c r="H230" s="48">
        <v>7200.0</v>
      </c>
      <c r="I230" s="48">
        <v>6159.0</v>
      </c>
      <c r="J230" s="72">
        <f t="shared" si="1"/>
        <v>7119.666667</v>
      </c>
      <c r="K230" s="47" t="s">
        <v>1637</v>
      </c>
      <c r="L230" s="50">
        <v>1951.0</v>
      </c>
      <c r="M230" s="34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</row>
    <row r="231">
      <c r="A231" s="39"/>
      <c r="B231" s="50">
        <v>220.0</v>
      </c>
      <c r="C231" s="55"/>
      <c r="D231" s="49" t="s">
        <v>1638</v>
      </c>
      <c r="E231" s="49" t="s">
        <v>620</v>
      </c>
      <c r="F231" s="49" t="s">
        <v>180</v>
      </c>
      <c r="G231" s="48">
        <v>8000.0</v>
      </c>
      <c r="H231" s="48">
        <v>6500.0</v>
      </c>
      <c r="I231" s="48">
        <v>6150.0</v>
      </c>
      <c r="J231" s="72">
        <f t="shared" si="1"/>
        <v>6883.333333</v>
      </c>
      <c r="K231" s="47" t="s">
        <v>1639</v>
      </c>
      <c r="L231" s="50">
        <v>2008.0</v>
      </c>
      <c r="M231" s="49" t="s">
        <v>1200</v>
      </c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</row>
    <row r="232">
      <c r="A232" s="39"/>
      <c r="B232" s="50">
        <v>221.0</v>
      </c>
      <c r="C232" s="55"/>
      <c r="D232" s="49" t="s">
        <v>1640</v>
      </c>
      <c r="E232" s="49" t="s">
        <v>1113</v>
      </c>
      <c r="F232" s="49" t="s">
        <v>783</v>
      </c>
      <c r="G232" s="48">
        <v>8000.0</v>
      </c>
      <c r="H232" s="48">
        <v>6400.0</v>
      </c>
      <c r="I232" s="48">
        <v>4764.0</v>
      </c>
      <c r="J232" s="72">
        <f t="shared" si="1"/>
        <v>6388</v>
      </c>
      <c r="K232" s="55"/>
      <c r="L232" s="50">
        <v>1961.0</v>
      </c>
      <c r="M232" s="34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</row>
    <row r="233">
      <c r="A233" s="39"/>
      <c r="B233" s="50">
        <v>222.0</v>
      </c>
      <c r="C233" s="55"/>
      <c r="D233" s="49" t="s">
        <v>1641</v>
      </c>
      <c r="E233" s="49" t="s">
        <v>810</v>
      </c>
      <c r="F233" s="49" t="s">
        <v>65</v>
      </c>
      <c r="G233" s="48">
        <v>8000.0</v>
      </c>
      <c r="H233" s="48">
        <v>7450.0</v>
      </c>
      <c r="I233" s="48">
        <v>7450.0</v>
      </c>
      <c r="J233" s="72">
        <f t="shared" si="1"/>
        <v>7633.333333</v>
      </c>
      <c r="K233" s="55"/>
      <c r="L233" s="50">
        <v>1972.0</v>
      </c>
      <c r="M233" s="34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</row>
    <row r="234">
      <c r="A234" s="39"/>
      <c r="B234" s="50">
        <v>223.0</v>
      </c>
      <c r="C234" s="71"/>
      <c r="D234" s="49" t="s">
        <v>1642</v>
      </c>
      <c r="E234" s="49" t="s">
        <v>330</v>
      </c>
      <c r="F234" s="49" t="s">
        <v>262</v>
      </c>
      <c r="G234" s="48">
        <v>8000.0</v>
      </c>
      <c r="H234" s="48">
        <v>6900.0</v>
      </c>
      <c r="I234" s="48">
        <v>5600.0</v>
      </c>
      <c r="J234" s="72">
        <f t="shared" si="1"/>
        <v>6833.333333</v>
      </c>
      <c r="K234" s="47" t="s">
        <v>1643</v>
      </c>
      <c r="L234" s="50">
        <v>2006.0</v>
      </c>
      <c r="M234" s="34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</row>
    <row r="235">
      <c r="A235" s="39"/>
      <c r="B235" s="50">
        <v>224.0</v>
      </c>
      <c r="C235" s="71"/>
      <c r="D235" s="49" t="s">
        <v>1644</v>
      </c>
      <c r="E235" s="49" t="s">
        <v>397</v>
      </c>
      <c r="F235" s="49" t="s">
        <v>61</v>
      </c>
      <c r="G235" s="48">
        <v>8000.0</v>
      </c>
      <c r="H235" s="76"/>
      <c r="I235" s="48">
        <v>5694.0</v>
      </c>
      <c r="J235" s="72">
        <f t="shared" si="1"/>
        <v>6847</v>
      </c>
      <c r="K235" s="55"/>
      <c r="L235" s="50">
        <v>1936.0</v>
      </c>
      <c r="M235" s="49" t="s">
        <v>1246</v>
      </c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</row>
    <row r="236">
      <c r="A236" s="39"/>
      <c r="B236" s="50">
        <v>225.0</v>
      </c>
      <c r="C236" s="55"/>
      <c r="D236" s="49" t="s">
        <v>1645</v>
      </c>
      <c r="E236" s="49" t="s">
        <v>1646</v>
      </c>
      <c r="F236" s="49" t="s">
        <v>84</v>
      </c>
      <c r="G236" s="48">
        <v>7900.0</v>
      </c>
      <c r="H236" s="48">
        <v>6910.0</v>
      </c>
      <c r="I236" s="48">
        <v>5930.0</v>
      </c>
      <c r="J236" s="72">
        <f t="shared" si="1"/>
        <v>6913.333333</v>
      </c>
      <c r="K236" s="55"/>
      <c r="L236" s="55"/>
      <c r="M236" s="34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</row>
    <row r="237">
      <c r="A237" s="39"/>
      <c r="B237" s="50">
        <v>226.0</v>
      </c>
      <c r="C237" s="71"/>
      <c r="D237" s="49" t="s">
        <v>1647</v>
      </c>
      <c r="E237" s="49" t="s">
        <v>1648</v>
      </c>
      <c r="F237" s="49" t="s">
        <v>53</v>
      </c>
      <c r="G237" s="48">
        <v>7838.0</v>
      </c>
      <c r="H237" s="48">
        <v>6654.0</v>
      </c>
      <c r="I237" s="48">
        <v>5486.0</v>
      </c>
      <c r="J237" s="72">
        <f t="shared" si="1"/>
        <v>6659.333333</v>
      </c>
      <c r="K237" s="47" t="s">
        <v>1649</v>
      </c>
      <c r="L237" s="50">
        <v>1983.0</v>
      </c>
      <c r="M237" s="34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</row>
    <row r="238">
      <c r="A238" s="39"/>
      <c r="B238" s="50">
        <v>227.0</v>
      </c>
      <c r="C238" s="55"/>
      <c r="D238" s="49" t="s">
        <v>1650</v>
      </c>
      <c r="E238" s="49" t="s">
        <v>891</v>
      </c>
      <c r="F238" s="49" t="s">
        <v>61</v>
      </c>
      <c r="G238" s="48">
        <v>7820.0</v>
      </c>
      <c r="H238" s="48">
        <v>6660.0</v>
      </c>
      <c r="I238" s="48">
        <v>5772.0</v>
      </c>
      <c r="J238" s="72">
        <f t="shared" si="1"/>
        <v>6750.666667</v>
      </c>
      <c r="K238" s="55"/>
      <c r="L238" s="55"/>
      <c r="M238" s="34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</row>
    <row r="239">
      <c r="A239" s="39"/>
      <c r="B239" s="50">
        <v>228.0</v>
      </c>
      <c r="C239" s="55"/>
      <c r="D239" s="49" t="s">
        <v>1651</v>
      </c>
      <c r="E239" s="49" t="s">
        <v>1414</v>
      </c>
      <c r="F239" s="49" t="s">
        <v>124</v>
      </c>
      <c r="G239" s="48">
        <v>7800.0</v>
      </c>
      <c r="H239" s="48">
        <v>6720.0</v>
      </c>
      <c r="I239" s="48">
        <v>6500.0</v>
      </c>
      <c r="J239" s="72">
        <f t="shared" si="1"/>
        <v>7006.666667</v>
      </c>
      <c r="K239" s="55"/>
      <c r="L239" s="50">
        <v>1989.0</v>
      </c>
      <c r="M239" s="34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</row>
    <row r="240">
      <c r="A240" s="39"/>
      <c r="B240" s="50">
        <v>229.0</v>
      </c>
      <c r="C240" s="71"/>
      <c r="D240" s="49" t="s">
        <v>1652</v>
      </c>
      <c r="E240" s="49" t="s">
        <v>1653</v>
      </c>
      <c r="F240" s="49" t="s">
        <v>91</v>
      </c>
      <c r="G240" s="48">
        <v>7800.0</v>
      </c>
      <c r="H240" s="76"/>
      <c r="I240" s="76"/>
      <c r="J240" s="72">
        <f t="shared" si="1"/>
        <v>7800</v>
      </c>
      <c r="K240" s="55"/>
      <c r="L240" s="50">
        <v>1978.0</v>
      </c>
      <c r="M240" s="34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</row>
    <row r="241">
      <c r="A241" s="39"/>
      <c r="B241" s="50">
        <v>230.0</v>
      </c>
      <c r="C241" s="55"/>
      <c r="D241" s="49" t="s">
        <v>1654</v>
      </c>
      <c r="E241" s="49" t="s">
        <v>745</v>
      </c>
      <c r="F241" s="49" t="s">
        <v>243</v>
      </c>
      <c r="G241" s="48">
        <v>7800.0</v>
      </c>
      <c r="H241" s="48">
        <v>7032.0</v>
      </c>
      <c r="I241" s="48">
        <v>5800.0</v>
      </c>
      <c r="J241" s="72">
        <f t="shared" si="1"/>
        <v>6877.333333</v>
      </c>
      <c r="K241" s="55"/>
      <c r="L241" s="55"/>
      <c r="M241" s="34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</row>
    <row r="242">
      <c r="A242" s="39"/>
      <c r="B242" s="50">
        <v>231.0</v>
      </c>
      <c r="C242" s="71"/>
      <c r="D242" s="49" t="s">
        <v>1655</v>
      </c>
      <c r="E242" s="49" t="s">
        <v>962</v>
      </c>
      <c r="F242" s="49" t="s">
        <v>304</v>
      </c>
      <c r="G242" s="48">
        <v>7800.0</v>
      </c>
      <c r="H242" s="76"/>
      <c r="I242" s="48">
        <v>5406.0</v>
      </c>
      <c r="J242" s="72">
        <f t="shared" si="1"/>
        <v>6603</v>
      </c>
      <c r="K242" s="47" t="s">
        <v>1656</v>
      </c>
      <c r="L242" s="50">
        <v>1981.0</v>
      </c>
      <c r="M242" s="34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</row>
    <row r="243">
      <c r="A243" s="39"/>
      <c r="B243" s="50">
        <v>232.0</v>
      </c>
      <c r="C243" s="55"/>
      <c r="D243" s="49" t="s">
        <v>1657</v>
      </c>
      <c r="E243" s="49" t="s">
        <v>1658</v>
      </c>
      <c r="F243" s="49" t="s">
        <v>325</v>
      </c>
      <c r="G243" s="48">
        <v>7800.0</v>
      </c>
      <c r="H243" s="48">
        <v>5000.0</v>
      </c>
      <c r="I243" s="48">
        <v>4000.0</v>
      </c>
      <c r="J243" s="72">
        <f t="shared" si="1"/>
        <v>5600</v>
      </c>
      <c r="K243" s="55"/>
      <c r="L243" s="55"/>
      <c r="M243" s="34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</row>
    <row r="244">
      <c r="A244" s="39"/>
      <c r="B244" s="50">
        <v>233.0</v>
      </c>
      <c r="C244" s="71"/>
      <c r="D244" s="49" t="s">
        <v>1659</v>
      </c>
      <c r="E244" s="49" t="s">
        <v>1660</v>
      </c>
      <c r="F244" s="49" t="s">
        <v>180</v>
      </c>
      <c r="G244" s="48">
        <v>7782.0</v>
      </c>
      <c r="H244" s="48">
        <v>5602.0</v>
      </c>
      <c r="I244" s="48">
        <v>5686.0</v>
      </c>
      <c r="J244" s="72">
        <f t="shared" si="1"/>
        <v>6356.666667</v>
      </c>
      <c r="K244" s="55"/>
      <c r="L244" s="50">
        <v>1990.0</v>
      </c>
      <c r="M244" s="34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</row>
    <row r="245">
      <c r="A245" s="39"/>
      <c r="B245" s="50">
        <v>234.0</v>
      </c>
      <c r="C245" s="55"/>
      <c r="D245" s="49" t="s">
        <v>1661</v>
      </c>
      <c r="E245" s="49" t="s">
        <v>231</v>
      </c>
      <c r="F245" s="49" t="s">
        <v>232</v>
      </c>
      <c r="G245" s="48">
        <v>7725.0</v>
      </c>
      <c r="H245" s="48">
        <v>7005.0</v>
      </c>
      <c r="I245" s="48">
        <v>6025.0</v>
      </c>
      <c r="J245" s="72">
        <f t="shared" si="1"/>
        <v>6918.333333</v>
      </c>
      <c r="K245" s="55"/>
      <c r="L245" s="50">
        <v>2006.0</v>
      </c>
      <c r="M245" s="34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</row>
    <row r="246">
      <c r="A246" s="39"/>
      <c r="B246" s="50">
        <v>235.0</v>
      </c>
      <c r="C246" s="55"/>
      <c r="D246" s="49" t="s">
        <v>1303</v>
      </c>
      <c r="E246" s="49" t="s">
        <v>1662</v>
      </c>
      <c r="F246" s="49" t="s">
        <v>180</v>
      </c>
      <c r="G246" s="48">
        <v>7715.0</v>
      </c>
      <c r="H246" s="76"/>
      <c r="I246" s="48">
        <v>5780.0</v>
      </c>
      <c r="J246" s="72">
        <f t="shared" si="1"/>
        <v>6747.5</v>
      </c>
      <c r="K246" s="47" t="s">
        <v>1663</v>
      </c>
      <c r="L246" s="50">
        <v>1988.0</v>
      </c>
      <c r="M246" s="49" t="s">
        <v>1664</v>
      </c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</row>
    <row r="247">
      <c r="A247" s="39"/>
      <c r="B247" s="50">
        <v>236.0</v>
      </c>
      <c r="C247" s="55"/>
      <c r="D247" s="49" t="s">
        <v>1665</v>
      </c>
      <c r="E247" s="49" t="s">
        <v>1666</v>
      </c>
      <c r="F247" s="49" t="s">
        <v>69</v>
      </c>
      <c r="G247" s="48">
        <v>7680.0</v>
      </c>
      <c r="H247" s="48">
        <v>7120.0</v>
      </c>
      <c r="I247" s="48">
        <v>5280.0</v>
      </c>
      <c r="J247" s="72">
        <f t="shared" si="1"/>
        <v>6693.333333</v>
      </c>
      <c r="K247" s="55"/>
      <c r="L247" s="55"/>
      <c r="M247" s="34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</row>
    <row r="248">
      <c r="A248" s="39"/>
      <c r="B248" s="50">
        <v>237.0</v>
      </c>
      <c r="C248" s="55"/>
      <c r="D248" s="49" t="s">
        <v>1667</v>
      </c>
      <c r="E248" s="49" t="s">
        <v>1668</v>
      </c>
      <c r="F248" s="49" t="s">
        <v>325</v>
      </c>
      <c r="G248" s="48">
        <v>7680.0</v>
      </c>
      <c r="H248" s="48">
        <v>6912.0</v>
      </c>
      <c r="I248" s="48">
        <v>5680.0</v>
      </c>
      <c r="J248" s="72">
        <f t="shared" si="1"/>
        <v>6757.333333</v>
      </c>
      <c r="K248" s="55"/>
      <c r="L248" s="55"/>
      <c r="M248" s="34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</row>
    <row r="249">
      <c r="A249" s="39"/>
      <c r="B249" s="50">
        <v>238.0</v>
      </c>
      <c r="C249" s="55"/>
      <c r="D249" s="49" t="s">
        <v>1669</v>
      </c>
      <c r="E249" s="49" t="s">
        <v>1670</v>
      </c>
      <c r="F249" s="49" t="s">
        <v>153</v>
      </c>
      <c r="G249" s="48">
        <v>7674.0</v>
      </c>
      <c r="H249" s="48">
        <v>6000.0</v>
      </c>
      <c r="I249" s="48">
        <v>5200.0</v>
      </c>
      <c r="J249" s="72">
        <f t="shared" si="1"/>
        <v>6291.333333</v>
      </c>
      <c r="K249" s="55"/>
      <c r="L249" s="50">
        <v>1939.0</v>
      </c>
      <c r="M249" s="34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</row>
    <row r="250">
      <c r="A250" s="39"/>
      <c r="B250" s="50">
        <v>239.0</v>
      </c>
      <c r="C250" s="71"/>
      <c r="D250" s="49" t="s">
        <v>1671</v>
      </c>
      <c r="E250" s="49" t="s">
        <v>1672</v>
      </c>
      <c r="F250" s="49" t="s">
        <v>48</v>
      </c>
      <c r="G250" s="48">
        <v>7647.0</v>
      </c>
      <c r="H250" s="48">
        <v>6217.0</v>
      </c>
      <c r="I250" s="48">
        <v>5527.0</v>
      </c>
      <c r="J250" s="72">
        <f t="shared" si="1"/>
        <v>6463.666667</v>
      </c>
      <c r="K250" s="47" t="s">
        <v>1673</v>
      </c>
      <c r="L250" s="50">
        <v>1972.0</v>
      </c>
      <c r="M250" s="34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</row>
    <row r="251">
      <c r="A251" s="39"/>
      <c r="B251" s="50">
        <v>240.0</v>
      </c>
      <c r="C251" s="55"/>
      <c r="D251" s="49" t="s">
        <v>1674</v>
      </c>
      <c r="E251" s="49" t="s">
        <v>307</v>
      </c>
      <c r="F251" s="49" t="s">
        <v>69</v>
      </c>
      <c r="G251" s="48">
        <v>7625.0</v>
      </c>
      <c r="H251" s="48">
        <v>6905.0</v>
      </c>
      <c r="I251" s="48">
        <v>5925.0</v>
      </c>
      <c r="J251" s="72">
        <f t="shared" si="1"/>
        <v>6818.333333</v>
      </c>
      <c r="K251" s="55"/>
      <c r="L251" s="50">
        <v>1986.0</v>
      </c>
      <c r="M251" s="49" t="s">
        <v>1275</v>
      </c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</row>
    <row r="252">
      <c r="A252" s="39"/>
      <c r="B252" s="50">
        <v>241.0</v>
      </c>
      <c r="C252" s="71"/>
      <c r="D252" s="49" t="s">
        <v>1675</v>
      </c>
      <c r="E252" s="49" t="s">
        <v>310</v>
      </c>
      <c r="F252" s="49" t="s">
        <v>153</v>
      </c>
      <c r="G252" s="48">
        <v>7610.0</v>
      </c>
      <c r="H252" s="48">
        <v>7500.0</v>
      </c>
      <c r="I252" s="48">
        <v>5110.0</v>
      </c>
      <c r="J252" s="72">
        <f t="shared" si="1"/>
        <v>6740</v>
      </c>
      <c r="K252" s="55"/>
      <c r="L252" s="50">
        <v>1952.0</v>
      </c>
      <c r="M252" s="34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</row>
    <row r="253">
      <c r="A253" s="39"/>
      <c r="B253" s="50">
        <v>242.0</v>
      </c>
      <c r="C253" s="71"/>
      <c r="D253" s="49" t="s">
        <v>1676</v>
      </c>
      <c r="E253" s="49" t="s">
        <v>594</v>
      </c>
      <c r="F253" s="49" t="s">
        <v>65</v>
      </c>
      <c r="G253" s="48">
        <v>7600.0</v>
      </c>
      <c r="H253" s="48">
        <v>6000.0</v>
      </c>
      <c r="I253" s="48">
        <v>4712.0</v>
      </c>
      <c r="J253" s="72">
        <f t="shared" si="1"/>
        <v>6104</v>
      </c>
      <c r="K253" s="55"/>
      <c r="L253" s="50">
        <v>1965.0</v>
      </c>
      <c r="M253" s="34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</row>
    <row r="254">
      <c r="A254" s="39"/>
      <c r="B254" s="50">
        <v>243.0</v>
      </c>
      <c r="C254" s="71"/>
      <c r="D254" s="47" t="s">
        <v>1677</v>
      </c>
      <c r="E254" s="49" t="s">
        <v>1678</v>
      </c>
      <c r="F254" s="49" t="s">
        <v>53</v>
      </c>
      <c r="G254" s="48">
        <v>7600.0</v>
      </c>
      <c r="H254" s="48">
        <v>7600.0</v>
      </c>
      <c r="I254" s="48">
        <v>7318.0</v>
      </c>
      <c r="J254" s="72">
        <f t="shared" si="1"/>
        <v>7506</v>
      </c>
      <c r="K254" s="47" t="s">
        <v>1679</v>
      </c>
      <c r="L254" s="50">
        <v>1939.0</v>
      </c>
      <c r="M254" s="34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</row>
    <row r="255">
      <c r="A255" s="39"/>
      <c r="B255" s="50">
        <v>244.0</v>
      </c>
      <c r="C255" s="55"/>
      <c r="D255" s="49" t="s">
        <v>1680</v>
      </c>
      <c r="E255" s="49" t="s">
        <v>1681</v>
      </c>
      <c r="F255" s="49" t="s">
        <v>369</v>
      </c>
      <c r="G255" s="48">
        <v>7583.0</v>
      </c>
      <c r="H255" s="48">
        <v>6533.0</v>
      </c>
      <c r="I255" s="48">
        <v>5225.0</v>
      </c>
      <c r="J255" s="72">
        <f t="shared" si="1"/>
        <v>6447</v>
      </c>
      <c r="K255" s="55"/>
      <c r="L255" s="50">
        <v>1978.0</v>
      </c>
      <c r="M255" s="34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</row>
    <row r="256">
      <c r="A256" s="39"/>
      <c r="B256" s="50">
        <v>245.0</v>
      </c>
      <c r="C256" s="55"/>
      <c r="D256" s="49" t="s">
        <v>1682</v>
      </c>
      <c r="E256" s="49" t="s">
        <v>1683</v>
      </c>
      <c r="F256" s="49" t="s">
        <v>163</v>
      </c>
      <c r="G256" s="48">
        <v>7562.0</v>
      </c>
      <c r="H256" s="48">
        <v>5475.0</v>
      </c>
      <c r="I256" s="48">
        <v>4806.0</v>
      </c>
      <c r="J256" s="72">
        <f t="shared" si="1"/>
        <v>5947.666667</v>
      </c>
      <c r="K256" s="47" t="s">
        <v>1684</v>
      </c>
      <c r="L256" s="50">
        <v>1979.0</v>
      </c>
      <c r="M256" s="34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</row>
    <row r="257">
      <c r="A257" s="39"/>
      <c r="B257" s="50">
        <v>246.0</v>
      </c>
      <c r="C257" s="55"/>
      <c r="D257" s="49" t="s">
        <v>1685</v>
      </c>
      <c r="E257" s="49" t="s">
        <v>1686</v>
      </c>
      <c r="F257" s="49" t="s">
        <v>627</v>
      </c>
      <c r="G257" s="48">
        <v>7500.0</v>
      </c>
      <c r="H257" s="48">
        <v>6250.0</v>
      </c>
      <c r="I257" s="48">
        <v>5100.0</v>
      </c>
      <c r="J257" s="72">
        <f t="shared" si="1"/>
        <v>6283.333333</v>
      </c>
      <c r="K257" s="55"/>
      <c r="L257" s="50">
        <v>1952.0</v>
      </c>
      <c r="M257" s="34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</row>
    <row r="258">
      <c r="A258" s="39"/>
      <c r="B258" s="50">
        <v>247.0</v>
      </c>
      <c r="C258" s="71"/>
      <c r="D258" s="49" t="s">
        <v>1687</v>
      </c>
      <c r="E258" s="49" t="s">
        <v>159</v>
      </c>
      <c r="F258" s="49" t="s">
        <v>61</v>
      </c>
      <c r="G258" s="48">
        <v>7500.0</v>
      </c>
      <c r="H258" s="48">
        <v>6008.0</v>
      </c>
      <c r="I258" s="48">
        <v>5460.0</v>
      </c>
      <c r="J258" s="72">
        <f t="shared" si="1"/>
        <v>6322.666667</v>
      </c>
      <c r="K258" s="55"/>
      <c r="L258" s="50">
        <v>1987.0</v>
      </c>
      <c r="M258" s="49" t="s">
        <v>1305</v>
      </c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</row>
    <row r="259">
      <c r="A259" s="39"/>
      <c r="B259" s="50">
        <v>248.0</v>
      </c>
      <c r="C259" s="55"/>
      <c r="D259" s="49" t="s">
        <v>1688</v>
      </c>
      <c r="E259" s="49" t="s">
        <v>1689</v>
      </c>
      <c r="F259" s="49" t="s">
        <v>61</v>
      </c>
      <c r="G259" s="48">
        <v>7500.0</v>
      </c>
      <c r="H259" s="48">
        <v>5000.0</v>
      </c>
      <c r="I259" s="76"/>
      <c r="J259" s="72">
        <f t="shared" si="1"/>
        <v>6250</v>
      </c>
      <c r="K259" s="55"/>
      <c r="L259" s="50">
        <v>1995.0</v>
      </c>
      <c r="M259" s="49" t="s">
        <v>1305</v>
      </c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</row>
    <row r="260">
      <c r="A260" s="39"/>
      <c r="B260" s="50">
        <v>249.0</v>
      </c>
      <c r="C260" s="55"/>
      <c r="D260" s="49" t="s">
        <v>1690</v>
      </c>
      <c r="E260" s="49" t="s">
        <v>1691</v>
      </c>
      <c r="F260" s="49" t="s">
        <v>369</v>
      </c>
      <c r="G260" s="48">
        <v>7500.0</v>
      </c>
      <c r="H260" s="48">
        <v>7500.0</v>
      </c>
      <c r="I260" s="76"/>
      <c r="J260" s="72">
        <f t="shared" si="1"/>
        <v>7500</v>
      </c>
      <c r="K260" s="55"/>
      <c r="L260" s="50">
        <v>1952.0</v>
      </c>
      <c r="M260" s="34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</row>
    <row r="261">
      <c r="A261" s="39"/>
      <c r="B261" s="50">
        <v>250.0</v>
      </c>
      <c r="C261" s="55"/>
      <c r="D261" s="49" t="s">
        <v>1692</v>
      </c>
      <c r="E261" s="49" t="s">
        <v>1693</v>
      </c>
      <c r="F261" s="49" t="s">
        <v>98</v>
      </c>
      <c r="G261" s="48">
        <v>7500.0</v>
      </c>
      <c r="H261" s="48">
        <v>6000.0</v>
      </c>
      <c r="I261" s="76"/>
      <c r="J261" s="72">
        <f t="shared" si="1"/>
        <v>6750</v>
      </c>
      <c r="K261" s="47" t="s">
        <v>1694</v>
      </c>
      <c r="L261" s="50">
        <v>2006.0</v>
      </c>
      <c r="M261" s="34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</row>
    <row r="262">
      <c r="A262" s="39"/>
      <c r="B262" s="50">
        <v>251.0</v>
      </c>
      <c r="C262" s="55"/>
      <c r="D262" s="49" t="s">
        <v>1695</v>
      </c>
      <c r="E262" s="49" t="s">
        <v>1696</v>
      </c>
      <c r="F262" s="49" t="s">
        <v>61</v>
      </c>
      <c r="G262" s="48">
        <v>7500.0</v>
      </c>
      <c r="H262" s="76"/>
      <c r="I262" s="48">
        <v>5000.0</v>
      </c>
      <c r="J262" s="72">
        <f t="shared" si="1"/>
        <v>6250</v>
      </c>
      <c r="K262" s="55"/>
      <c r="L262" s="50">
        <v>2002.0</v>
      </c>
      <c r="M262" s="49" t="s">
        <v>1305</v>
      </c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</row>
    <row r="263">
      <c r="A263" s="39"/>
      <c r="B263" s="50">
        <v>252.0</v>
      </c>
      <c r="C263" s="71"/>
      <c r="D263" s="49" t="s">
        <v>1697</v>
      </c>
      <c r="E263" s="49" t="s">
        <v>597</v>
      </c>
      <c r="F263" s="49" t="s">
        <v>232</v>
      </c>
      <c r="G263" s="48">
        <v>7500.0</v>
      </c>
      <c r="H263" s="76"/>
      <c r="I263" s="76"/>
      <c r="J263" s="72">
        <f t="shared" si="1"/>
        <v>7500</v>
      </c>
      <c r="K263" s="55"/>
      <c r="L263" s="50">
        <v>2005.0</v>
      </c>
      <c r="M263" s="34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</row>
    <row r="264">
      <c r="A264" s="39"/>
      <c r="B264" s="50">
        <v>253.0</v>
      </c>
      <c r="C264" s="71"/>
      <c r="D264" s="49" t="s">
        <v>1698</v>
      </c>
      <c r="E264" s="49" t="s">
        <v>1699</v>
      </c>
      <c r="F264" s="49" t="s">
        <v>475</v>
      </c>
      <c r="G264" s="48">
        <v>7500.0</v>
      </c>
      <c r="H264" s="48">
        <v>6500.0</v>
      </c>
      <c r="I264" s="48">
        <v>6100.0</v>
      </c>
      <c r="J264" s="72">
        <f t="shared" si="1"/>
        <v>6700</v>
      </c>
      <c r="K264" s="55"/>
      <c r="L264" s="50">
        <v>2006.0</v>
      </c>
      <c r="M264" s="34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</row>
    <row r="265">
      <c r="A265" s="39"/>
      <c r="B265" s="50">
        <v>254.0</v>
      </c>
      <c r="C265" s="55"/>
      <c r="D265" s="49" t="s">
        <v>1700</v>
      </c>
      <c r="E265" s="49" t="s">
        <v>497</v>
      </c>
      <c r="F265" s="49" t="s">
        <v>91</v>
      </c>
      <c r="G265" s="48">
        <v>7460.0</v>
      </c>
      <c r="H265" s="48">
        <v>6288.0</v>
      </c>
      <c r="I265" s="48">
        <v>5540.0</v>
      </c>
      <c r="J265" s="72">
        <f t="shared" si="1"/>
        <v>6429.333333</v>
      </c>
      <c r="K265" s="55"/>
      <c r="L265" s="55"/>
      <c r="M265" s="34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</row>
    <row r="266">
      <c r="A266" s="39"/>
      <c r="B266" s="50">
        <v>255.0</v>
      </c>
      <c r="C266" s="55"/>
      <c r="D266" s="49" t="s">
        <v>1701</v>
      </c>
      <c r="E266" s="49" t="s">
        <v>1702</v>
      </c>
      <c r="F266" s="49" t="s">
        <v>91</v>
      </c>
      <c r="G266" s="48">
        <v>7285.0</v>
      </c>
      <c r="H266" s="76"/>
      <c r="I266" s="48">
        <v>4785.0</v>
      </c>
      <c r="J266" s="72">
        <f t="shared" si="1"/>
        <v>6035</v>
      </c>
      <c r="K266" s="55"/>
      <c r="L266" s="55"/>
      <c r="M266" s="34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</row>
    <row r="267">
      <c r="A267" s="39"/>
      <c r="B267" s="50">
        <v>256.0</v>
      </c>
      <c r="C267" s="55"/>
      <c r="D267" s="49" t="s">
        <v>1703</v>
      </c>
      <c r="E267" s="49" t="s">
        <v>142</v>
      </c>
      <c r="F267" s="49" t="s">
        <v>143</v>
      </c>
      <c r="G267" s="48">
        <v>7277.0</v>
      </c>
      <c r="H267" s="48">
        <v>6877.0</v>
      </c>
      <c r="I267" s="48">
        <v>4777.0</v>
      </c>
      <c r="J267" s="72">
        <f t="shared" si="1"/>
        <v>6310.333333</v>
      </c>
      <c r="K267" s="55"/>
      <c r="L267" s="50">
        <v>1990.0</v>
      </c>
      <c r="M267" s="34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</row>
    <row r="268">
      <c r="A268" s="39"/>
      <c r="B268" s="50">
        <v>257.0</v>
      </c>
      <c r="C268" s="71"/>
      <c r="D268" s="49" t="s">
        <v>1704</v>
      </c>
      <c r="E268" s="49" t="s">
        <v>1705</v>
      </c>
      <c r="F268" s="49" t="s">
        <v>143</v>
      </c>
      <c r="G268" s="48">
        <v>7200.0</v>
      </c>
      <c r="H268" s="48">
        <v>7200.0</v>
      </c>
      <c r="I268" s="48">
        <v>5289.0</v>
      </c>
      <c r="J268" s="72">
        <f t="shared" si="1"/>
        <v>6563</v>
      </c>
      <c r="K268" s="47" t="s">
        <v>1706</v>
      </c>
      <c r="L268" s="50">
        <v>2003.0</v>
      </c>
      <c r="M268" s="34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</row>
    <row r="269">
      <c r="A269" s="39"/>
      <c r="B269" s="50">
        <v>258.0</v>
      </c>
      <c r="C269" s="71"/>
      <c r="D269" s="49" t="s">
        <v>1707</v>
      </c>
      <c r="E269" s="49" t="s">
        <v>1708</v>
      </c>
      <c r="F269" s="49" t="s">
        <v>61</v>
      </c>
      <c r="G269" s="48">
        <v>7200.0</v>
      </c>
      <c r="H269" s="48">
        <v>6200.0</v>
      </c>
      <c r="I269" s="48">
        <v>5600.0</v>
      </c>
      <c r="J269" s="72">
        <f t="shared" si="1"/>
        <v>6333.333333</v>
      </c>
      <c r="K269" s="55"/>
      <c r="L269" s="50">
        <v>2005.0</v>
      </c>
      <c r="M269" s="49" t="s">
        <v>1305</v>
      </c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</row>
    <row r="270">
      <c r="A270" s="39"/>
      <c r="B270" s="50">
        <v>259.0</v>
      </c>
      <c r="C270" s="55"/>
      <c r="D270" s="49" t="s">
        <v>1709</v>
      </c>
      <c r="E270" s="49" t="s">
        <v>908</v>
      </c>
      <c r="F270" s="49" t="s">
        <v>214</v>
      </c>
      <c r="G270" s="48">
        <v>7200.0</v>
      </c>
      <c r="H270" s="48">
        <v>5400.0</v>
      </c>
      <c r="I270" s="48">
        <v>5400.0</v>
      </c>
      <c r="J270" s="72">
        <f t="shared" si="1"/>
        <v>6000</v>
      </c>
      <c r="K270" s="55"/>
      <c r="L270" s="50">
        <v>1984.0</v>
      </c>
      <c r="M270" s="34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</row>
    <row r="271">
      <c r="A271" s="39"/>
      <c r="B271" s="50">
        <v>260.0</v>
      </c>
      <c r="C271" s="71"/>
      <c r="D271" s="49" t="s">
        <v>1710</v>
      </c>
      <c r="E271" s="49" t="s">
        <v>1163</v>
      </c>
      <c r="F271" s="49" t="s">
        <v>135</v>
      </c>
      <c r="G271" s="48">
        <v>7189.0</v>
      </c>
      <c r="H271" s="48">
        <v>6972.0</v>
      </c>
      <c r="I271" s="76"/>
      <c r="J271" s="72">
        <f t="shared" si="1"/>
        <v>7080.5</v>
      </c>
      <c r="K271" s="47" t="s">
        <v>1711</v>
      </c>
      <c r="L271" s="50">
        <v>1987.0</v>
      </c>
      <c r="M271" s="34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</row>
    <row r="272">
      <c r="A272" s="39"/>
      <c r="B272" s="50">
        <v>261.0</v>
      </c>
      <c r="C272" s="55"/>
      <c r="D272" s="49" t="s">
        <v>1712</v>
      </c>
      <c r="E272" s="49" t="s">
        <v>68</v>
      </c>
      <c r="F272" s="49" t="s">
        <v>69</v>
      </c>
      <c r="G272" s="48">
        <v>7141.0</v>
      </c>
      <c r="H272" s="48">
        <v>5583.0</v>
      </c>
      <c r="I272" s="48">
        <v>4973.0</v>
      </c>
      <c r="J272" s="72">
        <f t="shared" si="1"/>
        <v>5899</v>
      </c>
      <c r="K272" s="47" t="s">
        <v>1713</v>
      </c>
      <c r="L272" s="50">
        <v>1961.0</v>
      </c>
      <c r="M272" s="34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</row>
    <row r="273">
      <c r="A273" s="39"/>
      <c r="B273" s="50">
        <v>262.0</v>
      </c>
      <c r="C273" s="55"/>
      <c r="D273" s="49" t="s">
        <v>1714</v>
      </c>
      <c r="E273" s="49" t="s">
        <v>1485</v>
      </c>
      <c r="F273" s="49" t="s">
        <v>91</v>
      </c>
      <c r="G273" s="48">
        <v>7125.0</v>
      </c>
      <c r="H273" s="48">
        <v>6405.0</v>
      </c>
      <c r="I273" s="48">
        <v>5425.0</v>
      </c>
      <c r="J273" s="72">
        <f t="shared" si="1"/>
        <v>6318.333333</v>
      </c>
      <c r="K273" s="55"/>
      <c r="L273" s="50">
        <v>2002.0</v>
      </c>
      <c r="M273" s="34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</row>
    <row r="274">
      <c r="A274" s="39"/>
      <c r="B274" s="50">
        <v>263.0</v>
      </c>
      <c r="C274" s="55"/>
      <c r="D274" s="49" t="s">
        <v>1715</v>
      </c>
      <c r="E274" s="49" t="s">
        <v>1716</v>
      </c>
      <c r="F274" s="49" t="s">
        <v>700</v>
      </c>
      <c r="G274" s="48">
        <v>7116.0</v>
      </c>
      <c r="H274" s="48">
        <v>6348.0</v>
      </c>
      <c r="I274" s="48">
        <v>5140.0</v>
      </c>
      <c r="J274" s="72">
        <f t="shared" si="1"/>
        <v>6201.333333</v>
      </c>
      <c r="K274" s="55"/>
      <c r="L274" s="50">
        <v>1997.0</v>
      </c>
      <c r="M274" s="34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</row>
    <row r="275">
      <c r="A275" s="39"/>
      <c r="B275" s="50">
        <v>264.0</v>
      </c>
      <c r="C275" s="55"/>
      <c r="D275" s="49" t="s">
        <v>1717</v>
      </c>
      <c r="E275" s="49" t="s">
        <v>1718</v>
      </c>
      <c r="F275" s="49" t="s">
        <v>286</v>
      </c>
      <c r="G275" s="48">
        <v>7100.0</v>
      </c>
      <c r="H275" s="48">
        <v>5500.0</v>
      </c>
      <c r="I275" s="76"/>
      <c r="J275" s="72">
        <f t="shared" si="1"/>
        <v>6300</v>
      </c>
      <c r="K275" s="55"/>
      <c r="L275" s="50">
        <v>1949.0</v>
      </c>
      <c r="M275" s="34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</row>
    <row r="276">
      <c r="A276" s="39"/>
      <c r="B276" s="50">
        <v>265.0</v>
      </c>
      <c r="C276" s="71"/>
      <c r="D276" s="49" t="s">
        <v>1719</v>
      </c>
      <c r="E276" s="49" t="s">
        <v>1720</v>
      </c>
      <c r="F276" s="49" t="s">
        <v>102</v>
      </c>
      <c r="G276" s="48">
        <v>7090.0</v>
      </c>
      <c r="H276" s="48">
        <v>6090.0</v>
      </c>
      <c r="I276" s="48">
        <v>4732.0</v>
      </c>
      <c r="J276" s="72">
        <f t="shared" si="1"/>
        <v>5970.666667</v>
      </c>
      <c r="K276" s="55"/>
      <c r="L276" s="50">
        <v>2001.0</v>
      </c>
      <c r="M276" s="49" t="s">
        <v>1213</v>
      </c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</row>
    <row r="277">
      <c r="A277" s="39"/>
      <c r="B277" s="50">
        <v>266.0</v>
      </c>
      <c r="C277" s="71"/>
      <c r="D277" s="49" t="s">
        <v>1721</v>
      </c>
      <c r="E277" s="49" t="s">
        <v>435</v>
      </c>
      <c r="F277" s="49" t="s">
        <v>84</v>
      </c>
      <c r="G277" s="48">
        <v>7000.0</v>
      </c>
      <c r="H277" s="48">
        <v>6000.0</v>
      </c>
      <c r="I277" s="76"/>
      <c r="J277" s="72">
        <f t="shared" si="1"/>
        <v>6500</v>
      </c>
      <c r="K277" s="55"/>
      <c r="L277" s="50">
        <v>1915.0</v>
      </c>
      <c r="M277" s="49" t="s">
        <v>1256</v>
      </c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</row>
    <row r="278">
      <c r="A278" s="39"/>
      <c r="B278" s="50">
        <v>267.0</v>
      </c>
      <c r="C278" s="55"/>
      <c r="D278" s="49" t="s">
        <v>1722</v>
      </c>
      <c r="E278" s="49" t="s">
        <v>777</v>
      </c>
      <c r="F278" s="49" t="s">
        <v>61</v>
      </c>
      <c r="G278" s="48">
        <v>7000.0</v>
      </c>
      <c r="H278" s="48">
        <v>6040.0</v>
      </c>
      <c r="I278" s="48">
        <v>5300.0</v>
      </c>
      <c r="J278" s="72">
        <f t="shared" si="1"/>
        <v>6113.333333</v>
      </c>
      <c r="K278" s="55"/>
      <c r="L278" s="50">
        <v>1985.0</v>
      </c>
      <c r="M278" s="49" t="s">
        <v>1246</v>
      </c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</row>
    <row r="279">
      <c r="A279" s="39"/>
      <c r="B279" s="50">
        <v>268.0</v>
      </c>
      <c r="C279" s="71"/>
      <c r="D279" s="49" t="s">
        <v>1723</v>
      </c>
      <c r="E279" s="49" t="s">
        <v>1724</v>
      </c>
      <c r="F279" s="49" t="s">
        <v>163</v>
      </c>
      <c r="G279" s="48">
        <v>7000.0</v>
      </c>
      <c r="H279" s="48">
        <v>5000.0</v>
      </c>
      <c r="I279" s="48">
        <v>4710.0</v>
      </c>
      <c r="J279" s="72">
        <f t="shared" si="1"/>
        <v>5570</v>
      </c>
      <c r="K279" s="47" t="s">
        <v>1725</v>
      </c>
      <c r="L279" s="50">
        <v>1973.0</v>
      </c>
      <c r="M279" s="34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</row>
    <row r="280">
      <c r="A280" s="39"/>
      <c r="B280" s="50">
        <v>269.0</v>
      </c>
      <c r="C280" s="55"/>
      <c r="D280" s="49" t="s">
        <v>1726</v>
      </c>
      <c r="E280" s="49" t="s">
        <v>1727</v>
      </c>
      <c r="F280" s="49" t="s">
        <v>286</v>
      </c>
      <c r="G280" s="48">
        <v>7000.0</v>
      </c>
      <c r="H280" s="48">
        <v>5400.0</v>
      </c>
      <c r="I280" s="48">
        <v>4500.0</v>
      </c>
      <c r="J280" s="72">
        <f t="shared" si="1"/>
        <v>5633.333333</v>
      </c>
      <c r="K280" s="55"/>
      <c r="L280" s="50">
        <v>2004.0</v>
      </c>
      <c r="M280" s="34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</row>
    <row r="281">
      <c r="A281" s="39"/>
      <c r="B281" s="50">
        <v>270.0</v>
      </c>
      <c r="C281" s="71"/>
      <c r="D281" s="49" t="s">
        <v>1728</v>
      </c>
      <c r="E281" s="49" t="s">
        <v>1729</v>
      </c>
      <c r="F281" s="49" t="s">
        <v>124</v>
      </c>
      <c r="G281" s="48">
        <v>7000.0</v>
      </c>
      <c r="H281" s="48">
        <v>6300.0</v>
      </c>
      <c r="I281" s="76"/>
      <c r="J281" s="72">
        <f t="shared" si="1"/>
        <v>6650</v>
      </c>
      <c r="K281" s="55"/>
      <c r="L281" s="50">
        <v>1981.0</v>
      </c>
      <c r="M281" s="49" t="s">
        <v>1196</v>
      </c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</row>
    <row r="282">
      <c r="A282" s="39"/>
      <c r="B282" s="50">
        <v>271.0</v>
      </c>
      <c r="C282" s="55"/>
      <c r="D282" s="49" t="s">
        <v>1730</v>
      </c>
      <c r="E282" s="49" t="s">
        <v>1731</v>
      </c>
      <c r="F282" s="49" t="s">
        <v>135</v>
      </c>
      <c r="G282" s="48">
        <v>7000.0</v>
      </c>
      <c r="H282" s="48">
        <v>6000.0</v>
      </c>
      <c r="I282" s="48">
        <v>5800.0</v>
      </c>
      <c r="J282" s="72">
        <f t="shared" si="1"/>
        <v>6266.666667</v>
      </c>
      <c r="K282" s="47" t="s">
        <v>1732</v>
      </c>
      <c r="L282" s="50">
        <v>2009.0</v>
      </c>
      <c r="M282" s="34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</row>
    <row r="283">
      <c r="A283" s="39"/>
      <c r="B283" s="50">
        <v>272.0</v>
      </c>
      <c r="C283" s="55"/>
      <c r="D283" s="49" t="s">
        <v>1733</v>
      </c>
      <c r="E283" s="49" t="s">
        <v>1734</v>
      </c>
      <c r="F283" s="49" t="s">
        <v>184</v>
      </c>
      <c r="G283" s="48">
        <v>7000.0</v>
      </c>
      <c r="H283" s="48">
        <v>6000.0</v>
      </c>
      <c r="I283" s="48">
        <v>5155.0</v>
      </c>
      <c r="J283" s="72">
        <f t="shared" si="1"/>
        <v>6051.666667</v>
      </c>
      <c r="K283" s="55"/>
      <c r="L283" s="50">
        <v>1936.0</v>
      </c>
      <c r="M283" s="34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</row>
    <row r="284">
      <c r="A284" s="39"/>
      <c r="B284" s="50">
        <v>273.0</v>
      </c>
      <c r="C284" s="55"/>
      <c r="D284" s="49" t="s">
        <v>1735</v>
      </c>
      <c r="E284" s="49" t="s">
        <v>56</v>
      </c>
      <c r="F284" s="49" t="s">
        <v>57</v>
      </c>
      <c r="G284" s="48">
        <v>7000.0</v>
      </c>
      <c r="H284" s="48">
        <v>5676.0</v>
      </c>
      <c r="I284" s="48">
        <v>5003.0</v>
      </c>
      <c r="J284" s="72">
        <f t="shared" si="1"/>
        <v>5893</v>
      </c>
      <c r="K284" s="55"/>
      <c r="L284" s="50">
        <v>1918.0</v>
      </c>
      <c r="M284" s="34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</row>
    <row r="285">
      <c r="A285" s="39"/>
      <c r="B285" s="50">
        <v>274.0</v>
      </c>
      <c r="C285" s="55"/>
      <c r="D285" s="49" t="s">
        <v>1736</v>
      </c>
      <c r="E285" s="49" t="s">
        <v>1737</v>
      </c>
      <c r="F285" s="49" t="s">
        <v>325</v>
      </c>
      <c r="G285" s="48">
        <v>7000.0</v>
      </c>
      <c r="H285" s="76"/>
      <c r="I285" s="48">
        <v>5000.0</v>
      </c>
      <c r="J285" s="72">
        <f t="shared" si="1"/>
        <v>6000</v>
      </c>
      <c r="K285" s="55"/>
      <c r="L285" s="50">
        <v>2004.0</v>
      </c>
      <c r="M285" s="34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</row>
    <row r="286">
      <c r="A286" s="39"/>
      <c r="B286" s="50">
        <v>275.0</v>
      </c>
      <c r="C286" s="55"/>
      <c r="D286" s="49" t="s">
        <v>1545</v>
      </c>
      <c r="E286" s="49" t="s">
        <v>1546</v>
      </c>
      <c r="F286" s="49" t="s">
        <v>76</v>
      </c>
      <c r="G286" s="48">
        <v>7000.0</v>
      </c>
      <c r="H286" s="76"/>
      <c r="I286" s="48">
        <v>5000.0</v>
      </c>
      <c r="J286" s="72">
        <f t="shared" si="1"/>
        <v>6000</v>
      </c>
      <c r="K286" s="55"/>
      <c r="L286" s="55"/>
      <c r="M286" s="34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</row>
    <row r="287">
      <c r="A287" s="39"/>
      <c r="B287" s="50">
        <v>276.0</v>
      </c>
      <c r="C287" s="71"/>
      <c r="D287" s="49" t="s">
        <v>1738</v>
      </c>
      <c r="E287" s="49" t="s">
        <v>786</v>
      </c>
      <c r="F287" s="49" t="s">
        <v>787</v>
      </c>
      <c r="G287" s="48">
        <v>7000.0</v>
      </c>
      <c r="H287" s="48">
        <v>6000.0</v>
      </c>
      <c r="I287" s="48">
        <v>5000.0</v>
      </c>
      <c r="J287" s="72">
        <f t="shared" si="1"/>
        <v>6000</v>
      </c>
      <c r="K287" s="47" t="s">
        <v>1739</v>
      </c>
      <c r="L287" s="50">
        <v>2008.0</v>
      </c>
      <c r="M287" s="34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</row>
    <row r="288">
      <c r="A288" s="39"/>
      <c r="B288" s="50">
        <v>277.0</v>
      </c>
      <c r="C288" s="55"/>
      <c r="D288" s="49" t="s">
        <v>1740</v>
      </c>
      <c r="E288" s="49" t="s">
        <v>1741</v>
      </c>
      <c r="F288" s="49" t="s">
        <v>627</v>
      </c>
      <c r="G288" s="48">
        <v>7000.0</v>
      </c>
      <c r="H288" s="48">
        <v>5992.0</v>
      </c>
      <c r="I288" s="48">
        <v>4800.0</v>
      </c>
      <c r="J288" s="72">
        <f t="shared" si="1"/>
        <v>5930.666667</v>
      </c>
      <c r="K288" s="55"/>
      <c r="L288" s="50">
        <v>2002.0</v>
      </c>
      <c r="M288" s="34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</row>
    <row r="289">
      <c r="A289" s="39"/>
      <c r="B289" s="50">
        <v>278.0</v>
      </c>
      <c r="C289" s="55"/>
      <c r="D289" s="49" t="s">
        <v>1742</v>
      </c>
      <c r="E289" s="49" t="s">
        <v>1373</v>
      </c>
      <c r="F289" s="49" t="s">
        <v>102</v>
      </c>
      <c r="G289" s="48">
        <v>7000.0</v>
      </c>
      <c r="H289" s="48">
        <v>6200.0</v>
      </c>
      <c r="I289" s="48">
        <v>4600.0</v>
      </c>
      <c r="J289" s="72">
        <f t="shared" si="1"/>
        <v>5933.333333</v>
      </c>
      <c r="K289" s="55"/>
      <c r="L289" s="50">
        <v>1990.0</v>
      </c>
      <c r="M289" s="49" t="s">
        <v>1213</v>
      </c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</row>
    <row r="290">
      <c r="A290" s="39"/>
      <c r="B290" s="50">
        <v>279.0</v>
      </c>
      <c r="C290" s="55"/>
      <c r="D290" s="49" t="s">
        <v>1743</v>
      </c>
      <c r="E290" s="49" t="s">
        <v>1744</v>
      </c>
      <c r="F290" s="49" t="s">
        <v>61</v>
      </c>
      <c r="G290" s="48">
        <v>7000.0</v>
      </c>
      <c r="H290" s="48">
        <v>6160.0</v>
      </c>
      <c r="I290" s="48">
        <v>4300.0</v>
      </c>
      <c r="J290" s="72">
        <f t="shared" si="1"/>
        <v>5820</v>
      </c>
      <c r="K290" s="55"/>
      <c r="L290" s="50">
        <v>1987.0</v>
      </c>
      <c r="M290" s="49" t="s">
        <v>1305</v>
      </c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</row>
    <row r="291">
      <c r="A291" s="39"/>
      <c r="B291" s="50">
        <v>280.0</v>
      </c>
      <c r="C291" s="55"/>
      <c r="D291" s="49" t="s">
        <v>1745</v>
      </c>
      <c r="E291" s="49" t="s">
        <v>736</v>
      </c>
      <c r="F291" s="49" t="s">
        <v>61</v>
      </c>
      <c r="G291" s="48">
        <v>7000.0</v>
      </c>
      <c r="H291" s="48">
        <v>4500.0</v>
      </c>
      <c r="I291" s="48">
        <v>3500.0</v>
      </c>
      <c r="J291" s="72">
        <f t="shared" si="1"/>
        <v>5000</v>
      </c>
      <c r="K291" s="47" t="s">
        <v>1746</v>
      </c>
      <c r="L291" s="50">
        <v>2003.0</v>
      </c>
      <c r="M291" s="49" t="s">
        <v>1246</v>
      </c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</row>
    <row r="292">
      <c r="A292" s="39"/>
      <c r="B292" s="50">
        <v>281.0</v>
      </c>
      <c r="C292" s="55"/>
      <c r="D292" s="50" t="s">
        <v>1522</v>
      </c>
      <c r="E292" s="49" t="s">
        <v>1523</v>
      </c>
      <c r="F292" s="49" t="s">
        <v>61</v>
      </c>
      <c r="G292" s="48">
        <v>6950.0</v>
      </c>
      <c r="H292" s="48">
        <v>6950.0</v>
      </c>
      <c r="I292" s="48">
        <v>6950.0</v>
      </c>
      <c r="J292" s="72">
        <f t="shared" si="1"/>
        <v>6950</v>
      </c>
      <c r="K292" s="55"/>
      <c r="L292" s="50">
        <v>1983.0</v>
      </c>
      <c r="M292" s="34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</row>
    <row r="293">
      <c r="A293" s="39"/>
      <c r="B293" s="50">
        <v>282.0</v>
      </c>
      <c r="C293" s="55"/>
      <c r="D293" s="49" t="s">
        <v>1747</v>
      </c>
      <c r="E293" s="49" t="s">
        <v>1748</v>
      </c>
      <c r="F293" s="49" t="s">
        <v>475</v>
      </c>
      <c r="G293" s="48">
        <v>6935.0</v>
      </c>
      <c r="H293" s="76"/>
      <c r="I293" s="48">
        <v>6071.0</v>
      </c>
      <c r="J293" s="72">
        <f t="shared" si="1"/>
        <v>6503</v>
      </c>
      <c r="K293" s="55"/>
      <c r="L293" s="55"/>
      <c r="M293" s="34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</row>
    <row r="294">
      <c r="A294" s="39"/>
      <c r="B294" s="50">
        <v>283.0</v>
      </c>
      <c r="C294" s="71"/>
      <c r="D294" s="49" t="s">
        <v>1749</v>
      </c>
      <c r="E294" s="49" t="s">
        <v>56</v>
      </c>
      <c r="F294" s="49" t="s">
        <v>57</v>
      </c>
      <c r="G294" s="48">
        <v>6864.0</v>
      </c>
      <c r="H294" s="76"/>
      <c r="I294" s="76"/>
      <c r="J294" s="72">
        <f t="shared" si="1"/>
        <v>6864</v>
      </c>
      <c r="K294" s="55"/>
      <c r="L294" s="50">
        <v>1980.0</v>
      </c>
      <c r="M294" s="34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</row>
    <row r="295">
      <c r="A295" s="39"/>
      <c r="B295" s="50">
        <v>284.0</v>
      </c>
      <c r="C295" s="55"/>
      <c r="D295" s="49" t="s">
        <v>1750</v>
      </c>
      <c r="E295" s="49" t="s">
        <v>1737</v>
      </c>
      <c r="F295" s="49" t="s">
        <v>222</v>
      </c>
      <c r="G295" s="48">
        <v>6820.0</v>
      </c>
      <c r="H295" s="48">
        <v>5100.0</v>
      </c>
      <c r="I295" s="48">
        <v>4500.0</v>
      </c>
      <c r="J295" s="72">
        <f t="shared" si="1"/>
        <v>5473.333333</v>
      </c>
      <c r="K295" s="55"/>
      <c r="L295" s="50">
        <v>1967.0</v>
      </c>
      <c r="M295" s="34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</row>
    <row r="296">
      <c r="A296" s="39"/>
      <c r="B296" s="50">
        <v>285.0</v>
      </c>
      <c r="C296" s="71"/>
      <c r="D296" s="49" t="s">
        <v>1751</v>
      </c>
      <c r="E296" s="49" t="s">
        <v>503</v>
      </c>
      <c r="F296" s="49" t="s">
        <v>504</v>
      </c>
      <c r="G296" s="48">
        <v>6800.0</v>
      </c>
      <c r="H296" s="48">
        <v>5300.0</v>
      </c>
      <c r="I296" s="48">
        <v>5002.0</v>
      </c>
      <c r="J296" s="72">
        <f t="shared" si="1"/>
        <v>5700.666667</v>
      </c>
      <c r="K296" s="47" t="s">
        <v>1752</v>
      </c>
      <c r="L296" s="50">
        <v>1997.0</v>
      </c>
      <c r="M296" s="34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</row>
    <row r="297">
      <c r="A297" s="39"/>
      <c r="B297" s="50">
        <v>286.0</v>
      </c>
      <c r="C297" s="71"/>
      <c r="D297" s="49" t="s">
        <v>1753</v>
      </c>
      <c r="E297" s="49" t="s">
        <v>1754</v>
      </c>
      <c r="F297" s="49" t="s">
        <v>61</v>
      </c>
      <c r="G297" s="48">
        <v>6800.0</v>
      </c>
      <c r="H297" s="48">
        <v>5700.0</v>
      </c>
      <c r="I297" s="48">
        <v>5500.0</v>
      </c>
      <c r="J297" s="72">
        <f t="shared" si="1"/>
        <v>6000</v>
      </c>
      <c r="K297" s="55"/>
      <c r="L297" s="50">
        <v>2003.0</v>
      </c>
      <c r="M297" s="34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</row>
    <row r="298">
      <c r="A298" s="39"/>
      <c r="B298" s="50">
        <v>287.0</v>
      </c>
      <c r="C298" s="55"/>
      <c r="D298" s="49" t="s">
        <v>1755</v>
      </c>
      <c r="E298" s="49" t="s">
        <v>1065</v>
      </c>
      <c r="F298" s="49" t="s">
        <v>243</v>
      </c>
      <c r="G298" s="48">
        <v>6785.0</v>
      </c>
      <c r="H298" s="48">
        <v>6200.0</v>
      </c>
      <c r="I298" s="76"/>
      <c r="J298" s="72">
        <f t="shared" si="1"/>
        <v>6492.5</v>
      </c>
      <c r="K298" s="55"/>
      <c r="L298" s="50">
        <v>1998.0</v>
      </c>
      <c r="M298" s="34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</row>
    <row r="299">
      <c r="A299" s="39"/>
      <c r="B299" s="50">
        <v>288.0</v>
      </c>
      <c r="C299" s="71"/>
      <c r="D299" s="49" t="s">
        <v>1756</v>
      </c>
      <c r="E299" s="49" t="s">
        <v>1560</v>
      </c>
      <c r="F299" s="49" t="s">
        <v>1107</v>
      </c>
      <c r="G299" s="48">
        <v>6777.0</v>
      </c>
      <c r="H299" s="48">
        <v>5099.0</v>
      </c>
      <c r="I299" s="76"/>
      <c r="J299" s="72">
        <f t="shared" si="1"/>
        <v>5938</v>
      </c>
      <c r="K299" s="55"/>
      <c r="L299" s="50">
        <v>1973.0</v>
      </c>
      <c r="M299" s="34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</row>
    <row r="300">
      <c r="A300" s="39"/>
      <c r="B300" s="50">
        <v>289.0</v>
      </c>
      <c r="C300" s="55"/>
      <c r="D300" s="49" t="s">
        <v>1757</v>
      </c>
      <c r="E300" s="49" t="s">
        <v>1758</v>
      </c>
      <c r="F300" s="49" t="s">
        <v>173</v>
      </c>
      <c r="G300" s="48">
        <v>6747.0</v>
      </c>
      <c r="H300" s="48">
        <v>5130.0</v>
      </c>
      <c r="I300" s="48">
        <v>4157.0</v>
      </c>
      <c r="J300" s="72">
        <f t="shared" si="1"/>
        <v>5344.666667</v>
      </c>
      <c r="K300" s="55"/>
      <c r="L300" s="50">
        <v>1969.0</v>
      </c>
      <c r="M300" s="34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</row>
    <row r="301">
      <c r="A301" s="39"/>
      <c r="B301" s="50">
        <v>290.0</v>
      </c>
      <c r="C301" s="55"/>
      <c r="D301" s="49" t="s">
        <v>1759</v>
      </c>
      <c r="E301" s="49" t="s">
        <v>1760</v>
      </c>
      <c r="F301" s="49" t="s">
        <v>114</v>
      </c>
      <c r="G301" s="48">
        <v>6693.0</v>
      </c>
      <c r="H301" s="48">
        <v>5829.0</v>
      </c>
      <c r="I301" s="48">
        <v>4652.0</v>
      </c>
      <c r="J301" s="72">
        <f t="shared" si="1"/>
        <v>5724.666667</v>
      </c>
      <c r="K301" s="55"/>
      <c r="L301" s="55"/>
      <c r="M301" s="34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</row>
    <row r="302">
      <c r="A302" s="39"/>
      <c r="B302" s="50">
        <v>291.0</v>
      </c>
      <c r="C302" s="71"/>
      <c r="D302" s="49" t="s">
        <v>1761</v>
      </c>
      <c r="E302" s="49" t="s">
        <v>880</v>
      </c>
      <c r="F302" s="49" t="s">
        <v>61</v>
      </c>
      <c r="G302" s="48">
        <v>6670.0</v>
      </c>
      <c r="H302" s="48">
        <v>4870.0</v>
      </c>
      <c r="I302" s="48">
        <v>4870.0</v>
      </c>
      <c r="J302" s="72">
        <f t="shared" si="1"/>
        <v>5470</v>
      </c>
      <c r="K302" s="55"/>
      <c r="L302" s="50">
        <v>1964.0</v>
      </c>
      <c r="M302" s="34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</row>
    <row r="303">
      <c r="A303" s="39"/>
      <c r="B303" s="50">
        <v>292.0</v>
      </c>
      <c r="C303" s="71"/>
      <c r="D303" s="49" t="s">
        <v>1762</v>
      </c>
      <c r="E303" s="49" t="s">
        <v>292</v>
      </c>
      <c r="F303" s="49" t="s">
        <v>286</v>
      </c>
      <c r="G303" s="48">
        <v>6600.0</v>
      </c>
      <c r="H303" s="48">
        <v>6600.0</v>
      </c>
      <c r="I303" s="48">
        <v>5261.0</v>
      </c>
      <c r="J303" s="72">
        <f t="shared" si="1"/>
        <v>6153.666667</v>
      </c>
      <c r="K303" s="55"/>
      <c r="L303" s="50">
        <v>1974.0</v>
      </c>
      <c r="M303" s="34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</row>
    <row r="304">
      <c r="A304" s="39"/>
      <c r="B304" s="50">
        <v>293.0</v>
      </c>
      <c r="C304" s="55"/>
      <c r="D304" s="49" t="s">
        <v>1763</v>
      </c>
      <c r="E304" s="49" t="s">
        <v>1764</v>
      </c>
      <c r="F304" s="49" t="s">
        <v>65</v>
      </c>
      <c r="G304" s="48">
        <v>6600.0</v>
      </c>
      <c r="H304" s="48">
        <v>6832.0</v>
      </c>
      <c r="I304" s="48">
        <v>4760.0</v>
      </c>
      <c r="J304" s="72">
        <f t="shared" si="1"/>
        <v>6064</v>
      </c>
      <c r="K304" s="55"/>
      <c r="L304" s="50">
        <v>1999.0</v>
      </c>
      <c r="M304" s="34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</row>
    <row r="305">
      <c r="A305" s="39"/>
      <c r="B305" s="50">
        <v>294.0</v>
      </c>
      <c r="C305" s="55"/>
      <c r="D305" s="49" t="s">
        <v>1765</v>
      </c>
      <c r="E305" s="49" t="s">
        <v>1766</v>
      </c>
      <c r="F305" s="49" t="s">
        <v>69</v>
      </c>
      <c r="G305" s="48">
        <v>6600.0</v>
      </c>
      <c r="H305" s="48">
        <v>5540.0</v>
      </c>
      <c r="I305" s="48">
        <v>4000.0</v>
      </c>
      <c r="J305" s="72">
        <f t="shared" si="1"/>
        <v>5380</v>
      </c>
      <c r="K305" s="55"/>
      <c r="L305" s="55"/>
      <c r="M305" s="34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</row>
    <row r="306">
      <c r="A306" s="39"/>
      <c r="B306" s="50">
        <v>295.0</v>
      </c>
      <c r="C306" s="55"/>
      <c r="D306" s="49" t="s">
        <v>1767</v>
      </c>
      <c r="E306" s="49" t="s">
        <v>1768</v>
      </c>
      <c r="F306" s="49" t="s">
        <v>787</v>
      </c>
      <c r="G306" s="48">
        <v>6597.0</v>
      </c>
      <c r="H306" s="76"/>
      <c r="I306" s="48">
        <v>5500.0</v>
      </c>
      <c r="J306" s="72">
        <f t="shared" si="1"/>
        <v>6048.5</v>
      </c>
      <c r="K306" s="55"/>
      <c r="L306" s="50">
        <v>1973.0</v>
      </c>
      <c r="M306" s="34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</row>
    <row r="307">
      <c r="A307" s="39"/>
      <c r="B307" s="50">
        <v>296.0</v>
      </c>
      <c r="C307" s="55"/>
      <c r="D307" s="49" t="s">
        <v>1769</v>
      </c>
      <c r="E307" s="49" t="s">
        <v>1770</v>
      </c>
      <c r="F307" s="49" t="s">
        <v>65</v>
      </c>
      <c r="G307" s="48">
        <v>6560.0</v>
      </c>
      <c r="H307" s="48">
        <v>6019.0</v>
      </c>
      <c r="I307" s="48">
        <v>5176.0</v>
      </c>
      <c r="J307" s="72">
        <f t="shared" si="1"/>
        <v>5918.333333</v>
      </c>
      <c r="K307" s="55"/>
      <c r="L307" s="55"/>
      <c r="M307" s="34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</row>
    <row r="308">
      <c r="A308" s="39"/>
      <c r="B308" s="50">
        <v>297.0</v>
      </c>
      <c r="C308" s="71"/>
      <c r="D308" s="49" t="s">
        <v>1771</v>
      </c>
      <c r="E308" s="49" t="s">
        <v>1772</v>
      </c>
      <c r="F308" s="49" t="s">
        <v>61</v>
      </c>
      <c r="G308" s="48">
        <v>6548.0</v>
      </c>
      <c r="H308" s="48">
        <v>5260.0</v>
      </c>
      <c r="I308" s="48">
        <v>4898.0</v>
      </c>
      <c r="J308" s="72">
        <f t="shared" si="1"/>
        <v>5568.666667</v>
      </c>
      <c r="K308" s="55"/>
      <c r="L308" s="50">
        <v>1958.0</v>
      </c>
      <c r="M308" s="34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</row>
    <row r="309">
      <c r="A309" s="39"/>
      <c r="B309" s="50">
        <v>298.0</v>
      </c>
      <c r="C309" s="71"/>
      <c r="D309" s="49" t="s">
        <v>1773</v>
      </c>
      <c r="E309" s="49" t="s">
        <v>1774</v>
      </c>
      <c r="F309" s="49" t="s">
        <v>1599</v>
      </c>
      <c r="G309" s="48">
        <v>6539.0</v>
      </c>
      <c r="H309" s="48">
        <v>5703.0</v>
      </c>
      <c r="I309" s="48">
        <v>4595.0</v>
      </c>
      <c r="J309" s="72">
        <f t="shared" si="1"/>
        <v>5612.333333</v>
      </c>
      <c r="K309" s="55"/>
      <c r="L309" s="50">
        <v>1990.0</v>
      </c>
      <c r="M309" s="34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</row>
    <row r="310">
      <c r="A310" s="39"/>
      <c r="B310" s="50">
        <v>299.0</v>
      </c>
      <c r="C310" s="71"/>
      <c r="D310" s="49" t="s">
        <v>1775</v>
      </c>
      <c r="E310" s="49" t="s">
        <v>1776</v>
      </c>
      <c r="F310" s="49" t="s">
        <v>65</v>
      </c>
      <c r="G310" s="48">
        <v>6512.0</v>
      </c>
      <c r="H310" s="48">
        <v>5868.0</v>
      </c>
      <c r="I310" s="48">
        <v>5477.0</v>
      </c>
      <c r="J310" s="72">
        <f t="shared" si="1"/>
        <v>5952.333333</v>
      </c>
      <c r="K310" s="55"/>
      <c r="L310" s="50">
        <v>1965.0</v>
      </c>
      <c r="M310" s="34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</row>
    <row r="311">
      <c r="A311" s="39"/>
      <c r="B311" s="50">
        <v>300.0</v>
      </c>
      <c r="C311" s="71"/>
      <c r="D311" s="49" t="s">
        <v>1777</v>
      </c>
      <c r="E311" s="49" t="s">
        <v>849</v>
      </c>
      <c r="F311" s="49" t="s">
        <v>61</v>
      </c>
      <c r="G311" s="48">
        <v>6500.0</v>
      </c>
      <c r="H311" s="76"/>
      <c r="I311" s="76"/>
      <c r="J311" s="72">
        <f t="shared" si="1"/>
        <v>6500</v>
      </c>
      <c r="K311" s="55"/>
      <c r="L311" s="50">
        <v>1978.0</v>
      </c>
      <c r="M311" s="34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</row>
    <row r="312">
      <c r="A312" s="39"/>
      <c r="B312" s="50">
        <v>301.0</v>
      </c>
      <c r="C312" s="55"/>
      <c r="D312" s="49" t="s">
        <v>1778</v>
      </c>
      <c r="E312" s="49" t="s">
        <v>201</v>
      </c>
      <c r="F312" s="49" t="s">
        <v>91</v>
      </c>
      <c r="G312" s="48">
        <v>6500.0</v>
      </c>
      <c r="H312" s="48">
        <v>5968.0</v>
      </c>
      <c r="I312" s="48">
        <v>5380.0</v>
      </c>
      <c r="J312" s="72">
        <f t="shared" si="1"/>
        <v>5949.333333</v>
      </c>
      <c r="K312" s="55"/>
      <c r="L312" s="50">
        <v>2004.0</v>
      </c>
      <c r="M312" s="34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</row>
    <row r="313">
      <c r="A313" s="39"/>
      <c r="B313" s="50">
        <v>302.0</v>
      </c>
      <c r="C313" s="55"/>
      <c r="D313" s="49" t="s">
        <v>1779</v>
      </c>
      <c r="E313" s="49" t="s">
        <v>1780</v>
      </c>
      <c r="F313" s="49" t="s">
        <v>80</v>
      </c>
      <c r="G313" s="48">
        <v>6500.0</v>
      </c>
      <c r="H313" s="48">
        <v>5764.0</v>
      </c>
      <c r="I313" s="48">
        <v>5000.0</v>
      </c>
      <c r="J313" s="72">
        <f t="shared" si="1"/>
        <v>5754.666667</v>
      </c>
      <c r="K313" s="55"/>
      <c r="L313" s="55"/>
      <c r="M313" s="49" t="s">
        <v>1229</v>
      </c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</row>
    <row r="314">
      <c r="A314" s="39"/>
      <c r="B314" s="50">
        <v>303.0</v>
      </c>
      <c r="C314" s="55"/>
      <c r="D314" s="49" t="s">
        <v>1781</v>
      </c>
      <c r="E314" s="49" t="s">
        <v>1646</v>
      </c>
      <c r="F314" s="49" t="s">
        <v>84</v>
      </c>
      <c r="G314" s="48">
        <v>6500.0</v>
      </c>
      <c r="H314" s="48">
        <v>5632.0</v>
      </c>
      <c r="I314" s="48">
        <v>4300.0</v>
      </c>
      <c r="J314" s="72">
        <f t="shared" si="1"/>
        <v>5477.333333</v>
      </c>
      <c r="K314" s="55"/>
      <c r="L314" s="50">
        <v>1982.0</v>
      </c>
      <c r="M314" s="34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</row>
    <row r="315">
      <c r="A315" s="39"/>
      <c r="B315" s="50">
        <v>304.0</v>
      </c>
      <c r="C315" s="55"/>
      <c r="D315" s="49" t="s">
        <v>1782</v>
      </c>
      <c r="E315" s="49" t="s">
        <v>1783</v>
      </c>
      <c r="F315" s="49" t="s">
        <v>61</v>
      </c>
      <c r="G315" s="48">
        <v>6500.0</v>
      </c>
      <c r="H315" s="48">
        <v>5600.0</v>
      </c>
      <c r="I315" s="48">
        <v>4794.0</v>
      </c>
      <c r="J315" s="72">
        <f t="shared" si="1"/>
        <v>5631.333333</v>
      </c>
      <c r="K315" s="55"/>
      <c r="L315" s="50">
        <v>1953.0</v>
      </c>
      <c r="M315" s="34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</row>
    <row r="316">
      <c r="A316" s="39"/>
      <c r="B316" s="50">
        <v>305.0</v>
      </c>
      <c r="C316" s="55"/>
      <c r="D316" s="49" t="s">
        <v>1784</v>
      </c>
      <c r="E316" s="49" t="s">
        <v>1785</v>
      </c>
      <c r="F316" s="49" t="s">
        <v>369</v>
      </c>
      <c r="G316" s="48">
        <v>6500.0</v>
      </c>
      <c r="H316" s="48">
        <v>5500.0</v>
      </c>
      <c r="I316" s="48">
        <v>4700.0</v>
      </c>
      <c r="J316" s="72">
        <f t="shared" si="1"/>
        <v>5566.666667</v>
      </c>
      <c r="K316" s="47" t="s">
        <v>1786</v>
      </c>
      <c r="L316" s="50">
        <v>2008.0</v>
      </c>
      <c r="M316" s="34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</row>
    <row r="317">
      <c r="A317" s="39"/>
      <c r="B317" s="50">
        <v>306.0</v>
      </c>
      <c r="C317" s="55"/>
      <c r="D317" s="49" t="s">
        <v>1787</v>
      </c>
      <c r="E317" s="49" t="s">
        <v>1788</v>
      </c>
      <c r="F317" s="49" t="s">
        <v>48</v>
      </c>
      <c r="G317" s="48">
        <v>6500.0</v>
      </c>
      <c r="H317" s="48">
        <v>4675.0</v>
      </c>
      <c r="I317" s="76"/>
      <c r="J317" s="72">
        <f t="shared" si="1"/>
        <v>5587.5</v>
      </c>
      <c r="K317" s="55"/>
      <c r="L317" s="50">
        <v>1980.0</v>
      </c>
      <c r="M317" s="34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</row>
    <row r="318">
      <c r="A318" s="39"/>
      <c r="B318" s="50">
        <v>307.0</v>
      </c>
      <c r="C318" s="71"/>
      <c r="D318" s="49" t="s">
        <v>1789</v>
      </c>
      <c r="E318" s="49" t="s">
        <v>716</v>
      </c>
      <c r="F318" s="49" t="s">
        <v>84</v>
      </c>
      <c r="G318" s="48">
        <v>6500.0</v>
      </c>
      <c r="H318" s="76"/>
      <c r="I318" s="76"/>
      <c r="J318" s="72">
        <f t="shared" si="1"/>
        <v>6500</v>
      </c>
      <c r="K318" s="55"/>
      <c r="L318" s="50">
        <v>1927.0</v>
      </c>
      <c r="M318" s="34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</row>
    <row r="319">
      <c r="A319" s="39"/>
      <c r="B319" s="50">
        <v>308.0</v>
      </c>
      <c r="C319" s="55"/>
      <c r="D319" s="49" t="s">
        <v>1790</v>
      </c>
      <c r="E319" s="49" t="s">
        <v>1791</v>
      </c>
      <c r="F319" s="49" t="s">
        <v>69</v>
      </c>
      <c r="G319" s="48">
        <v>6500.0</v>
      </c>
      <c r="H319" s="48">
        <v>6100.0</v>
      </c>
      <c r="I319" s="76"/>
      <c r="J319" s="72">
        <f t="shared" si="1"/>
        <v>6300</v>
      </c>
      <c r="K319" s="55"/>
      <c r="L319" s="50">
        <v>1977.0</v>
      </c>
      <c r="M319" s="34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</row>
    <row r="320">
      <c r="A320" s="39"/>
      <c r="B320" s="50">
        <v>309.0</v>
      </c>
      <c r="C320" s="55"/>
      <c r="D320" s="49" t="s">
        <v>1792</v>
      </c>
      <c r="E320" s="49" t="s">
        <v>1793</v>
      </c>
      <c r="F320" s="49" t="s">
        <v>232</v>
      </c>
      <c r="G320" s="48">
        <v>6500.0</v>
      </c>
      <c r="H320" s="48">
        <v>5540.0</v>
      </c>
      <c r="I320" s="48">
        <v>4900.0</v>
      </c>
      <c r="J320" s="72">
        <f t="shared" si="1"/>
        <v>5646.666667</v>
      </c>
      <c r="K320" s="55"/>
      <c r="L320" s="50">
        <v>1994.0</v>
      </c>
      <c r="M320" s="34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</row>
    <row r="321">
      <c r="A321" s="39"/>
      <c r="B321" s="50">
        <v>310.0</v>
      </c>
      <c r="C321" s="71"/>
      <c r="D321" s="49" t="s">
        <v>1794</v>
      </c>
      <c r="E321" s="49" t="s">
        <v>1034</v>
      </c>
      <c r="F321" s="49" t="s">
        <v>48</v>
      </c>
      <c r="G321" s="48">
        <v>6469.0</v>
      </c>
      <c r="H321" s="48">
        <v>4421.0</v>
      </c>
      <c r="I321" s="48">
        <v>4365.0</v>
      </c>
      <c r="J321" s="72">
        <f t="shared" si="1"/>
        <v>5085</v>
      </c>
      <c r="K321" s="47" t="s">
        <v>1795</v>
      </c>
      <c r="L321" s="50">
        <v>1969.0</v>
      </c>
      <c r="M321" s="34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</row>
    <row r="322">
      <c r="A322" s="39"/>
      <c r="B322" s="50">
        <v>311.0</v>
      </c>
      <c r="C322" s="55"/>
      <c r="D322" s="49" t="s">
        <v>1796</v>
      </c>
      <c r="E322" s="49" t="s">
        <v>1797</v>
      </c>
      <c r="F322" s="49" t="s">
        <v>286</v>
      </c>
      <c r="G322" s="48">
        <v>6444.0</v>
      </c>
      <c r="H322" s="76"/>
      <c r="I322" s="48">
        <v>4954.0</v>
      </c>
      <c r="J322" s="72">
        <f t="shared" si="1"/>
        <v>5699</v>
      </c>
      <c r="K322" s="55"/>
      <c r="L322" s="50">
        <v>2009.0</v>
      </c>
      <c r="M322" s="34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</row>
    <row r="323">
      <c r="A323" s="39"/>
      <c r="B323" s="50">
        <v>312.0</v>
      </c>
      <c r="C323" s="55"/>
      <c r="D323" s="49" t="s">
        <v>1798</v>
      </c>
      <c r="E323" s="49" t="s">
        <v>1395</v>
      </c>
      <c r="F323" s="49" t="s">
        <v>214</v>
      </c>
      <c r="G323" s="48">
        <v>6441.0</v>
      </c>
      <c r="H323" s="76"/>
      <c r="I323" s="48">
        <v>4741.0</v>
      </c>
      <c r="J323" s="72">
        <f t="shared" si="1"/>
        <v>5591</v>
      </c>
      <c r="K323" s="55"/>
      <c r="L323" s="50">
        <v>1966.0</v>
      </c>
      <c r="M323" s="34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</row>
    <row r="324">
      <c r="A324" s="39"/>
      <c r="B324" s="50">
        <v>313.0</v>
      </c>
      <c r="C324" s="55"/>
      <c r="D324" s="49" t="s">
        <v>1799</v>
      </c>
      <c r="E324" s="49" t="s">
        <v>1800</v>
      </c>
      <c r="F324" s="49" t="s">
        <v>214</v>
      </c>
      <c r="G324" s="48">
        <v>6400.0</v>
      </c>
      <c r="H324" s="76"/>
      <c r="I324" s="76"/>
      <c r="J324" s="72">
        <f t="shared" si="1"/>
        <v>6400</v>
      </c>
      <c r="K324" s="47" t="s">
        <v>1801</v>
      </c>
      <c r="L324" s="50">
        <v>1965.0</v>
      </c>
      <c r="M324" s="34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</row>
    <row r="325">
      <c r="A325" s="39"/>
      <c r="B325" s="50">
        <v>314.0</v>
      </c>
      <c r="C325" s="55"/>
      <c r="D325" s="49" t="s">
        <v>1802</v>
      </c>
      <c r="E325" s="49" t="s">
        <v>1803</v>
      </c>
      <c r="F325" s="49" t="s">
        <v>1804</v>
      </c>
      <c r="G325" s="48">
        <v>6400.0</v>
      </c>
      <c r="H325" s="48">
        <v>5400.0</v>
      </c>
      <c r="I325" s="48">
        <v>4175.0</v>
      </c>
      <c r="J325" s="72">
        <f t="shared" si="1"/>
        <v>5325</v>
      </c>
      <c r="K325" s="55"/>
      <c r="L325" s="50">
        <v>2000.0</v>
      </c>
      <c r="M325" s="34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</row>
    <row r="326">
      <c r="A326" s="39"/>
      <c r="B326" s="50">
        <v>315.0</v>
      </c>
      <c r="C326" s="55"/>
      <c r="D326" s="49" t="s">
        <v>1805</v>
      </c>
      <c r="E326" s="49" t="s">
        <v>1806</v>
      </c>
      <c r="F326" s="49" t="s">
        <v>48</v>
      </c>
      <c r="G326" s="48">
        <v>6396.0</v>
      </c>
      <c r="H326" s="48">
        <v>6000.0</v>
      </c>
      <c r="I326" s="48">
        <v>5100.0</v>
      </c>
      <c r="J326" s="72">
        <f t="shared" si="1"/>
        <v>5832</v>
      </c>
      <c r="K326" s="47" t="s">
        <v>1807</v>
      </c>
      <c r="L326" s="50">
        <v>1960.0</v>
      </c>
      <c r="M326" s="34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</row>
    <row r="327">
      <c r="A327" s="39"/>
      <c r="B327" s="50">
        <v>316.0</v>
      </c>
      <c r="C327" s="55"/>
      <c r="D327" s="49" t="s">
        <v>1808</v>
      </c>
      <c r="E327" s="49" t="s">
        <v>1809</v>
      </c>
      <c r="F327" s="49" t="s">
        <v>243</v>
      </c>
      <c r="G327" s="48">
        <v>6360.0</v>
      </c>
      <c r="H327" s="48">
        <v>5592.0</v>
      </c>
      <c r="I327" s="48">
        <v>4400.0</v>
      </c>
      <c r="J327" s="72">
        <f t="shared" si="1"/>
        <v>5450.666667</v>
      </c>
      <c r="K327" s="55"/>
      <c r="L327" s="55"/>
      <c r="M327" s="34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</row>
    <row r="328">
      <c r="A328" s="39"/>
      <c r="B328" s="50">
        <v>317.0</v>
      </c>
      <c r="C328" s="55"/>
      <c r="D328" s="49" t="s">
        <v>1810</v>
      </c>
      <c r="E328" s="49" t="s">
        <v>565</v>
      </c>
      <c r="F328" s="49" t="s">
        <v>114</v>
      </c>
      <c r="G328" s="48">
        <v>6311.0</v>
      </c>
      <c r="H328" s="48">
        <v>5039.0</v>
      </c>
      <c r="I328" s="76"/>
      <c r="J328" s="72">
        <f t="shared" si="1"/>
        <v>5675</v>
      </c>
      <c r="K328" s="47" t="s">
        <v>1811</v>
      </c>
      <c r="L328" s="50">
        <v>1937.0</v>
      </c>
      <c r="M328" s="34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</row>
    <row r="329">
      <c r="A329" s="39"/>
      <c r="B329" s="50">
        <v>318.0</v>
      </c>
      <c r="C329" s="71"/>
      <c r="D329" s="49" t="s">
        <v>1812</v>
      </c>
      <c r="E329" s="49" t="s">
        <v>733</v>
      </c>
      <c r="F329" s="49" t="s">
        <v>57</v>
      </c>
      <c r="G329" s="48">
        <v>6300.0</v>
      </c>
      <c r="H329" s="48">
        <v>5900.0</v>
      </c>
      <c r="I329" s="48">
        <v>5717.0</v>
      </c>
      <c r="J329" s="72">
        <f t="shared" si="1"/>
        <v>5972.333333</v>
      </c>
      <c r="K329" s="47" t="s">
        <v>1813</v>
      </c>
      <c r="L329" s="50">
        <v>2005.0</v>
      </c>
      <c r="M329" s="34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</row>
    <row r="330">
      <c r="A330" s="39"/>
      <c r="B330" s="50">
        <v>319.0</v>
      </c>
      <c r="C330" s="55"/>
      <c r="D330" s="49" t="s">
        <v>1814</v>
      </c>
      <c r="E330" s="49" t="s">
        <v>552</v>
      </c>
      <c r="F330" s="49" t="s">
        <v>48</v>
      </c>
      <c r="G330" s="48">
        <v>6300.0</v>
      </c>
      <c r="H330" s="76"/>
      <c r="I330" s="48">
        <v>5123.0</v>
      </c>
      <c r="J330" s="72">
        <f t="shared" si="1"/>
        <v>5711.5</v>
      </c>
      <c r="K330" s="47" t="s">
        <v>1815</v>
      </c>
      <c r="L330" s="50">
        <v>1974.0</v>
      </c>
      <c r="M330" s="34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</row>
    <row r="331">
      <c r="A331" s="39"/>
      <c r="B331" s="50">
        <v>320.0</v>
      </c>
      <c r="C331" s="55"/>
      <c r="D331" s="49" t="s">
        <v>1816</v>
      </c>
      <c r="E331" s="49" t="s">
        <v>813</v>
      </c>
      <c r="F331" s="49" t="s">
        <v>135</v>
      </c>
      <c r="G331" s="48">
        <v>6300.0</v>
      </c>
      <c r="H331" s="76"/>
      <c r="I331" s="48">
        <v>4500.0</v>
      </c>
      <c r="J331" s="72">
        <f t="shared" si="1"/>
        <v>5400</v>
      </c>
      <c r="K331" s="47" t="s">
        <v>1817</v>
      </c>
      <c r="L331" s="50">
        <v>2024.0</v>
      </c>
      <c r="M331" s="34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</row>
    <row r="332">
      <c r="A332" s="39"/>
      <c r="B332" s="50">
        <v>321.0</v>
      </c>
      <c r="C332" s="55"/>
      <c r="D332" s="49" t="s">
        <v>1818</v>
      </c>
      <c r="E332" s="49" t="s">
        <v>597</v>
      </c>
      <c r="F332" s="49" t="s">
        <v>232</v>
      </c>
      <c r="G332" s="48">
        <v>6200.0</v>
      </c>
      <c r="H332" s="76"/>
      <c r="I332" s="48">
        <v>6200.0</v>
      </c>
      <c r="J332" s="72">
        <f t="shared" si="1"/>
        <v>6200</v>
      </c>
      <c r="K332" s="55"/>
      <c r="L332" s="55"/>
      <c r="M332" s="34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</row>
    <row r="333">
      <c r="A333" s="39"/>
      <c r="B333" s="50">
        <v>322.0</v>
      </c>
      <c r="C333" s="71"/>
      <c r="D333" s="49" t="s">
        <v>1819</v>
      </c>
      <c r="E333" s="49" t="s">
        <v>1820</v>
      </c>
      <c r="F333" s="49" t="s">
        <v>139</v>
      </c>
      <c r="G333" s="48">
        <v>6200.0</v>
      </c>
      <c r="H333" s="48">
        <v>6000.0</v>
      </c>
      <c r="I333" s="76"/>
      <c r="J333" s="72">
        <f t="shared" si="1"/>
        <v>6100</v>
      </c>
      <c r="K333" s="55"/>
      <c r="L333" s="50">
        <v>2003.0</v>
      </c>
      <c r="M333" s="34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</row>
    <row r="334">
      <c r="A334" s="39"/>
      <c r="B334" s="50">
        <v>323.0</v>
      </c>
      <c r="C334" s="55"/>
      <c r="D334" s="49" t="s">
        <v>1821</v>
      </c>
      <c r="E334" s="49" t="s">
        <v>1510</v>
      </c>
      <c r="F334" s="49" t="s">
        <v>369</v>
      </c>
      <c r="G334" s="48">
        <v>6200.0</v>
      </c>
      <c r="H334" s="48">
        <v>5440.0</v>
      </c>
      <c r="I334" s="48">
        <v>4636.0</v>
      </c>
      <c r="J334" s="72">
        <f t="shared" si="1"/>
        <v>5425.333333</v>
      </c>
      <c r="K334" s="55"/>
      <c r="L334" s="50">
        <v>1987.0</v>
      </c>
      <c r="M334" s="34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</row>
    <row r="335">
      <c r="A335" s="39"/>
      <c r="B335" s="50">
        <v>324.0</v>
      </c>
      <c r="C335" s="71"/>
      <c r="D335" s="49" t="s">
        <v>1822</v>
      </c>
      <c r="E335" s="49" t="s">
        <v>1823</v>
      </c>
      <c r="F335" s="49" t="s">
        <v>247</v>
      </c>
      <c r="G335" s="48">
        <v>6200.0</v>
      </c>
      <c r="H335" s="48">
        <v>5100.0</v>
      </c>
      <c r="I335" s="48">
        <v>4810.0</v>
      </c>
      <c r="J335" s="72">
        <f t="shared" si="1"/>
        <v>5370</v>
      </c>
      <c r="K335" s="55"/>
      <c r="L335" s="50">
        <v>2006.0</v>
      </c>
      <c r="M335" s="34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</row>
    <row r="336">
      <c r="A336" s="39"/>
      <c r="B336" s="50">
        <v>325.0</v>
      </c>
      <c r="C336" s="71"/>
      <c r="D336" s="49" t="s">
        <v>1824</v>
      </c>
      <c r="E336" s="49" t="s">
        <v>1825</v>
      </c>
      <c r="F336" s="49" t="s">
        <v>627</v>
      </c>
      <c r="G336" s="48">
        <v>6165.0</v>
      </c>
      <c r="H336" s="48">
        <v>4895.0</v>
      </c>
      <c r="I336" s="48">
        <v>4895.0</v>
      </c>
      <c r="J336" s="72">
        <f t="shared" si="1"/>
        <v>5318.333333</v>
      </c>
      <c r="K336" s="55"/>
      <c r="L336" s="50">
        <v>1979.0</v>
      </c>
      <c r="M336" s="34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</row>
    <row r="337">
      <c r="A337" s="39"/>
      <c r="B337" s="50">
        <v>326.0</v>
      </c>
      <c r="C337" s="55"/>
      <c r="D337" s="49" t="s">
        <v>1826</v>
      </c>
      <c r="E337" s="49" t="s">
        <v>1809</v>
      </c>
      <c r="F337" s="49" t="s">
        <v>243</v>
      </c>
      <c r="G337" s="48">
        <v>6040.0</v>
      </c>
      <c r="H337" s="48">
        <v>5272.0</v>
      </c>
      <c r="I337" s="48">
        <v>4200.0</v>
      </c>
      <c r="J337" s="72">
        <f t="shared" si="1"/>
        <v>5170.666667</v>
      </c>
      <c r="K337" s="55"/>
      <c r="L337" s="55"/>
      <c r="M337" s="34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</row>
    <row r="338">
      <c r="A338" s="39"/>
      <c r="B338" s="50">
        <v>327.0</v>
      </c>
      <c r="C338" s="71"/>
      <c r="D338" s="49" t="s">
        <v>1827</v>
      </c>
      <c r="E338" s="49" t="s">
        <v>1828</v>
      </c>
      <c r="F338" s="49" t="s">
        <v>143</v>
      </c>
      <c r="G338" s="48">
        <v>6000.0</v>
      </c>
      <c r="H338" s="48">
        <v>6000.0</v>
      </c>
      <c r="I338" s="48">
        <v>5917.0</v>
      </c>
      <c r="J338" s="72">
        <f t="shared" si="1"/>
        <v>5972.333333</v>
      </c>
      <c r="K338" s="55"/>
      <c r="L338" s="50">
        <v>2006.0</v>
      </c>
      <c r="M338" s="34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</row>
    <row r="339">
      <c r="A339" s="39"/>
      <c r="B339" s="50">
        <v>328.0</v>
      </c>
      <c r="C339" s="55"/>
      <c r="D339" s="49" t="s">
        <v>1829</v>
      </c>
      <c r="E339" s="49" t="s">
        <v>678</v>
      </c>
      <c r="F339" s="49" t="s">
        <v>222</v>
      </c>
      <c r="G339" s="48">
        <v>6000.0</v>
      </c>
      <c r="H339" s="48">
        <v>6000.0</v>
      </c>
      <c r="I339" s="48">
        <v>6000.0</v>
      </c>
      <c r="J339" s="72">
        <f t="shared" si="1"/>
        <v>6000</v>
      </c>
      <c r="K339" s="55"/>
      <c r="L339" s="50">
        <v>1982.0</v>
      </c>
      <c r="M339" s="34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</row>
    <row r="340">
      <c r="A340" s="39"/>
      <c r="B340" s="50">
        <v>329.0</v>
      </c>
      <c r="C340" s="55"/>
      <c r="D340" s="49" t="s">
        <v>1830</v>
      </c>
      <c r="E340" s="49" t="s">
        <v>1103</v>
      </c>
      <c r="F340" s="49" t="s">
        <v>69</v>
      </c>
      <c r="G340" s="48">
        <v>6000.0</v>
      </c>
      <c r="H340" s="48">
        <v>5500.0</v>
      </c>
      <c r="I340" s="48">
        <v>5000.0</v>
      </c>
      <c r="J340" s="72">
        <f t="shared" si="1"/>
        <v>5500</v>
      </c>
      <c r="K340" s="47" t="s">
        <v>1831</v>
      </c>
      <c r="L340" s="50">
        <v>2023.0</v>
      </c>
      <c r="M340" s="34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</row>
    <row r="341">
      <c r="A341" s="39"/>
      <c r="B341" s="50">
        <v>330.0</v>
      </c>
      <c r="C341" s="55"/>
      <c r="D341" s="49" t="s">
        <v>1832</v>
      </c>
      <c r="E341" s="49" t="s">
        <v>166</v>
      </c>
      <c r="F341" s="49" t="s">
        <v>76</v>
      </c>
      <c r="G341" s="48">
        <v>6000.0</v>
      </c>
      <c r="H341" s="76"/>
      <c r="I341" s="76"/>
      <c r="J341" s="72">
        <f t="shared" si="1"/>
        <v>6000</v>
      </c>
      <c r="K341" s="55"/>
      <c r="L341" s="50">
        <v>1980.0</v>
      </c>
      <c r="M341" s="34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</row>
    <row r="342">
      <c r="A342" s="39"/>
      <c r="B342" s="50">
        <v>331.0</v>
      </c>
      <c r="C342" s="71"/>
      <c r="D342" s="49" t="s">
        <v>1833</v>
      </c>
      <c r="E342" s="49" t="s">
        <v>166</v>
      </c>
      <c r="F342" s="49" t="s">
        <v>76</v>
      </c>
      <c r="G342" s="48">
        <v>6000.0</v>
      </c>
      <c r="H342" s="48">
        <v>5000.0</v>
      </c>
      <c r="I342" s="76"/>
      <c r="J342" s="72">
        <f t="shared" si="1"/>
        <v>5500</v>
      </c>
      <c r="K342" s="55"/>
      <c r="L342" s="50">
        <v>1924.0</v>
      </c>
      <c r="M342" s="34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</row>
    <row r="343">
      <c r="A343" s="39"/>
      <c r="B343" s="50">
        <v>332.0</v>
      </c>
      <c r="C343" s="55"/>
      <c r="D343" s="49" t="s">
        <v>1834</v>
      </c>
      <c r="E343" s="49" t="s">
        <v>1835</v>
      </c>
      <c r="F343" s="49" t="s">
        <v>53</v>
      </c>
      <c r="G343" s="48">
        <v>6000.0</v>
      </c>
      <c r="H343" s="48">
        <v>5000.0</v>
      </c>
      <c r="I343" s="48">
        <v>3725.0</v>
      </c>
      <c r="J343" s="72">
        <f t="shared" si="1"/>
        <v>4908.333333</v>
      </c>
      <c r="K343" s="55"/>
      <c r="L343" s="50">
        <v>1950.0</v>
      </c>
      <c r="M343" s="34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</row>
    <row r="344">
      <c r="A344" s="39"/>
      <c r="B344" s="50">
        <v>333.0</v>
      </c>
      <c r="C344" s="71"/>
      <c r="D344" s="49" t="s">
        <v>1836</v>
      </c>
      <c r="E344" s="49" t="s">
        <v>341</v>
      </c>
      <c r="F344" s="49" t="s">
        <v>61</v>
      </c>
      <c r="G344" s="48">
        <v>6000.0</v>
      </c>
      <c r="H344" s="48">
        <v>5600.0</v>
      </c>
      <c r="I344" s="48">
        <v>5100.0</v>
      </c>
      <c r="J344" s="72">
        <f t="shared" si="1"/>
        <v>5566.666667</v>
      </c>
      <c r="K344" s="55"/>
      <c r="L344" s="50">
        <v>1942.0</v>
      </c>
      <c r="M344" s="34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</row>
    <row r="345">
      <c r="A345" s="39"/>
      <c r="B345" s="50">
        <v>334.0</v>
      </c>
      <c r="C345" s="55"/>
      <c r="D345" s="49" t="s">
        <v>1837</v>
      </c>
      <c r="E345" s="49" t="s">
        <v>1838</v>
      </c>
      <c r="F345" s="49" t="s">
        <v>184</v>
      </c>
      <c r="G345" s="48">
        <v>6000.0</v>
      </c>
      <c r="H345" s="76"/>
      <c r="I345" s="48">
        <v>5100.0</v>
      </c>
      <c r="J345" s="72">
        <f t="shared" si="1"/>
        <v>5550</v>
      </c>
      <c r="K345" s="47" t="s">
        <v>1839</v>
      </c>
      <c r="L345" s="50">
        <v>2021.0</v>
      </c>
      <c r="M345" s="34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</row>
    <row r="346">
      <c r="A346" s="39"/>
      <c r="B346" s="50">
        <v>335.0</v>
      </c>
      <c r="C346" s="55"/>
      <c r="D346" s="49" t="s">
        <v>1840</v>
      </c>
      <c r="E346" s="49" t="s">
        <v>1841</v>
      </c>
      <c r="F346" s="49" t="s">
        <v>504</v>
      </c>
      <c r="G346" s="48">
        <v>6000.0</v>
      </c>
      <c r="H346" s="48">
        <v>5120.0</v>
      </c>
      <c r="I346" s="48">
        <v>4000.0</v>
      </c>
      <c r="J346" s="72">
        <f t="shared" si="1"/>
        <v>5040</v>
      </c>
      <c r="K346" s="47" t="s">
        <v>1842</v>
      </c>
      <c r="L346" s="50">
        <v>2022.0</v>
      </c>
      <c r="M346" s="34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</row>
    <row r="347">
      <c r="A347" s="39"/>
      <c r="B347" s="50">
        <v>336.0</v>
      </c>
      <c r="C347" s="71"/>
      <c r="D347" s="49" t="s">
        <v>1843</v>
      </c>
      <c r="E347" s="49" t="s">
        <v>292</v>
      </c>
      <c r="F347" s="49" t="s">
        <v>286</v>
      </c>
      <c r="G347" s="48">
        <v>6000.0</v>
      </c>
      <c r="H347" s="76"/>
      <c r="I347" s="76"/>
      <c r="J347" s="72">
        <f t="shared" si="1"/>
        <v>6000</v>
      </c>
      <c r="K347" s="55"/>
      <c r="L347" s="50">
        <v>1905.0</v>
      </c>
      <c r="M347" s="34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</row>
    <row r="348">
      <c r="A348" s="39"/>
      <c r="B348" s="50">
        <v>337.0</v>
      </c>
      <c r="C348" s="55"/>
      <c r="D348" s="49" t="s">
        <v>1844</v>
      </c>
      <c r="E348" s="49" t="s">
        <v>1845</v>
      </c>
      <c r="F348" s="49" t="s">
        <v>236</v>
      </c>
      <c r="G348" s="48">
        <v>6000.0</v>
      </c>
      <c r="H348" s="76"/>
      <c r="I348" s="76"/>
      <c r="J348" s="72">
        <f t="shared" si="1"/>
        <v>6000</v>
      </c>
      <c r="K348" s="55"/>
      <c r="L348" s="50">
        <v>2000.0</v>
      </c>
      <c r="M348" s="34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</row>
    <row r="349">
      <c r="A349" s="39"/>
      <c r="B349" s="50">
        <v>338.0</v>
      </c>
      <c r="C349" s="55"/>
      <c r="D349" s="49" t="s">
        <v>1846</v>
      </c>
      <c r="E349" s="49" t="s">
        <v>1847</v>
      </c>
      <c r="F349" s="49" t="s">
        <v>232</v>
      </c>
      <c r="G349" s="48">
        <v>6000.0</v>
      </c>
      <c r="H349" s="76"/>
      <c r="I349" s="76"/>
      <c r="J349" s="72">
        <f t="shared" si="1"/>
        <v>6000</v>
      </c>
      <c r="K349" s="47" t="s">
        <v>1848</v>
      </c>
      <c r="L349" s="50">
        <v>2022.0</v>
      </c>
      <c r="M349" s="34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</row>
    <row r="350">
      <c r="A350" s="39"/>
      <c r="B350" s="50">
        <v>339.0</v>
      </c>
      <c r="C350" s="55"/>
      <c r="D350" s="49" t="s">
        <v>1849</v>
      </c>
      <c r="E350" s="49" t="s">
        <v>1850</v>
      </c>
      <c r="F350" s="49" t="s">
        <v>369</v>
      </c>
      <c r="G350" s="48">
        <v>6000.0</v>
      </c>
      <c r="H350" s="76"/>
      <c r="I350" s="48">
        <v>3400.0</v>
      </c>
      <c r="J350" s="72">
        <f t="shared" si="1"/>
        <v>4700</v>
      </c>
      <c r="K350" s="55"/>
      <c r="L350" s="55"/>
      <c r="M350" s="34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</row>
    <row r="351">
      <c r="A351" s="39"/>
      <c r="B351" s="50">
        <v>340.0</v>
      </c>
      <c r="C351" s="55"/>
      <c r="D351" s="49" t="s">
        <v>1851</v>
      </c>
      <c r="E351" s="49" t="s">
        <v>1852</v>
      </c>
      <c r="F351" s="49" t="s">
        <v>84</v>
      </c>
      <c r="G351" s="48">
        <v>5904.0</v>
      </c>
      <c r="H351" s="48">
        <v>4992.0</v>
      </c>
      <c r="I351" s="48">
        <v>4304.0</v>
      </c>
      <c r="J351" s="72">
        <f t="shared" si="1"/>
        <v>5066.666667</v>
      </c>
      <c r="K351" s="55"/>
      <c r="L351" s="55"/>
      <c r="M351" s="34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</row>
    <row r="352">
      <c r="A352" s="39"/>
      <c r="B352" s="50">
        <v>341.0</v>
      </c>
      <c r="C352" s="55"/>
      <c r="D352" s="49" t="s">
        <v>1853</v>
      </c>
      <c r="E352" s="49" t="s">
        <v>1854</v>
      </c>
      <c r="F352" s="49" t="s">
        <v>218</v>
      </c>
      <c r="G352" s="48">
        <v>5900.0</v>
      </c>
      <c r="H352" s="76"/>
      <c r="I352" s="48">
        <v>5513.0</v>
      </c>
      <c r="J352" s="72">
        <f t="shared" si="1"/>
        <v>5706.5</v>
      </c>
      <c r="K352" s="55"/>
      <c r="L352" s="50">
        <v>1926.0</v>
      </c>
      <c r="M352" s="34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</row>
    <row r="353">
      <c r="A353" s="39"/>
      <c r="B353" s="50">
        <v>342.0</v>
      </c>
      <c r="C353" s="55"/>
      <c r="D353" s="49" t="s">
        <v>1855</v>
      </c>
      <c r="E353" s="49" t="s">
        <v>1856</v>
      </c>
      <c r="F353" s="49" t="s">
        <v>173</v>
      </c>
      <c r="G353" s="48">
        <v>5892.0</v>
      </c>
      <c r="H353" s="48">
        <v>5100.0</v>
      </c>
      <c r="I353" s="48">
        <v>5100.0</v>
      </c>
      <c r="J353" s="72">
        <f t="shared" si="1"/>
        <v>5364</v>
      </c>
      <c r="K353" s="55"/>
      <c r="L353" s="50">
        <v>1993.0</v>
      </c>
      <c r="M353" s="49" t="s">
        <v>1232</v>
      </c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</row>
    <row r="354">
      <c r="A354" s="39"/>
      <c r="B354" s="50">
        <v>343.0</v>
      </c>
      <c r="C354" s="55"/>
      <c r="D354" s="49" t="s">
        <v>1857</v>
      </c>
      <c r="E354" s="49" t="s">
        <v>779</v>
      </c>
      <c r="F354" s="49" t="s">
        <v>214</v>
      </c>
      <c r="G354" s="48">
        <v>5844.0</v>
      </c>
      <c r="H354" s="48">
        <v>4504.0</v>
      </c>
      <c r="I354" s="48">
        <v>3644.0</v>
      </c>
      <c r="J354" s="72">
        <f t="shared" si="1"/>
        <v>4664</v>
      </c>
      <c r="K354" s="55"/>
      <c r="L354" s="50">
        <v>1932.0</v>
      </c>
      <c r="M354" s="49" t="s">
        <v>1239</v>
      </c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</row>
    <row r="355">
      <c r="A355" s="39"/>
      <c r="B355" s="50">
        <v>344.0</v>
      </c>
      <c r="C355" s="71"/>
      <c r="D355" s="49" t="s">
        <v>1858</v>
      </c>
      <c r="E355" s="49" t="s">
        <v>1859</v>
      </c>
      <c r="F355" s="49" t="s">
        <v>1107</v>
      </c>
      <c r="G355" s="48">
        <v>5800.0</v>
      </c>
      <c r="H355" s="48">
        <v>8500.0</v>
      </c>
      <c r="I355" s="48">
        <v>5800.0</v>
      </c>
      <c r="J355" s="72">
        <f t="shared" si="1"/>
        <v>6700</v>
      </c>
      <c r="K355" s="47" t="s">
        <v>1860</v>
      </c>
      <c r="L355" s="50">
        <v>2013.0</v>
      </c>
      <c r="M355" s="34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</row>
    <row r="356">
      <c r="A356" s="39"/>
      <c r="B356" s="50">
        <v>345.0</v>
      </c>
      <c r="C356" s="55"/>
      <c r="D356" s="49" t="s">
        <v>1861</v>
      </c>
      <c r="E356" s="49" t="s">
        <v>1862</v>
      </c>
      <c r="F356" s="49" t="s">
        <v>180</v>
      </c>
      <c r="G356" s="48">
        <v>5800.0</v>
      </c>
      <c r="H356" s="48">
        <v>5000.0</v>
      </c>
      <c r="I356" s="48">
        <v>4300.0</v>
      </c>
      <c r="J356" s="72">
        <f t="shared" si="1"/>
        <v>5033.333333</v>
      </c>
      <c r="K356" s="47" t="s">
        <v>1863</v>
      </c>
      <c r="L356" s="50">
        <v>2008.0</v>
      </c>
      <c r="M356" s="34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</row>
    <row r="357">
      <c r="A357" s="39"/>
      <c r="B357" s="50">
        <v>346.0</v>
      </c>
      <c r="C357" s="55"/>
      <c r="D357" s="49" t="s">
        <v>1864</v>
      </c>
      <c r="E357" s="49" t="s">
        <v>1865</v>
      </c>
      <c r="F357" s="49" t="s">
        <v>214</v>
      </c>
      <c r="G357" s="48">
        <v>5785.0</v>
      </c>
      <c r="H357" s="76"/>
      <c r="I357" s="48">
        <v>5000.0</v>
      </c>
      <c r="J357" s="72">
        <f t="shared" si="1"/>
        <v>5392.5</v>
      </c>
      <c r="K357" s="55"/>
      <c r="L357" s="50">
        <v>1951.0</v>
      </c>
      <c r="M357" s="34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</row>
    <row r="358">
      <c r="A358" s="39"/>
      <c r="B358" s="50">
        <v>347.0</v>
      </c>
      <c r="C358" s="55"/>
      <c r="D358" s="49" t="s">
        <v>1866</v>
      </c>
      <c r="E358" s="49" t="s">
        <v>1867</v>
      </c>
      <c r="F358" s="49" t="s">
        <v>57</v>
      </c>
      <c r="G358" s="48">
        <v>5734.0</v>
      </c>
      <c r="H358" s="48">
        <v>4934.0</v>
      </c>
      <c r="I358" s="48">
        <v>3781.0</v>
      </c>
      <c r="J358" s="72">
        <f t="shared" si="1"/>
        <v>4816.333333</v>
      </c>
      <c r="K358" s="55"/>
      <c r="L358" s="55"/>
      <c r="M358" s="34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</row>
    <row r="359">
      <c r="A359" s="39"/>
      <c r="B359" s="50">
        <v>348.0</v>
      </c>
      <c r="C359" s="71"/>
      <c r="D359" s="49" t="s">
        <v>1868</v>
      </c>
      <c r="E359" s="49" t="s">
        <v>1869</v>
      </c>
      <c r="F359" s="49" t="s">
        <v>163</v>
      </c>
      <c r="G359" s="48">
        <v>5700.0</v>
      </c>
      <c r="H359" s="48">
        <v>4500.0</v>
      </c>
      <c r="I359" s="48">
        <v>3815.0</v>
      </c>
      <c r="J359" s="72">
        <f t="shared" si="1"/>
        <v>4671.666667</v>
      </c>
      <c r="K359" s="47" t="s">
        <v>1870</v>
      </c>
      <c r="L359" s="50">
        <v>1959.0</v>
      </c>
      <c r="M359" s="34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</row>
    <row r="360">
      <c r="A360" s="39"/>
      <c r="B360" s="50">
        <v>349.0</v>
      </c>
      <c r="C360" s="55"/>
      <c r="D360" s="49" t="s">
        <v>1871</v>
      </c>
      <c r="E360" s="49" t="s">
        <v>297</v>
      </c>
      <c r="F360" s="49" t="s">
        <v>69</v>
      </c>
      <c r="G360" s="48">
        <v>5600.0</v>
      </c>
      <c r="H360" s="48">
        <v>4900.0</v>
      </c>
      <c r="I360" s="76"/>
      <c r="J360" s="72">
        <f t="shared" si="1"/>
        <v>5250</v>
      </c>
      <c r="K360" s="55"/>
      <c r="L360" s="50">
        <v>1968.0</v>
      </c>
      <c r="M360" s="34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</row>
    <row r="361">
      <c r="A361" s="39"/>
      <c r="B361" s="50">
        <v>350.0</v>
      </c>
      <c r="C361" s="71"/>
      <c r="D361" s="49" t="s">
        <v>1872</v>
      </c>
      <c r="E361" s="49" t="s">
        <v>914</v>
      </c>
      <c r="F361" s="49" t="s">
        <v>61</v>
      </c>
      <c r="G361" s="48">
        <v>5600.0</v>
      </c>
      <c r="H361" s="48">
        <v>2805.0</v>
      </c>
      <c r="I361" s="48">
        <v>2805.0</v>
      </c>
      <c r="J361" s="72">
        <f t="shared" si="1"/>
        <v>3736.666667</v>
      </c>
      <c r="K361" s="55"/>
      <c r="L361" s="50">
        <v>2007.0</v>
      </c>
      <c r="M361" s="34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</row>
    <row r="362">
      <c r="A362" s="39"/>
      <c r="B362" s="50">
        <v>351.0</v>
      </c>
      <c r="C362" s="55"/>
      <c r="D362" s="49" t="s">
        <v>1873</v>
      </c>
      <c r="E362" s="49" t="s">
        <v>1874</v>
      </c>
      <c r="F362" s="49" t="s">
        <v>53</v>
      </c>
      <c r="G362" s="48">
        <v>5500.0</v>
      </c>
      <c r="H362" s="48">
        <v>5500.0</v>
      </c>
      <c r="I362" s="48">
        <v>5500.0</v>
      </c>
      <c r="J362" s="72">
        <f t="shared" si="1"/>
        <v>5500</v>
      </c>
      <c r="K362" s="55"/>
      <c r="L362" s="50">
        <v>2003.0</v>
      </c>
      <c r="M362" s="34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</row>
    <row r="363">
      <c r="A363" s="39"/>
      <c r="B363" s="50">
        <v>352.0</v>
      </c>
      <c r="C363" s="55"/>
      <c r="D363" s="49" t="s">
        <v>1875</v>
      </c>
      <c r="E363" s="49" t="s">
        <v>1876</v>
      </c>
      <c r="F363" s="49" t="s">
        <v>369</v>
      </c>
      <c r="G363" s="48">
        <v>5500.0</v>
      </c>
      <c r="H363" s="76"/>
      <c r="I363" s="48">
        <v>5500.0</v>
      </c>
      <c r="J363" s="72">
        <f t="shared" si="1"/>
        <v>5500</v>
      </c>
      <c r="K363" s="47" t="s">
        <v>1877</v>
      </c>
      <c r="L363" s="50">
        <v>2011.0</v>
      </c>
      <c r="M363" s="34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</row>
    <row r="364">
      <c r="A364" s="39"/>
      <c r="B364" s="50">
        <v>353.0</v>
      </c>
      <c r="C364" s="55"/>
      <c r="D364" s="49" t="s">
        <v>1878</v>
      </c>
      <c r="E364" s="49" t="s">
        <v>1879</v>
      </c>
      <c r="F364" s="49" t="s">
        <v>222</v>
      </c>
      <c r="G364" s="48">
        <v>5500.0</v>
      </c>
      <c r="H364" s="48">
        <v>4725.0</v>
      </c>
      <c r="I364" s="48">
        <v>3500.0</v>
      </c>
      <c r="J364" s="72">
        <f t="shared" si="1"/>
        <v>4575</v>
      </c>
      <c r="K364" s="55"/>
      <c r="L364" s="50">
        <v>2019.0</v>
      </c>
      <c r="M364" s="49" t="s">
        <v>1232</v>
      </c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</row>
    <row r="365">
      <c r="A365" s="39"/>
      <c r="B365" s="50">
        <v>354.0</v>
      </c>
      <c r="C365" s="55"/>
      <c r="D365" s="49" t="s">
        <v>1880</v>
      </c>
      <c r="E365" s="49" t="s">
        <v>1881</v>
      </c>
      <c r="F365" s="49" t="s">
        <v>98</v>
      </c>
      <c r="G365" s="48">
        <v>5500.0</v>
      </c>
      <c r="H365" s="48">
        <v>4530.0</v>
      </c>
      <c r="I365" s="48">
        <v>3550.0</v>
      </c>
      <c r="J365" s="72">
        <f t="shared" si="1"/>
        <v>4526.666667</v>
      </c>
      <c r="K365" s="55"/>
      <c r="L365" s="50">
        <v>2010.0</v>
      </c>
      <c r="M365" s="34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</row>
    <row r="366">
      <c r="A366" s="39"/>
      <c r="B366" s="50">
        <v>355.0</v>
      </c>
      <c r="C366" s="55"/>
      <c r="D366" s="49" t="s">
        <v>1882</v>
      </c>
      <c r="E366" s="49" t="s">
        <v>1883</v>
      </c>
      <c r="F366" s="49" t="s">
        <v>57</v>
      </c>
      <c r="G366" s="48">
        <v>5500.0</v>
      </c>
      <c r="H366" s="48">
        <v>4490.0</v>
      </c>
      <c r="I366" s="48">
        <v>3200.0</v>
      </c>
      <c r="J366" s="72">
        <f t="shared" si="1"/>
        <v>4396.666667</v>
      </c>
      <c r="K366" s="55"/>
      <c r="L366" s="50">
        <v>1949.0</v>
      </c>
      <c r="M366" s="34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</row>
    <row r="367">
      <c r="A367" s="39"/>
      <c r="B367" s="50">
        <v>356.0</v>
      </c>
      <c r="C367" s="71"/>
      <c r="D367" s="49" t="s">
        <v>1884</v>
      </c>
      <c r="E367" s="49" t="s">
        <v>402</v>
      </c>
      <c r="F367" s="49" t="s">
        <v>84</v>
      </c>
      <c r="G367" s="48">
        <v>5492.0</v>
      </c>
      <c r="H367" s="76"/>
      <c r="I367" s="76"/>
      <c r="J367" s="72">
        <f t="shared" si="1"/>
        <v>5492</v>
      </c>
      <c r="K367" s="55"/>
      <c r="L367" s="50">
        <v>1914.0</v>
      </c>
      <c r="M367" s="49" t="s">
        <v>1256</v>
      </c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</row>
    <row r="368">
      <c r="A368" s="39"/>
      <c r="B368" s="50">
        <v>357.0</v>
      </c>
      <c r="C368" s="55"/>
      <c r="D368" s="50" t="s">
        <v>1885</v>
      </c>
      <c r="E368" s="49" t="s">
        <v>1886</v>
      </c>
      <c r="F368" s="49" t="s">
        <v>1107</v>
      </c>
      <c r="G368" s="48">
        <v>5477.0</v>
      </c>
      <c r="H368" s="48">
        <v>3977.0</v>
      </c>
      <c r="I368" s="48">
        <v>3677.0</v>
      </c>
      <c r="J368" s="72">
        <f t="shared" si="1"/>
        <v>4377</v>
      </c>
      <c r="K368" s="47" t="s">
        <v>1887</v>
      </c>
      <c r="L368" s="50">
        <v>1959.0</v>
      </c>
      <c r="M368" s="34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</row>
    <row r="369">
      <c r="A369" s="39"/>
      <c r="B369" s="50">
        <v>358.0</v>
      </c>
      <c r="C369" s="55"/>
      <c r="D369" s="49" t="s">
        <v>1888</v>
      </c>
      <c r="E369" s="49" t="s">
        <v>1889</v>
      </c>
      <c r="F369" s="49" t="s">
        <v>214</v>
      </c>
      <c r="G369" s="48">
        <v>5460.0</v>
      </c>
      <c r="H369" s="76"/>
      <c r="I369" s="48">
        <v>4460.0</v>
      </c>
      <c r="J369" s="72">
        <f t="shared" si="1"/>
        <v>4960</v>
      </c>
      <c r="K369" s="55"/>
      <c r="L369" s="50">
        <v>1935.0</v>
      </c>
      <c r="M369" s="34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</row>
    <row r="370">
      <c r="A370" s="39"/>
      <c r="B370" s="50">
        <v>359.0</v>
      </c>
      <c r="C370" s="55"/>
      <c r="D370" s="49" t="s">
        <v>1890</v>
      </c>
      <c r="E370" s="49" t="s">
        <v>1891</v>
      </c>
      <c r="F370" s="49" t="s">
        <v>57</v>
      </c>
      <c r="G370" s="48">
        <v>5400.0</v>
      </c>
      <c r="H370" s="48">
        <v>5200.0</v>
      </c>
      <c r="I370" s="76"/>
      <c r="J370" s="72">
        <f t="shared" si="1"/>
        <v>5300</v>
      </c>
      <c r="K370" s="55"/>
      <c r="L370" s="50">
        <v>1960.0</v>
      </c>
      <c r="M370" s="34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</row>
    <row r="371">
      <c r="A371" s="39"/>
      <c r="B371" s="50">
        <v>360.0</v>
      </c>
      <c r="C371" s="55"/>
      <c r="D371" s="49" t="s">
        <v>1892</v>
      </c>
      <c r="E371" s="49" t="s">
        <v>540</v>
      </c>
      <c r="F371" s="49" t="s">
        <v>57</v>
      </c>
      <c r="G371" s="48">
        <v>5332.0</v>
      </c>
      <c r="H371" s="76"/>
      <c r="I371" s="48">
        <v>3832.0</v>
      </c>
      <c r="J371" s="72">
        <f t="shared" si="1"/>
        <v>4582</v>
      </c>
      <c r="K371" s="55"/>
      <c r="L371" s="50">
        <v>1950.0</v>
      </c>
      <c r="M371" s="34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</row>
    <row r="372">
      <c r="A372" s="39"/>
      <c r="B372" s="50">
        <v>361.0</v>
      </c>
      <c r="C372" s="55"/>
      <c r="D372" s="49" t="s">
        <v>1893</v>
      </c>
      <c r="E372" s="49" t="s">
        <v>1894</v>
      </c>
      <c r="F372" s="49" t="s">
        <v>247</v>
      </c>
      <c r="G372" s="48">
        <v>5300.0</v>
      </c>
      <c r="H372" s="76"/>
      <c r="I372" s="48">
        <v>3300.0</v>
      </c>
      <c r="J372" s="72">
        <f t="shared" si="1"/>
        <v>4300</v>
      </c>
      <c r="K372" s="55"/>
      <c r="L372" s="55"/>
      <c r="M372" s="34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</row>
    <row r="373">
      <c r="A373" s="39"/>
      <c r="B373" s="50">
        <v>362.0</v>
      </c>
      <c r="C373" s="71"/>
      <c r="D373" s="49" t="s">
        <v>1895</v>
      </c>
      <c r="E373" s="49" t="s">
        <v>1896</v>
      </c>
      <c r="F373" s="49" t="s">
        <v>787</v>
      </c>
      <c r="G373" s="48">
        <v>5300.0</v>
      </c>
      <c r="H373" s="48">
        <v>2900.0</v>
      </c>
      <c r="I373" s="48">
        <v>2850.0</v>
      </c>
      <c r="J373" s="72">
        <f t="shared" si="1"/>
        <v>3683.333333</v>
      </c>
      <c r="K373" s="55"/>
      <c r="L373" s="50">
        <v>1987.0</v>
      </c>
      <c r="M373" s="34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</row>
    <row r="374">
      <c r="A374" s="39"/>
      <c r="B374" s="50">
        <v>363.0</v>
      </c>
      <c r="C374" s="55"/>
      <c r="D374" s="49" t="s">
        <v>1897</v>
      </c>
      <c r="E374" s="49" t="s">
        <v>324</v>
      </c>
      <c r="F374" s="49" t="s">
        <v>325</v>
      </c>
      <c r="G374" s="48">
        <v>5285.0</v>
      </c>
      <c r="H374" s="48">
        <v>3060.0</v>
      </c>
      <c r="I374" s="48">
        <v>2080.0</v>
      </c>
      <c r="J374" s="72">
        <f t="shared" si="1"/>
        <v>3475</v>
      </c>
      <c r="K374" s="55"/>
      <c r="L374" s="55"/>
      <c r="M374" s="34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</row>
    <row r="375">
      <c r="A375" s="39"/>
      <c r="B375" s="50">
        <v>364.0</v>
      </c>
      <c r="C375" s="55"/>
      <c r="D375" s="49" t="s">
        <v>1898</v>
      </c>
      <c r="E375" s="49" t="s">
        <v>1899</v>
      </c>
      <c r="F375" s="49" t="s">
        <v>173</v>
      </c>
      <c r="G375" s="48">
        <v>5250.0</v>
      </c>
      <c r="H375" s="48">
        <v>4530.0</v>
      </c>
      <c r="I375" s="48">
        <v>3550.0</v>
      </c>
      <c r="J375" s="72">
        <f t="shared" si="1"/>
        <v>4443.333333</v>
      </c>
      <c r="K375" s="55"/>
      <c r="L375" s="55"/>
      <c r="M375" s="34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</row>
    <row r="376">
      <c r="A376" s="39"/>
      <c r="B376" s="50">
        <v>365.0</v>
      </c>
      <c r="C376" s="55"/>
      <c r="D376" s="49" t="s">
        <v>1900</v>
      </c>
      <c r="E376" s="49" t="s">
        <v>1901</v>
      </c>
      <c r="F376" s="49" t="s">
        <v>325</v>
      </c>
      <c r="G376" s="48">
        <v>5216.0</v>
      </c>
      <c r="H376" s="48">
        <v>4448.0</v>
      </c>
      <c r="I376" s="48">
        <v>3340.0</v>
      </c>
      <c r="J376" s="72">
        <f t="shared" si="1"/>
        <v>4334.666667</v>
      </c>
      <c r="K376" s="55"/>
      <c r="L376" s="55"/>
      <c r="M376" s="34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</row>
    <row r="377">
      <c r="A377" s="39"/>
      <c r="B377" s="50">
        <v>366.0</v>
      </c>
      <c r="C377" s="55"/>
      <c r="D377" s="49" t="s">
        <v>1902</v>
      </c>
      <c r="E377" s="49" t="s">
        <v>1903</v>
      </c>
      <c r="F377" s="49" t="s">
        <v>124</v>
      </c>
      <c r="G377" s="48">
        <v>5200.0</v>
      </c>
      <c r="H377" s="48">
        <v>4500.0</v>
      </c>
      <c r="I377" s="76"/>
      <c r="J377" s="72">
        <f t="shared" si="1"/>
        <v>4850</v>
      </c>
      <c r="K377" s="55"/>
      <c r="L377" s="50">
        <v>1938.0</v>
      </c>
      <c r="M377" s="49" t="s">
        <v>1196</v>
      </c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</row>
    <row r="378">
      <c r="A378" s="39"/>
      <c r="B378" s="50">
        <v>367.0</v>
      </c>
      <c r="C378" s="55"/>
      <c r="D378" s="49" t="s">
        <v>1904</v>
      </c>
      <c r="E378" s="49" t="s">
        <v>1905</v>
      </c>
      <c r="F378" s="49" t="s">
        <v>184</v>
      </c>
      <c r="G378" s="48">
        <v>5200.0</v>
      </c>
      <c r="H378" s="48">
        <v>4000.0</v>
      </c>
      <c r="I378" s="76"/>
      <c r="J378" s="72">
        <f t="shared" si="1"/>
        <v>4600</v>
      </c>
      <c r="K378" s="55"/>
      <c r="L378" s="50">
        <v>1979.0</v>
      </c>
      <c r="M378" s="34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</row>
    <row r="379">
      <c r="A379" s="39"/>
      <c r="B379" s="50">
        <v>368.0</v>
      </c>
      <c r="C379" s="55"/>
      <c r="D379" s="49" t="s">
        <v>1906</v>
      </c>
      <c r="E379" s="49" t="s">
        <v>675</v>
      </c>
      <c r="F379" s="49" t="s">
        <v>57</v>
      </c>
      <c r="G379" s="48">
        <v>5200.0</v>
      </c>
      <c r="H379" s="48">
        <v>3900.0</v>
      </c>
      <c r="I379" s="48">
        <v>3500.0</v>
      </c>
      <c r="J379" s="72">
        <f t="shared" si="1"/>
        <v>4200</v>
      </c>
      <c r="K379" s="55"/>
      <c r="L379" s="50">
        <v>1951.0</v>
      </c>
      <c r="M379" s="34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</row>
    <row r="380">
      <c r="A380" s="39"/>
      <c r="B380" s="50">
        <v>369.0</v>
      </c>
      <c r="C380" s="55"/>
      <c r="D380" s="49" t="s">
        <v>1907</v>
      </c>
      <c r="E380" s="49" t="s">
        <v>1908</v>
      </c>
      <c r="F380" s="49" t="s">
        <v>48</v>
      </c>
      <c r="G380" s="48">
        <v>5200.0</v>
      </c>
      <c r="H380" s="76"/>
      <c r="I380" s="48">
        <v>3500.0</v>
      </c>
      <c r="J380" s="72">
        <f t="shared" si="1"/>
        <v>4350</v>
      </c>
      <c r="K380" s="47" t="s">
        <v>1909</v>
      </c>
      <c r="L380" s="50">
        <v>1964.0</v>
      </c>
      <c r="M380" s="34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</row>
    <row r="381">
      <c r="A381" s="39"/>
      <c r="B381" s="50">
        <v>370.0</v>
      </c>
      <c r="C381" s="55"/>
      <c r="D381" s="49" t="s">
        <v>1910</v>
      </c>
      <c r="E381" s="49" t="s">
        <v>1911</v>
      </c>
      <c r="F381" s="49" t="s">
        <v>110</v>
      </c>
      <c r="G381" s="48">
        <v>5120.0</v>
      </c>
      <c r="H381" s="48">
        <v>4352.0</v>
      </c>
      <c r="I381" s="48">
        <v>3100.0</v>
      </c>
      <c r="J381" s="72">
        <f t="shared" si="1"/>
        <v>4190.666667</v>
      </c>
      <c r="K381" s="55"/>
      <c r="L381" s="55"/>
      <c r="M381" s="34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</row>
    <row r="382">
      <c r="A382" s="39"/>
      <c r="B382" s="50">
        <v>371.0</v>
      </c>
      <c r="C382" s="55"/>
      <c r="D382" s="49" t="s">
        <v>1912</v>
      </c>
      <c r="E382" s="49" t="s">
        <v>713</v>
      </c>
      <c r="F382" s="49" t="s">
        <v>153</v>
      </c>
      <c r="G382" s="48">
        <v>5100.0</v>
      </c>
      <c r="H382" s="48">
        <v>4500.0</v>
      </c>
      <c r="I382" s="76"/>
      <c r="J382" s="72">
        <f t="shared" si="1"/>
        <v>4800</v>
      </c>
      <c r="K382" s="55"/>
      <c r="L382" s="50">
        <v>1993.0</v>
      </c>
      <c r="M382" s="34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</row>
    <row r="383">
      <c r="A383" s="39"/>
      <c r="B383" s="50">
        <v>372.0</v>
      </c>
      <c r="C383" s="55"/>
      <c r="D383" s="49" t="s">
        <v>1913</v>
      </c>
      <c r="E383" s="49" t="s">
        <v>507</v>
      </c>
      <c r="F383" s="49" t="s">
        <v>236</v>
      </c>
      <c r="G383" s="48">
        <v>5086.0</v>
      </c>
      <c r="H383" s="76"/>
      <c r="I383" s="48">
        <v>2586.0</v>
      </c>
      <c r="J383" s="72">
        <f t="shared" si="1"/>
        <v>3836</v>
      </c>
      <c r="K383" s="55"/>
      <c r="L383" s="55"/>
      <c r="M383" s="34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</row>
    <row r="384">
      <c r="A384" s="39"/>
      <c r="B384" s="50">
        <v>373.0</v>
      </c>
      <c r="C384" s="55"/>
      <c r="D384" s="49" t="s">
        <v>1914</v>
      </c>
      <c r="E384" s="49" t="s">
        <v>1915</v>
      </c>
      <c r="F384" s="49" t="s">
        <v>114</v>
      </c>
      <c r="G384" s="48">
        <v>5040.0</v>
      </c>
      <c r="H384" s="48">
        <v>4080.0</v>
      </c>
      <c r="I384" s="48">
        <v>2904.0</v>
      </c>
      <c r="J384" s="72">
        <f t="shared" si="1"/>
        <v>4008</v>
      </c>
      <c r="K384" s="55"/>
      <c r="L384" s="55"/>
      <c r="M384" s="34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</row>
    <row r="385">
      <c r="A385" s="39"/>
      <c r="B385" s="50">
        <v>374.0</v>
      </c>
      <c r="C385" s="55"/>
      <c r="D385" s="49" t="s">
        <v>1916</v>
      </c>
      <c r="E385" s="49" t="s">
        <v>497</v>
      </c>
      <c r="F385" s="49" t="s">
        <v>91</v>
      </c>
      <c r="G385" s="48">
        <v>5038.0</v>
      </c>
      <c r="H385" s="76"/>
      <c r="I385" s="76"/>
      <c r="J385" s="72">
        <f t="shared" si="1"/>
        <v>5038</v>
      </c>
      <c r="K385" s="55"/>
      <c r="L385" s="50">
        <v>1952.0</v>
      </c>
      <c r="M385" s="34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</row>
    <row r="386">
      <c r="A386" s="39"/>
      <c r="B386" s="50">
        <v>375.0</v>
      </c>
      <c r="C386" s="55"/>
      <c r="D386" s="49" t="s">
        <v>1917</v>
      </c>
      <c r="E386" s="49" t="s">
        <v>1918</v>
      </c>
      <c r="F386" s="49" t="s">
        <v>76</v>
      </c>
      <c r="G386" s="48">
        <v>5030.0</v>
      </c>
      <c r="H386" s="48">
        <v>4646.0</v>
      </c>
      <c r="I386" s="48">
        <v>4055.0</v>
      </c>
      <c r="J386" s="72">
        <f t="shared" si="1"/>
        <v>4577</v>
      </c>
      <c r="K386" s="55"/>
      <c r="L386" s="50">
        <v>2011.0</v>
      </c>
      <c r="M386" s="34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</row>
    <row r="387">
      <c r="A387" s="39"/>
      <c r="B387" s="50">
        <v>376.0</v>
      </c>
      <c r="C387" s="55"/>
      <c r="D387" s="49" t="s">
        <v>1919</v>
      </c>
      <c r="E387" s="49" t="s">
        <v>97</v>
      </c>
      <c r="F387" s="49" t="s">
        <v>98</v>
      </c>
      <c r="G387" s="48">
        <v>5010.0</v>
      </c>
      <c r="H387" s="76"/>
      <c r="I387" s="48">
        <v>4212.0</v>
      </c>
      <c r="J387" s="72">
        <f t="shared" si="1"/>
        <v>4611</v>
      </c>
      <c r="K387" s="47" t="s">
        <v>1920</v>
      </c>
      <c r="L387" s="50">
        <v>1951.0</v>
      </c>
      <c r="M387" s="34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</row>
    <row r="388">
      <c r="A388" s="39"/>
      <c r="B388" s="50">
        <v>377.0</v>
      </c>
      <c r="C388" s="55"/>
      <c r="D388" s="49" t="s">
        <v>1921</v>
      </c>
      <c r="E388" s="49" t="s">
        <v>1922</v>
      </c>
      <c r="F388" s="49" t="s">
        <v>102</v>
      </c>
      <c r="G388" s="48">
        <v>5000.0</v>
      </c>
      <c r="H388" s="48">
        <v>5000.0</v>
      </c>
      <c r="I388" s="48">
        <v>4000.0</v>
      </c>
      <c r="J388" s="72">
        <f t="shared" si="1"/>
        <v>4666.666667</v>
      </c>
      <c r="K388" s="55"/>
      <c r="L388" s="55"/>
      <c r="M388" s="49" t="s">
        <v>1236</v>
      </c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</row>
    <row r="389">
      <c r="A389" s="39"/>
      <c r="B389" s="50">
        <v>378.0</v>
      </c>
      <c r="C389" s="55"/>
      <c r="D389" s="47" t="s">
        <v>1923</v>
      </c>
      <c r="E389" s="49" t="s">
        <v>1924</v>
      </c>
      <c r="F389" s="49" t="s">
        <v>91</v>
      </c>
      <c r="G389" s="48">
        <v>5000.0</v>
      </c>
      <c r="H389" s="76"/>
      <c r="I389" s="76"/>
      <c r="J389" s="72">
        <f t="shared" si="1"/>
        <v>5000</v>
      </c>
      <c r="K389" s="55"/>
      <c r="L389" s="50">
        <v>2002.0</v>
      </c>
      <c r="M389" s="34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</row>
    <row r="390">
      <c r="A390" s="39"/>
      <c r="B390" s="50">
        <v>379.0</v>
      </c>
      <c r="C390" s="55"/>
      <c r="D390" s="49" t="s">
        <v>1925</v>
      </c>
      <c r="E390" s="49" t="s">
        <v>1926</v>
      </c>
      <c r="F390" s="49" t="s">
        <v>222</v>
      </c>
      <c r="G390" s="48">
        <v>5000.0</v>
      </c>
      <c r="H390" s="76"/>
      <c r="I390" s="76"/>
      <c r="J390" s="72">
        <f t="shared" si="1"/>
        <v>5000</v>
      </c>
      <c r="K390" s="55"/>
      <c r="L390" s="50">
        <v>2020.0</v>
      </c>
      <c r="M390" s="49" t="s">
        <v>1375</v>
      </c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</row>
    <row r="391">
      <c r="A391" s="39"/>
      <c r="B391" s="50">
        <v>380.0</v>
      </c>
      <c r="C391" s="55"/>
      <c r="D391" s="47" t="s">
        <v>1927</v>
      </c>
      <c r="E391" s="49" t="s">
        <v>1928</v>
      </c>
      <c r="F391" s="49" t="s">
        <v>143</v>
      </c>
      <c r="G391" s="48">
        <v>5000.0</v>
      </c>
      <c r="H391" s="48">
        <v>4080.0</v>
      </c>
      <c r="I391" s="48">
        <v>3296.0</v>
      </c>
      <c r="J391" s="72">
        <f t="shared" si="1"/>
        <v>4125.333333</v>
      </c>
      <c r="K391" s="55"/>
      <c r="L391" s="50">
        <v>2006.0</v>
      </c>
      <c r="M391" s="34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</row>
    <row r="392">
      <c r="A392" s="39"/>
      <c r="B392" s="50">
        <v>381.0</v>
      </c>
      <c r="C392" s="55"/>
      <c r="D392" s="49" t="s">
        <v>1929</v>
      </c>
      <c r="E392" s="49" t="s">
        <v>1881</v>
      </c>
      <c r="F392" s="49" t="s">
        <v>98</v>
      </c>
      <c r="G392" s="48">
        <v>5000.0</v>
      </c>
      <c r="H392" s="48">
        <v>4047.0</v>
      </c>
      <c r="I392" s="48">
        <v>4047.0</v>
      </c>
      <c r="J392" s="72">
        <f t="shared" si="1"/>
        <v>4364.666667</v>
      </c>
      <c r="K392" s="47" t="s">
        <v>1930</v>
      </c>
      <c r="L392" s="50">
        <v>2000.0</v>
      </c>
      <c r="M392" s="34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</row>
    <row r="393">
      <c r="A393" s="39"/>
      <c r="B393" s="50">
        <v>382.0</v>
      </c>
      <c r="C393" s="55"/>
      <c r="D393" s="49" t="s">
        <v>1931</v>
      </c>
      <c r="E393" s="49" t="s">
        <v>1932</v>
      </c>
      <c r="F393" s="49" t="s">
        <v>135</v>
      </c>
      <c r="G393" s="48">
        <v>5000.0</v>
      </c>
      <c r="H393" s="76"/>
      <c r="I393" s="76"/>
      <c r="J393" s="72">
        <f t="shared" si="1"/>
        <v>5000</v>
      </c>
      <c r="K393" s="55"/>
      <c r="L393" s="50">
        <v>1999.0</v>
      </c>
      <c r="M393" s="34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</row>
    <row r="394">
      <c r="A394" s="39"/>
      <c r="B394" s="50">
        <v>383.0</v>
      </c>
      <c r="C394" s="55"/>
      <c r="D394" s="49" t="s">
        <v>1933</v>
      </c>
      <c r="E394" s="49" t="s">
        <v>1934</v>
      </c>
      <c r="F394" s="49" t="s">
        <v>163</v>
      </c>
      <c r="G394" s="48">
        <v>5000.0</v>
      </c>
      <c r="H394" s="76"/>
      <c r="I394" s="48">
        <v>3794.0</v>
      </c>
      <c r="J394" s="72">
        <f t="shared" si="1"/>
        <v>4397</v>
      </c>
      <c r="K394" s="47" t="s">
        <v>1935</v>
      </c>
      <c r="L394" s="50">
        <v>2000.0</v>
      </c>
      <c r="M394" s="34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</row>
    <row r="395">
      <c r="A395" s="39"/>
      <c r="B395" s="50">
        <v>384.0</v>
      </c>
      <c r="C395" s="55"/>
      <c r="D395" s="49" t="s">
        <v>1936</v>
      </c>
      <c r="E395" s="49" t="s">
        <v>134</v>
      </c>
      <c r="F395" s="49" t="s">
        <v>135</v>
      </c>
      <c r="G395" s="48">
        <v>5000.0</v>
      </c>
      <c r="H395" s="48">
        <v>5000.0</v>
      </c>
      <c r="I395" s="76"/>
      <c r="J395" s="72">
        <f t="shared" si="1"/>
        <v>5000</v>
      </c>
      <c r="K395" s="55"/>
      <c r="L395" s="50">
        <v>1992.0</v>
      </c>
      <c r="M395" s="34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</row>
    <row r="396">
      <c r="A396" s="39"/>
      <c r="B396" s="50">
        <v>385.0</v>
      </c>
      <c r="C396" s="55"/>
      <c r="D396" s="49" t="s">
        <v>1937</v>
      </c>
      <c r="E396" s="49" t="s">
        <v>1938</v>
      </c>
      <c r="F396" s="49" t="s">
        <v>65</v>
      </c>
      <c r="G396" s="48">
        <v>5000.0</v>
      </c>
      <c r="H396" s="76"/>
      <c r="I396" s="76"/>
      <c r="J396" s="72">
        <f t="shared" si="1"/>
        <v>5000</v>
      </c>
      <c r="K396" s="55"/>
      <c r="L396" s="50">
        <v>1999.0</v>
      </c>
      <c r="M396" s="34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</row>
    <row r="397">
      <c r="A397" s="39"/>
      <c r="B397" s="50">
        <v>386.0</v>
      </c>
      <c r="C397" s="55"/>
      <c r="D397" s="49" t="s">
        <v>1939</v>
      </c>
      <c r="E397" s="49" t="s">
        <v>1154</v>
      </c>
      <c r="F397" s="49" t="s">
        <v>76</v>
      </c>
      <c r="G397" s="48">
        <v>5000.0</v>
      </c>
      <c r="H397" s="76"/>
      <c r="I397" s="76"/>
      <c r="J397" s="72">
        <f t="shared" si="1"/>
        <v>5000</v>
      </c>
      <c r="K397" s="55"/>
      <c r="L397" s="50">
        <v>1967.0</v>
      </c>
      <c r="M397" s="34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</row>
    <row r="398">
      <c r="A398" s="39"/>
      <c r="B398" s="50">
        <v>387.0</v>
      </c>
      <c r="C398" s="55"/>
      <c r="D398" s="49" t="s">
        <v>1940</v>
      </c>
      <c r="E398" s="49" t="s">
        <v>1896</v>
      </c>
      <c r="F398" s="49" t="s">
        <v>787</v>
      </c>
      <c r="G398" s="48">
        <v>5000.0</v>
      </c>
      <c r="H398" s="48">
        <v>4000.0</v>
      </c>
      <c r="I398" s="48">
        <v>4000.0</v>
      </c>
      <c r="J398" s="72">
        <f t="shared" si="1"/>
        <v>4333.333333</v>
      </c>
      <c r="K398" s="55"/>
      <c r="L398" s="50">
        <v>1954.0</v>
      </c>
      <c r="M398" s="34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</row>
    <row r="399">
      <c r="A399" s="39"/>
      <c r="B399" s="50">
        <v>388.0</v>
      </c>
      <c r="C399" s="71"/>
      <c r="D399" s="49" t="s">
        <v>1941</v>
      </c>
      <c r="E399" s="49" t="s">
        <v>1942</v>
      </c>
      <c r="F399" s="49" t="s">
        <v>173</v>
      </c>
      <c r="G399" s="48">
        <v>5000.0</v>
      </c>
      <c r="H399" s="76"/>
      <c r="I399" s="76"/>
      <c r="J399" s="72">
        <f t="shared" si="1"/>
        <v>5000</v>
      </c>
      <c r="K399" s="55"/>
      <c r="L399" s="50">
        <v>1997.0</v>
      </c>
      <c r="M399" s="34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</row>
    <row r="400">
      <c r="A400" s="39"/>
      <c r="B400" s="50">
        <v>389.0</v>
      </c>
      <c r="C400" s="55"/>
      <c r="D400" s="49" t="s">
        <v>1943</v>
      </c>
      <c r="E400" s="49" t="s">
        <v>1944</v>
      </c>
      <c r="F400" s="49" t="s">
        <v>53</v>
      </c>
      <c r="G400" s="48">
        <v>5000.0</v>
      </c>
      <c r="H400" s="76"/>
      <c r="I400" s="76"/>
      <c r="J400" s="72">
        <f t="shared" si="1"/>
        <v>5000</v>
      </c>
      <c r="K400" s="55"/>
      <c r="L400" s="50">
        <v>1965.0</v>
      </c>
      <c r="M400" s="34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</row>
    <row r="401">
      <c r="A401" s="39"/>
      <c r="B401" s="50">
        <v>390.0</v>
      </c>
      <c r="C401" s="55"/>
      <c r="D401" s="49" t="s">
        <v>1945</v>
      </c>
      <c r="E401" s="49" t="s">
        <v>989</v>
      </c>
      <c r="F401" s="49" t="s">
        <v>61</v>
      </c>
      <c r="G401" s="48">
        <v>5000.0</v>
      </c>
      <c r="H401" s="48">
        <v>5000.0</v>
      </c>
      <c r="I401" s="48">
        <v>5000.0</v>
      </c>
      <c r="J401" s="72">
        <f t="shared" si="1"/>
        <v>5000</v>
      </c>
      <c r="K401" s="55"/>
      <c r="L401" s="50">
        <v>1973.0</v>
      </c>
      <c r="M401" s="34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</row>
    <row r="402">
      <c r="A402" s="39"/>
      <c r="B402" s="50">
        <v>391.0</v>
      </c>
      <c r="C402" s="71"/>
      <c r="D402" s="49" t="s">
        <v>1946</v>
      </c>
      <c r="E402" s="49" t="s">
        <v>1947</v>
      </c>
      <c r="F402" s="49" t="s">
        <v>163</v>
      </c>
      <c r="G402" s="48">
        <v>5000.0</v>
      </c>
      <c r="H402" s="48">
        <v>5000.0</v>
      </c>
      <c r="I402" s="76"/>
      <c r="J402" s="72">
        <f t="shared" si="1"/>
        <v>5000</v>
      </c>
      <c r="K402" s="47" t="s">
        <v>1948</v>
      </c>
      <c r="L402" s="50">
        <v>1924.0</v>
      </c>
      <c r="M402" s="49" t="s">
        <v>1236</v>
      </c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</row>
    <row r="403">
      <c r="A403" s="39"/>
      <c r="B403" s="50">
        <v>392.0</v>
      </c>
      <c r="C403" s="55"/>
      <c r="D403" s="49" t="s">
        <v>1949</v>
      </c>
      <c r="E403" s="49" t="s">
        <v>1950</v>
      </c>
      <c r="F403" s="49" t="s">
        <v>243</v>
      </c>
      <c r="G403" s="48">
        <v>5000.0</v>
      </c>
      <c r="H403" s="48">
        <v>5000.0</v>
      </c>
      <c r="I403" s="76"/>
      <c r="J403" s="72">
        <f t="shared" si="1"/>
        <v>5000</v>
      </c>
      <c r="K403" s="47" t="s">
        <v>1951</v>
      </c>
      <c r="L403" s="50">
        <v>1996.0</v>
      </c>
      <c r="M403" s="34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</row>
    <row r="404">
      <c r="A404" s="39"/>
      <c r="B404" s="50">
        <v>393.0</v>
      </c>
      <c r="C404" s="71"/>
      <c r="D404" s="49" t="s">
        <v>1952</v>
      </c>
      <c r="E404" s="49" t="s">
        <v>908</v>
      </c>
      <c r="F404" s="49" t="s">
        <v>163</v>
      </c>
      <c r="G404" s="48">
        <v>5000.0</v>
      </c>
      <c r="H404" s="48">
        <v>4000.0</v>
      </c>
      <c r="I404" s="76"/>
      <c r="J404" s="72">
        <f t="shared" si="1"/>
        <v>4500</v>
      </c>
      <c r="K404" s="55"/>
      <c r="L404" s="50">
        <v>1905.0</v>
      </c>
      <c r="M404" s="34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</row>
    <row r="405">
      <c r="A405" s="39"/>
      <c r="B405" s="50">
        <v>394.0</v>
      </c>
      <c r="C405" s="55"/>
      <c r="D405" s="49" t="s">
        <v>1953</v>
      </c>
      <c r="E405" s="49" t="s">
        <v>1954</v>
      </c>
      <c r="F405" s="49" t="s">
        <v>84</v>
      </c>
      <c r="G405" s="48">
        <v>5000.0</v>
      </c>
      <c r="H405" s="76"/>
      <c r="I405" s="48">
        <v>3554.0</v>
      </c>
      <c r="J405" s="72">
        <f t="shared" si="1"/>
        <v>4277</v>
      </c>
      <c r="K405" s="55"/>
      <c r="L405" s="50">
        <v>2009.0</v>
      </c>
      <c r="M405" s="34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</row>
    <row r="406">
      <c r="A406" s="39"/>
      <c r="B406" s="50">
        <v>395.0</v>
      </c>
      <c r="C406" s="55"/>
      <c r="D406" s="49" t="s">
        <v>1955</v>
      </c>
      <c r="E406" s="49" t="s">
        <v>1956</v>
      </c>
      <c r="F406" s="49" t="s">
        <v>84</v>
      </c>
      <c r="G406" s="48">
        <v>5000.0</v>
      </c>
      <c r="H406" s="48">
        <v>4000.0</v>
      </c>
      <c r="I406" s="48">
        <v>3400.0</v>
      </c>
      <c r="J406" s="72">
        <f t="shared" si="1"/>
        <v>4133.333333</v>
      </c>
      <c r="K406" s="55"/>
      <c r="L406" s="55"/>
      <c r="M406" s="49" t="s">
        <v>1261</v>
      </c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</row>
    <row r="407">
      <c r="A407" s="39"/>
      <c r="B407" s="54">
        <v>396.0</v>
      </c>
      <c r="C407" s="75"/>
      <c r="D407" s="49" t="s">
        <v>1957</v>
      </c>
      <c r="E407" s="49" t="s">
        <v>338</v>
      </c>
      <c r="F407" s="49" t="s">
        <v>80</v>
      </c>
      <c r="G407" s="53">
        <v>5000.0</v>
      </c>
      <c r="H407" s="53">
        <v>3500.0</v>
      </c>
      <c r="I407" s="73"/>
      <c r="J407" s="72">
        <f t="shared" si="1"/>
        <v>4250</v>
      </c>
      <c r="K407" s="47" t="s">
        <v>1958</v>
      </c>
      <c r="L407" s="54">
        <v>2019.0</v>
      </c>
      <c r="M407" s="49" t="s">
        <v>1229</v>
      </c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</row>
    <row r="408">
      <c r="A408" s="39"/>
      <c r="B408" s="50">
        <v>397.0</v>
      </c>
      <c r="C408" s="55"/>
      <c r="D408" s="49" t="s">
        <v>1959</v>
      </c>
      <c r="E408" s="49" t="s">
        <v>1960</v>
      </c>
      <c r="F408" s="49" t="s">
        <v>76</v>
      </c>
      <c r="G408" s="48">
        <v>5000.0</v>
      </c>
      <c r="H408" s="76"/>
      <c r="I408" s="48">
        <v>3500.0</v>
      </c>
      <c r="J408" s="72">
        <f t="shared" si="1"/>
        <v>4250</v>
      </c>
      <c r="K408" s="47" t="s">
        <v>1961</v>
      </c>
      <c r="L408" s="50" t="s">
        <v>1962</v>
      </c>
      <c r="M408" s="34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</row>
    <row r="409">
      <c r="A409" s="39"/>
      <c r="B409" s="50">
        <v>398.0</v>
      </c>
      <c r="C409" s="55"/>
      <c r="D409" s="49" t="s">
        <v>1963</v>
      </c>
      <c r="E409" s="49" t="s">
        <v>1964</v>
      </c>
      <c r="F409" s="49" t="s">
        <v>163</v>
      </c>
      <c r="G409" s="48">
        <v>5000.0</v>
      </c>
      <c r="H409" s="48">
        <v>4142.0</v>
      </c>
      <c r="I409" s="48">
        <v>3497.0</v>
      </c>
      <c r="J409" s="72">
        <f t="shared" si="1"/>
        <v>4213</v>
      </c>
      <c r="K409" s="55"/>
      <c r="L409" s="50">
        <v>1995.0</v>
      </c>
      <c r="M409" s="34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</row>
    <row r="410">
      <c r="A410" s="39"/>
      <c r="B410" s="50">
        <v>399.0</v>
      </c>
      <c r="C410" s="55"/>
      <c r="D410" s="49" t="s">
        <v>1965</v>
      </c>
      <c r="E410" s="49" t="s">
        <v>739</v>
      </c>
      <c r="F410" s="49" t="s">
        <v>69</v>
      </c>
      <c r="G410" s="48">
        <v>5000.0</v>
      </c>
      <c r="H410" s="76"/>
      <c r="I410" s="48">
        <v>3300.0</v>
      </c>
      <c r="J410" s="72">
        <f t="shared" si="1"/>
        <v>4150</v>
      </c>
      <c r="K410" s="55"/>
      <c r="L410" s="50">
        <v>1993.0</v>
      </c>
      <c r="M410" s="34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</row>
    <row r="411">
      <c r="A411" s="39"/>
      <c r="B411" s="50">
        <v>400.0</v>
      </c>
      <c r="C411" s="55"/>
      <c r="D411" s="49" t="s">
        <v>1966</v>
      </c>
      <c r="E411" s="49" t="s">
        <v>1967</v>
      </c>
      <c r="F411" s="49" t="s">
        <v>214</v>
      </c>
      <c r="G411" s="48">
        <v>5000.0</v>
      </c>
      <c r="H411" s="48">
        <v>4180.0</v>
      </c>
      <c r="I411" s="48">
        <v>3200.0</v>
      </c>
      <c r="J411" s="72">
        <f t="shared" si="1"/>
        <v>4126.666667</v>
      </c>
      <c r="K411" s="55"/>
      <c r="L411" s="55"/>
      <c r="M411" s="34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</row>
    <row r="412">
      <c r="A412" s="39"/>
      <c r="B412" s="50">
        <v>401.0</v>
      </c>
      <c r="C412" s="55"/>
      <c r="D412" s="49" t="s">
        <v>1968</v>
      </c>
      <c r="E412" s="49" t="s">
        <v>1969</v>
      </c>
      <c r="F412" s="49" t="s">
        <v>91</v>
      </c>
      <c r="G412" s="48">
        <v>5000.0</v>
      </c>
      <c r="H412" s="48">
        <v>3176.0</v>
      </c>
      <c r="I412" s="76"/>
      <c r="J412" s="72">
        <f t="shared" si="1"/>
        <v>4088</v>
      </c>
      <c r="K412" s="55"/>
      <c r="L412" s="50">
        <v>1967.0</v>
      </c>
      <c r="M412" s="49" t="s">
        <v>1210</v>
      </c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</row>
    <row r="413">
      <c r="A413" s="39"/>
      <c r="B413" s="50">
        <v>402.0</v>
      </c>
      <c r="C413" s="55"/>
      <c r="D413" s="49" t="s">
        <v>1970</v>
      </c>
      <c r="E413" s="49" t="s">
        <v>1971</v>
      </c>
      <c r="F413" s="49" t="s">
        <v>1107</v>
      </c>
      <c r="G413" s="48">
        <v>5000.0</v>
      </c>
      <c r="H413" s="48">
        <v>4080.0</v>
      </c>
      <c r="I413" s="48">
        <v>3100.0</v>
      </c>
      <c r="J413" s="72">
        <f t="shared" si="1"/>
        <v>4060</v>
      </c>
      <c r="K413" s="55"/>
      <c r="L413" s="55"/>
      <c r="M413" s="34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</row>
    <row r="414">
      <c r="A414" s="39"/>
      <c r="B414" s="50">
        <v>403.0</v>
      </c>
      <c r="C414" s="55"/>
      <c r="D414" s="49" t="s">
        <v>1972</v>
      </c>
      <c r="E414" s="49" t="s">
        <v>1973</v>
      </c>
      <c r="F414" s="49" t="s">
        <v>114</v>
      </c>
      <c r="G414" s="48">
        <v>5000.0</v>
      </c>
      <c r="H414" s="48">
        <v>4200.0</v>
      </c>
      <c r="I414" s="48">
        <v>3000.0</v>
      </c>
      <c r="J414" s="72">
        <f t="shared" si="1"/>
        <v>4066.666667</v>
      </c>
      <c r="K414" s="55"/>
      <c r="L414" s="55"/>
      <c r="M414" s="34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</row>
    <row r="415">
      <c r="A415" s="39"/>
      <c r="B415" s="50">
        <v>404.0</v>
      </c>
      <c r="C415" s="71"/>
      <c r="D415" s="49" t="s">
        <v>1974</v>
      </c>
      <c r="E415" s="49" t="s">
        <v>1975</v>
      </c>
      <c r="F415" s="49" t="s">
        <v>262</v>
      </c>
      <c r="G415" s="48">
        <v>5000.0</v>
      </c>
      <c r="H415" s="76"/>
      <c r="I415" s="48">
        <v>2400.0</v>
      </c>
      <c r="J415" s="72">
        <f t="shared" si="1"/>
        <v>3700</v>
      </c>
      <c r="K415" s="55"/>
      <c r="L415" s="50">
        <v>1981.0</v>
      </c>
      <c r="M415" s="49" t="s">
        <v>1196</v>
      </c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</row>
    <row r="416">
      <c r="A416" s="39"/>
      <c r="B416" s="50">
        <v>405.0</v>
      </c>
      <c r="C416" s="55"/>
      <c r="D416" s="49" t="s">
        <v>1976</v>
      </c>
      <c r="E416" s="49" t="s">
        <v>79</v>
      </c>
      <c r="F416" s="49" t="s">
        <v>80</v>
      </c>
      <c r="G416" s="48">
        <v>5000.0</v>
      </c>
      <c r="H416" s="48">
        <v>4100.0</v>
      </c>
      <c r="I416" s="48">
        <v>2000.0</v>
      </c>
      <c r="J416" s="72">
        <f t="shared" si="1"/>
        <v>3700</v>
      </c>
      <c r="K416" s="47" t="s">
        <v>1977</v>
      </c>
      <c r="L416" s="50">
        <v>1995.0</v>
      </c>
      <c r="M416" s="49" t="s">
        <v>1229</v>
      </c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</row>
    <row r="417">
      <c r="A417" s="39"/>
      <c r="B417" s="50">
        <v>406.0</v>
      </c>
      <c r="C417" s="55"/>
      <c r="D417" s="49" t="s">
        <v>1978</v>
      </c>
      <c r="E417" s="49" t="s">
        <v>1979</v>
      </c>
      <c r="F417" s="49" t="s">
        <v>232</v>
      </c>
      <c r="G417" s="48">
        <v>5000.0</v>
      </c>
      <c r="H417" s="48">
        <v>4700.0</v>
      </c>
      <c r="I417" s="48">
        <v>4200.0</v>
      </c>
      <c r="J417" s="72">
        <f t="shared" si="1"/>
        <v>4633.333333</v>
      </c>
      <c r="K417" s="47" t="s">
        <v>1980</v>
      </c>
      <c r="L417" s="50">
        <v>2023.0</v>
      </c>
      <c r="M417" s="34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</row>
    <row r="418">
      <c r="A418" s="39"/>
      <c r="B418" s="50">
        <v>407.0</v>
      </c>
      <c r="C418" s="71"/>
      <c r="D418" s="49" t="s">
        <v>1981</v>
      </c>
      <c r="E418" s="49" t="s">
        <v>261</v>
      </c>
      <c r="F418" s="49" t="s">
        <v>262</v>
      </c>
      <c r="G418" s="48">
        <v>4963.0</v>
      </c>
      <c r="H418" s="48">
        <v>4963.0</v>
      </c>
      <c r="I418" s="76"/>
      <c r="J418" s="72">
        <f t="shared" si="1"/>
        <v>4963</v>
      </c>
      <c r="K418" s="47" t="s">
        <v>1982</v>
      </c>
      <c r="L418" s="50">
        <v>1996.0</v>
      </c>
      <c r="M418" s="49" t="s">
        <v>1196</v>
      </c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</row>
    <row r="419">
      <c r="A419" s="39"/>
      <c r="B419" s="50">
        <v>408.0</v>
      </c>
      <c r="C419" s="55"/>
      <c r="D419" s="49" t="s">
        <v>1983</v>
      </c>
      <c r="E419" s="49" t="s">
        <v>1984</v>
      </c>
      <c r="F419" s="49" t="s">
        <v>214</v>
      </c>
      <c r="G419" s="48">
        <v>4900.0</v>
      </c>
      <c r="H419" s="48">
        <v>3975.0</v>
      </c>
      <c r="I419" s="48">
        <v>3300.0</v>
      </c>
      <c r="J419" s="72">
        <f t="shared" si="1"/>
        <v>4058.333333</v>
      </c>
      <c r="K419" s="55"/>
      <c r="L419" s="50">
        <v>1974.0</v>
      </c>
      <c r="M419" s="34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</row>
    <row r="420">
      <c r="A420" s="39"/>
      <c r="B420" s="50">
        <v>409.0</v>
      </c>
      <c r="C420" s="55"/>
      <c r="D420" s="49" t="s">
        <v>1985</v>
      </c>
      <c r="E420" s="49" t="s">
        <v>1986</v>
      </c>
      <c r="F420" s="49" t="s">
        <v>243</v>
      </c>
      <c r="G420" s="48">
        <v>4816.0</v>
      </c>
      <c r="H420" s="48">
        <v>4048.0</v>
      </c>
      <c r="I420" s="48">
        <v>2940.0</v>
      </c>
      <c r="J420" s="72">
        <f t="shared" si="1"/>
        <v>3934.666667</v>
      </c>
      <c r="K420" s="55"/>
      <c r="L420" s="55"/>
      <c r="M420" s="34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</row>
    <row r="421">
      <c r="A421" s="39"/>
      <c r="B421" s="50">
        <v>410.0</v>
      </c>
      <c r="C421" s="55"/>
      <c r="D421" s="49" t="s">
        <v>1987</v>
      </c>
      <c r="E421" s="49" t="s">
        <v>1988</v>
      </c>
      <c r="F421" s="49" t="s">
        <v>236</v>
      </c>
      <c r="G421" s="48">
        <v>4800.0</v>
      </c>
      <c r="H421" s="48">
        <v>4100.0</v>
      </c>
      <c r="I421" s="48">
        <v>3100.0</v>
      </c>
      <c r="J421" s="72">
        <f t="shared" si="1"/>
        <v>4000</v>
      </c>
      <c r="K421" s="55"/>
      <c r="L421" s="50">
        <v>1999.0</v>
      </c>
      <c r="M421" s="34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</row>
    <row r="422">
      <c r="A422" s="39"/>
      <c r="B422" s="50">
        <v>411.0</v>
      </c>
      <c r="C422" s="55"/>
      <c r="D422" s="49" t="s">
        <v>1989</v>
      </c>
      <c r="E422" s="49" t="s">
        <v>469</v>
      </c>
      <c r="F422" s="49" t="s">
        <v>76</v>
      </c>
      <c r="G422" s="48">
        <v>4800.0</v>
      </c>
      <c r="H422" s="48">
        <v>4000.0</v>
      </c>
      <c r="I422" s="48">
        <v>2620.0</v>
      </c>
      <c r="J422" s="72">
        <f t="shared" si="1"/>
        <v>3806.666667</v>
      </c>
      <c r="K422" s="55"/>
      <c r="L422" s="55"/>
      <c r="M422" s="34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</row>
    <row r="423">
      <c r="A423" s="39"/>
      <c r="B423" s="50">
        <v>412.0</v>
      </c>
      <c r="C423" s="55"/>
      <c r="D423" s="49" t="s">
        <v>1990</v>
      </c>
      <c r="E423" s="49" t="s">
        <v>1991</v>
      </c>
      <c r="F423" s="49" t="s">
        <v>139</v>
      </c>
      <c r="G423" s="48">
        <v>4800.0</v>
      </c>
      <c r="H423" s="48">
        <v>3932.0</v>
      </c>
      <c r="I423" s="76"/>
      <c r="J423" s="72">
        <f t="shared" si="1"/>
        <v>4366</v>
      </c>
      <c r="K423" s="78">
        <v>2760.0</v>
      </c>
      <c r="L423" s="55"/>
      <c r="M423" s="34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</row>
    <row r="424">
      <c r="A424" s="39"/>
      <c r="B424" s="50">
        <v>413.0</v>
      </c>
      <c r="C424" s="55"/>
      <c r="D424" s="49" t="s">
        <v>1992</v>
      </c>
      <c r="E424" s="49" t="s">
        <v>1993</v>
      </c>
      <c r="F424" s="49" t="s">
        <v>286</v>
      </c>
      <c r="G424" s="48">
        <v>4752.0</v>
      </c>
      <c r="H424" s="48">
        <v>3556.0</v>
      </c>
      <c r="I424" s="48">
        <v>2562.0</v>
      </c>
      <c r="J424" s="72">
        <f t="shared" si="1"/>
        <v>3623.333333</v>
      </c>
      <c r="K424" s="55"/>
      <c r="L424" s="55"/>
      <c r="M424" s="34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</row>
    <row r="425">
      <c r="A425" s="39"/>
      <c r="B425" s="50">
        <v>414.0</v>
      </c>
      <c r="C425" s="55"/>
      <c r="D425" s="49" t="s">
        <v>1994</v>
      </c>
      <c r="E425" s="49" t="s">
        <v>1995</v>
      </c>
      <c r="F425" s="49" t="s">
        <v>262</v>
      </c>
      <c r="G425" s="48">
        <v>4750.0</v>
      </c>
      <c r="H425" s="48">
        <v>4750.0</v>
      </c>
      <c r="I425" s="48">
        <v>2350.0</v>
      </c>
      <c r="J425" s="72">
        <f t="shared" si="1"/>
        <v>3950</v>
      </c>
      <c r="K425" s="47" t="s">
        <v>1996</v>
      </c>
      <c r="L425" s="50">
        <v>1980.0</v>
      </c>
      <c r="M425" s="34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</row>
    <row r="426">
      <c r="A426" s="39"/>
      <c r="B426" s="50">
        <v>415.0</v>
      </c>
      <c r="C426" s="71"/>
      <c r="D426" s="47" t="s">
        <v>1997</v>
      </c>
      <c r="E426" s="49" t="s">
        <v>1088</v>
      </c>
      <c r="F426" s="49" t="s">
        <v>369</v>
      </c>
      <c r="G426" s="48">
        <v>4700.0</v>
      </c>
      <c r="H426" s="76"/>
      <c r="I426" s="76"/>
      <c r="J426" s="72">
        <f t="shared" si="1"/>
        <v>4700</v>
      </c>
      <c r="K426" s="55"/>
      <c r="L426" s="50">
        <v>1969.0</v>
      </c>
      <c r="M426" s="34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</row>
    <row r="427">
      <c r="A427" s="39"/>
      <c r="B427" s="50">
        <v>416.0</v>
      </c>
      <c r="C427" s="55"/>
      <c r="D427" s="49" t="s">
        <v>1998</v>
      </c>
      <c r="E427" s="49" t="s">
        <v>1999</v>
      </c>
      <c r="F427" s="49" t="s">
        <v>163</v>
      </c>
      <c r="G427" s="48">
        <v>4700.0</v>
      </c>
      <c r="H427" s="48">
        <v>3424.0</v>
      </c>
      <c r="I427" s="48">
        <v>3000.0</v>
      </c>
      <c r="J427" s="72">
        <f t="shared" si="1"/>
        <v>3708</v>
      </c>
      <c r="K427" s="55"/>
      <c r="L427" s="50">
        <v>1990.0</v>
      </c>
      <c r="M427" s="34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</row>
    <row r="428">
      <c r="A428" s="39"/>
      <c r="B428" s="50">
        <v>417.0</v>
      </c>
      <c r="C428" s="55"/>
      <c r="D428" s="49" t="s">
        <v>2000</v>
      </c>
      <c r="E428" s="49" t="s">
        <v>2001</v>
      </c>
      <c r="F428" s="49" t="s">
        <v>236</v>
      </c>
      <c r="G428" s="48">
        <v>4625.0</v>
      </c>
      <c r="H428" s="48">
        <v>3905.0</v>
      </c>
      <c r="I428" s="48">
        <v>2925.0</v>
      </c>
      <c r="J428" s="72">
        <f t="shared" si="1"/>
        <v>3818.333333</v>
      </c>
      <c r="K428" s="55"/>
      <c r="L428" s="55"/>
      <c r="M428" s="34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</row>
    <row r="429">
      <c r="A429" s="39"/>
      <c r="B429" s="50">
        <v>418.0</v>
      </c>
      <c r="C429" s="55"/>
      <c r="D429" s="49" t="s">
        <v>2002</v>
      </c>
      <c r="E429" s="49" t="s">
        <v>1334</v>
      </c>
      <c r="F429" s="49" t="s">
        <v>325</v>
      </c>
      <c r="G429" s="48">
        <v>4556.0</v>
      </c>
      <c r="H429" s="48">
        <v>3791.0</v>
      </c>
      <c r="I429" s="48">
        <v>2256.0</v>
      </c>
      <c r="J429" s="72">
        <f t="shared" si="1"/>
        <v>3534.333333</v>
      </c>
      <c r="K429" s="55"/>
      <c r="L429" s="55"/>
      <c r="M429" s="34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</row>
    <row r="430">
      <c r="A430" s="39"/>
      <c r="B430" s="50">
        <v>419.0</v>
      </c>
      <c r="C430" s="71"/>
      <c r="D430" s="49" t="s">
        <v>2003</v>
      </c>
      <c r="E430" s="49" t="s">
        <v>2004</v>
      </c>
      <c r="F430" s="49" t="s">
        <v>48</v>
      </c>
      <c r="G430" s="48">
        <v>4500.0</v>
      </c>
      <c r="H430" s="76"/>
      <c r="I430" s="48">
        <v>3504.0</v>
      </c>
      <c r="J430" s="72">
        <f t="shared" si="1"/>
        <v>4002</v>
      </c>
      <c r="K430" s="47" t="s">
        <v>2005</v>
      </c>
      <c r="L430" s="50">
        <v>1996.0</v>
      </c>
      <c r="M430" s="34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</row>
    <row r="431">
      <c r="A431" s="39"/>
      <c r="B431" s="50">
        <v>420.0</v>
      </c>
      <c r="C431" s="55"/>
      <c r="D431" s="49" t="s">
        <v>2006</v>
      </c>
      <c r="E431" s="49" t="s">
        <v>813</v>
      </c>
      <c r="F431" s="49" t="s">
        <v>135</v>
      </c>
      <c r="G431" s="48">
        <v>4500.0</v>
      </c>
      <c r="H431" s="48">
        <v>3720.0</v>
      </c>
      <c r="I431" s="48">
        <v>2740.0</v>
      </c>
      <c r="J431" s="72">
        <f t="shared" si="1"/>
        <v>3653.333333</v>
      </c>
      <c r="K431" s="55"/>
      <c r="L431" s="55"/>
      <c r="M431" s="34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</row>
    <row r="432">
      <c r="A432" s="39"/>
      <c r="B432" s="50">
        <v>421.0</v>
      </c>
      <c r="C432" s="55"/>
      <c r="D432" s="49" t="s">
        <v>2007</v>
      </c>
      <c r="E432" s="49" t="s">
        <v>894</v>
      </c>
      <c r="F432" s="49" t="s">
        <v>184</v>
      </c>
      <c r="G432" s="48">
        <v>4500.0</v>
      </c>
      <c r="H432" s="48">
        <v>3400.0</v>
      </c>
      <c r="I432" s="48">
        <v>3300.0</v>
      </c>
      <c r="J432" s="72">
        <f t="shared" si="1"/>
        <v>3733.333333</v>
      </c>
      <c r="K432" s="55"/>
      <c r="L432" s="50">
        <v>2010.0</v>
      </c>
      <c r="M432" s="34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</row>
    <row r="433">
      <c r="A433" s="39"/>
      <c r="B433" s="50">
        <v>422.0</v>
      </c>
      <c r="C433" s="55"/>
      <c r="D433" s="49" t="s">
        <v>2008</v>
      </c>
      <c r="E433" s="49" t="s">
        <v>2009</v>
      </c>
      <c r="F433" s="49" t="s">
        <v>61</v>
      </c>
      <c r="G433" s="48">
        <v>4500.0</v>
      </c>
      <c r="H433" s="48">
        <v>3668.0</v>
      </c>
      <c r="I433" s="48">
        <v>3200.0</v>
      </c>
      <c r="J433" s="72">
        <f t="shared" si="1"/>
        <v>3789.333333</v>
      </c>
      <c r="K433" s="55"/>
      <c r="L433" s="50">
        <v>2006.0</v>
      </c>
      <c r="M433" s="34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</row>
    <row r="434">
      <c r="A434" s="39"/>
      <c r="B434" s="50">
        <v>423.0</v>
      </c>
      <c r="C434" s="55"/>
      <c r="D434" s="49" t="s">
        <v>2010</v>
      </c>
      <c r="E434" s="49" t="s">
        <v>303</v>
      </c>
      <c r="F434" s="49" t="s">
        <v>304</v>
      </c>
      <c r="G434" s="48">
        <v>4500.0</v>
      </c>
      <c r="H434" s="48">
        <v>3680.0</v>
      </c>
      <c r="I434" s="48">
        <v>2528.0</v>
      </c>
      <c r="J434" s="72">
        <f t="shared" si="1"/>
        <v>3569.333333</v>
      </c>
      <c r="K434" s="55"/>
      <c r="L434" s="50">
        <v>2001.0</v>
      </c>
      <c r="M434" s="34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</row>
    <row r="435">
      <c r="A435" s="39"/>
      <c r="B435" s="50">
        <v>424.0</v>
      </c>
      <c r="C435" s="55"/>
      <c r="D435" s="49" t="s">
        <v>2011</v>
      </c>
      <c r="E435" s="49" t="s">
        <v>2012</v>
      </c>
      <c r="F435" s="49" t="s">
        <v>222</v>
      </c>
      <c r="G435" s="48">
        <v>4500.0</v>
      </c>
      <c r="H435" s="48">
        <v>3500.0</v>
      </c>
      <c r="I435" s="76"/>
      <c r="J435" s="72">
        <f t="shared" si="1"/>
        <v>4000</v>
      </c>
      <c r="K435" s="50">
        <v>2023.0</v>
      </c>
      <c r="L435" s="55"/>
      <c r="M435" s="34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</row>
    <row r="436">
      <c r="A436" s="39"/>
      <c r="B436" s="50">
        <v>425.0</v>
      </c>
      <c r="C436" s="55"/>
      <c r="D436" s="49" t="s">
        <v>2013</v>
      </c>
      <c r="E436" s="49" t="s">
        <v>594</v>
      </c>
      <c r="F436" s="49" t="s">
        <v>48</v>
      </c>
      <c r="G436" s="48">
        <v>4400.0</v>
      </c>
      <c r="H436" s="48">
        <v>3472.0</v>
      </c>
      <c r="I436" s="48">
        <v>2400.0</v>
      </c>
      <c r="J436" s="72">
        <f t="shared" si="1"/>
        <v>3424</v>
      </c>
      <c r="K436" s="55"/>
      <c r="L436" s="55"/>
      <c r="M436" s="34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</row>
    <row r="437">
      <c r="A437" s="39"/>
      <c r="B437" s="50">
        <v>426.0</v>
      </c>
      <c r="C437" s="55"/>
      <c r="D437" s="49" t="s">
        <v>2014</v>
      </c>
      <c r="E437" s="49" t="s">
        <v>728</v>
      </c>
      <c r="F437" s="49" t="s">
        <v>627</v>
      </c>
      <c r="G437" s="48">
        <v>4275.0</v>
      </c>
      <c r="H437" s="48">
        <v>3555.0</v>
      </c>
      <c r="I437" s="48">
        <v>2575.0</v>
      </c>
      <c r="J437" s="72">
        <f t="shared" si="1"/>
        <v>3468.333333</v>
      </c>
      <c r="K437" s="55"/>
      <c r="L437" s="50">
        <v>1999.0</v>
      </c>
      <c r="M437" s="34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</row>
    <row r="438">
      <c r="A438" s="39"/>
      <c r="B438" s="50">
        <v>427.0</v>
      </c>
      <c r="C438" s="55"/>
      <c r="D438" s="49" t="s">
        <v>2015</v>
      </c>
      <c r="E438" s="49" t="s">
        <v>810</v>
      </c>
      <c r="F438" s="49" t="s">
        <v>65</v>
      </c>
      <c r="G438" s="48">
        <v>4242.0</v>
      </c>
      <c r="H438" s="48">
        <v>4242.0</v>
      </c>
      <c r="I438" s="76"/>
      <c r="J438" s="72">
        <f t="shared" si="1"/>
        <v>4242</v>
      </c>
      <c r="K438" s="47" t="s">
        <v>2016</v>
      </c>
      <c r="L438" s="50">
        <v>2018.0</v>
      </c>
      <c r="M438" s="34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</row>
    <row r="439">
      <c r="A439" s="39"/>
      <c r="B439" s="50">
        <v>428.0</v>
      </c>
      <c r="C439" s="55"/>
      <c r="D439" s="49" t="s">
        <v>2017</v>
      </c>
      <c r="E439" s="49" t="s">
        <v>1984</v>
      </c>
      <c r="F439" s="49" t="s">
        <v>214</v>
      </c>
      <c r="G439" s="48">
        <v>4200.0</v>
      </c>
      <c r="H439" s="48">
        <v>3300.0</v>
      </c>
      <c r="I439" s="48">
        <v>3300.0</v>
      </c>
      <c r="J439" s="72">
        <f t="shared" si="1"/>
        <v>3600</v>
      </c>
      <c r="K439" s="55"/>
      <c r="L439" s="50">
        <v>1974.0</v>
      </c>
      <c r="M439" s="34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</row>
    <row r="440">
      <c r="A440" s="39"/>
      <c r="B440" s="50">
        <v>429.0</v>
      </c>
      <c r="C440" s="71"/>
      <c r="D440" s="49" t="s">
        <v>2018</v>
      </c>
      <c r="E440" s="49" t="s">
        <v>1911</v>
      </c>
      <c r="F440" s="49" t="s">
        <v>110</v>
      </c>
      <c r="G440" s="48">
        <v>4200.0</v>
      </c>
      <c r="H440" s="48">
        <v>3500.0</v>
      </c>
      <c r="I440" s="76"/>
      <c r="J440" s="72">
        <f t="shared" si="1"/>
        <v>3850</v>
      </c>
      <c r="K440" s="47" t="s">
        <v>2019</v>
      </c>
      <c r="L440" s="50">
        <v>2017.0</v>
      </c>
      <c r="M440" s="34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</row>
    <row r="441">
      <c r="A441" s="39"/>
      <c r="B441" s="54">
        <v>430.0</v>
      </c>
      <c r="C441" s="71"/>
      <c r="D441" s="47" t="s">
        <v>2020</v>
      </c>
      <c r="E441" s="49" t="s">
        <v>180</v>
      </c>
      <c r="F441" s="49" t="s">
        <v>444</v>
      </c>
      <c r="G441" s="53">
        <v>4200.0</v>
      </c>
      <c r="H441" s="53">
        <v>4200.0</v>
      </c>
      <c r="I441" s="73"/>
      <c r="J441" s="72">
        <f t="shared" si="1"/>
        <v>4200</v>
      </c>
      <c r="K441" s="47" t="s">
        <v>2021</v>
      </c>
      <c r="L441" s="54">
        <v>2018.0</v>
      </c>
      <c r="M441" s="49" t="s">
        <v>1232</v>
      </c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</row>
    <row r="442">
      <c r="A442" s="39"/>
      <c r="B442" s="50">
        <v>431.0</v>
      </c>
      <c r="C442" s="55"/>
      <c r="D442" s="49" t="s">
        <v>2022</v>
      </c>
      <c r="E442" s="49" t="s">
        <v>2023</v>
      </c>
      <c r="F442" s="49" t="s">
        <v>135</v>
      </c>
      <c r="G442" s="48">
        <v>4200.0</v>
      </c>
      <c r="H442" s="48">
        <v>3250.0</v>
      </c>
      <c r="I442" s="48">
        <v>2300.0</v>
      </c>
      <c r="J442" s="72">
        <f t="shared" si="1"/>
        <v>3250</v>
      </c>
      <c r="K442" s="55"/>
      <c r="L442" s="55"/>
      <c r="M442" s="34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</row>
    <row r="443">
      <c r="A443" s="39"/>
      <c r="B443" s="50">
        <v>432.0</v>
      </c>
      <c r="C443" s="55"/>
      <c r="D443" s="49" t="s">
        <v>2024</v>
      </c>
      <c r="E443" s="49" t="s">
        <v>705</v>
      </c>
      <c r="F443" s="49" t="s">
        <v>84</v>
      </c>
      <c r="G443" s="48">
        <v>4200.0</v>
      </c>
      <c r="H443" s="76"/>
      <c r="I443" s="48">
        <v>4200.0</v>
      </c>
      <c r="J443" s="72">
        <f t="shared" si="1"/>
        <v>4200</v>
      </c>
      <c r="K443" s="47" t="s">
        <v>2025</v>
      </c>
      <c r="L443" s="50">
        <v>2022.0</v>
      </c>
      <c r="M443" s="49" t="s">
        <v>1256</v>
      </c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</row>
    <row r="444">
      <c r="A444" s="39"/>
      <c r="B444" s="50">
        <v>433.0</v>
      </c>
      <c r="C444" s="71"/>
      <c r="D444" s="49" t="s">
        <v>2026</v>
      </c>
      <c r="E444" s="49" t="s">
        <v>1379</v>
      </c>
      <c r="F444" s="49" t="s">
        <v>84</v>
      </c>
      <c r="G444" s="48">
        <v>4200.0</v>
      </c>
      <c r="H444" s="48">
        <v>4200.0</v>
      </c>
      <c r="I444" s="76"/>
      <c r="J444" s="72">
        <f t="shared" si="1"/>
        <v>4200</v>
      </c>
      <c r="K444" s="47" t="s">
        <v>2027</v>
      </c>
      <c r="L444" s="50">
        <v>1994.0</v>
      </c>
      <c r="M444" s="49" t="s">
        <v>1261</v>
      </c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</row>
    <row r="445">
      <c r="A445" s="39"/>
      <c r="B445" s="50">
        <v>434.0</v>
      </c>
      <c r="C445" s="55"/>
      <c r="D445" s="49" t="s">
        <v>2028</v>
      </c>
      <c r="E445" s="49" t="s">
        <v>2029</v>
      </c>
      <c r="F445" s="49" t="s">
        <v>218</v>
      </c>
      <c r="G445" s="48">
        <v>4150.0</v>
      </c>
      <c r="H445" s="76"/>
      <c r="I445" s="48">
        <v>2650.0</v>
      </c>
      <c r="J445" s="72">
        <f t="shared" si="1"/>
        <v>3400</v>
      </c>
      <c r="K445" s="55"/>
      <c r="L445" s="50">
        <v>1977.0</v>
      </c>
      <c r="M445" s="49" t="s">
        <v>1270</v>
      </c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</row>
    <row r="446">
      <c r="A446" s="39"/>
      <c r="B446" s="50">
        <v>435.0</v>
      </c>
      <c r="C446" s="55"/>
      <c r="D446" s="49" t="s">
        <v>2030</v>
      </c>
      <c r="E446" s="49" t="s">
        <v>2031</v>
      </c>
      <c r="F446" s="49" t="s">
        <v>84</v>
      </c>
      <c r="G446" s="48">
        <v>4140.0</v>
      </c>
      <c r="H446" s="48">
        <v>3465.0</v>
      </c>
      <c r="I446" s="48">
        <v>2596.0</v>
      </c>
      <c r="J446" s="72">
        <f t="shared" si="1"/>
        <v>3400.333333</v>
      </c>
      <c r="K446" s="55"/>
      <c r="L446" s="55"/>
      <c r="M446" s="34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</row>
    <row r="447">
      <c r="A447" s="39"/>
      <c r="B447" s="50">
        <v>436.0</v>
      </c>
      <c r="C447" s="55"/>
      <c r="D447" s="49" t="s">
        <v>2032</v>
      </c>
      <c r="E447" s="49" t="s">
        <v>2033</v>
      </c>
      <c r="F447" s="49" t="s">
        <v>135</v>
      </c>
      <c r="G447" s="48">
        <v>4125.0</v>
      </c>
      <c r="H447" s="48">
        <v>3405.0</v>
      </c>
      <c r="I447" s="48">
        <v>2425.0</v>
      </c>
      <c r="J447" s="72">
        <f t="shared" si="1"/>
        <v>3318.333333</v>
      </c>
      <c r="K447" s="55"/>
      <c r="L447" s="50">
        <v>2010.0</v>
      </c>
      <c r="M447" s="34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</row>
    <row r="448">
      <c r="A448" s="39"/>
      <c r="B448" s="50">
        <v>437.0</v>
      </c>
      <c r="C448" s="55"/>
      <c r="D448" s="47" t="s">
        <v>2034</v>
      </c>
      <c r="E448" s="49" t="s">
        <v>2035</v>
      </c>
      <c r="F448" s="49" t="s">
        <v>218</v>
      </c>
      <c r="G448" s="48">
        <v>4110.0</v>
      </c>
      <c r="H448" s="48">
        <v>3390.0</v>
      </c>
      <c r="I448" s="48">
        <v>2410.0</v>
      </c>
      <c r="J448" s="72">
        <f t="shared" si="1"/>
        <v>3303.333333</v>
      </c>
      <c r="K448" s="55"/>
      <c r="L448" s="55"/>
      <c r="M448" s="49" t="s">
        <v>1270</v>
      </c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</row>
    <row r="449">
      <c r="A449" s="39"/>
      <c r="B449" s="50">
        <v>438.0</v>
      </c>
      <c r="C449" s="55"/>
      <c r="D449" s="49" t="s">
        <v>2036</v>
      </c>
      <c r="E449" s="49" t="s">
        <v>908</v>
      </c>
      <c r="F449" s="49" t="s">
        <v>214</v>
      </c>
      <c r="G449" s="48">
        <v>4108.0</v>
      </c>
      <c r="H449" s="76"/>
      <c r="I449" s="48">
        <v>2508.0</v>
      </c>
      <c r="J449" s="72">
        <f t="shared" si="1"/>
        <v>3308</v>
      </c>
      <c r="K449" s="55"/>
      <c r="L449" s="50">
        <v>1975.0</v>
      </c>
      <c r="M449" s="34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</row>
    <row r="450">
      <c r="A450" s="39"/>
      <c r="B450" s="50">
        <v>439.0</v>
      </c>
      <c r="C450" s="71"/>
      <c r="D450" s="49" t="s">
        <v>2037</v>
      </c>
      <c r="E450" s="49" t="s">
        <v>156</v>
      </c>
      <c r="F450" s="49" t="s">
        <v>65</v>
      </c>
      <c r="G450" s="48">
        <v>4100.0</v>
      </c>
      <c r="H450" s="48">
        <v>4100.0</v>
      </c>
      <c r="I450" s="76"/>
      <c r="J450" s="72">
        <f t="shared" si="1"/>
        <v>4100</v>
      </c>
      <c r="K450" s="47" t="s">
        <v>2038</v>
      </c>
      <c r="L450" s="50">
        <v>1933.0</v>
      </c>
      <c r="M450" s="49" t="s">
        <v>1325</v>
      </c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</row>
    <row r="451">
      <c r="A451" s="39"/>
      <c r="B451" s="50">
        <v>440.0</v>
      </c>
      <c r="C451" s="71"/>
      <c r="D451" s="49" t="s">
        <v>2039</v>
      </c>
      <c r="E451" s="49" t="s">
        <v>2040</v>
      </c>
      <c r="F451" s="49" t="s">
        <v>80</v>
      </c>
      <c r="G451" s="48">
        <v>4070.0</v>
      </c>
      <c r="H451" s="48">
        <v>4000.0</v>
      </c>
      <c r="I451" s="48">
        <v>2400.0</v>
      </c>
      <c r="J451" s="72">
        <f t="shared" si="1"/>
        <v>3490</v>
      </c>
      <c r="K451" s="47" t="s">
        <v>2041</v>
      </c>
      <c r="L451" s="50">
        <v>1991.0</v>
      </c>
      <c r="M451" s="34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</row>
    <row r="452">
      <c r="A452" s="39"/>
      <c r="B452" s="50">
        <v>441.0</v>
      </c>
      <c r="C452" s="71"/>
      <c r="D452" s="49" t="s">
        <v>2042</v>
      </c>
      <c r="E452" s="49" t="s">
        <v>2043</v>
      </c>
      <c r="F452" s="49" t="s">
        <v>153</v>
      </c>
      <c r="G452" s="48">
        <v>4035.0</v>
      </c>
      <c r="H452" s="48">
        <v>3135.0</v>
      </c>
      <c r="I452" s="48">
        <v>2415.0</v>
      </c>
      <c r="J452" s="72">
        <f t="shared" si="1"/>
        <v>3195</v>
      </c>
      <c r="K452" s="55"/>
      <c r="L452" s="50">
        <v>2018.0</v>
      </c>
      <c r="M452" s="34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</row>
    <row r="453">
      <c r="A453" s="39"/>
      <c r="B453" s="50">
        <v>442.0</v>
      </c>
      <c r="C453" s="55"/>
      <c r="D453" s="49" t="s">
        <v>2044</v>
      </c>
      <c r="E453" s="49" t="s">
        <v>2045</v>
      </c>
      <c r="F453" s="49" t="s">
        <v>163</v>
      </c>
      <c r="G453" s="48">
        <v>4035.0</v>
      </c>
      <c r="H453" s="48">
        <v>2500.0</v>
      </c>
      <c r="I453" s="48">
        <v>2335.0</v>
      </c>
      <c r="J453" s="72">
        <f t="shared" si="1"/>
        <v>2956.666667</v>
      </c>
      <c r="K453" s="47" t="s">
        <v>2046</v>
      </c>
      <c r="L453" s="50">
        <v>1983.0</v>
      </c>
      <c r="M453" s="34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</row>
    <row r="454">
      <c r="A454" s="39"/>
      <c r="B454" s="50">
        <v>443.0</v>
      </c>
      <c r="C454" s="55"/>
      <c r="D454" s="49" t="s">
        <v>2047</v>
      </c>
      <c r="E454" s="49" t="s">
        <v>528</v>
      </c>
      <c r="F454" s="49" t="s">
        <v>153</v>
      </c>
      <c r="G454" s="48">
        <v>4000.0</v>
      </c>
      <c r="H454" s="48">
        <v>3500.0</v>
      </c>
      <c r="I454" s="48">
        <v>3500.0</v>
      </c>
      <c r="J454" s="72">
        <f t="shared" si="1"/>
        <v>3666.666667</v>
      </c>
      <c r="K454" s="47" t="s">
        <v>2048</v>
      </c>
      <c r="L454" s="50">
        <v>1989.0</v>
      </c>
      <c r="M454" s="34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</row>
    <row r="455">
      <c r="A455" s="39"/>
      <c r="B455" s="50">
        <v>444.0</v>
      </c>
      <c r="C455" s="55"/>
      <c r="D455" s="49" t="s">
        <v>2049</v>
      </c>
      <c r="E455" s="49" t="s">
        <v>2050</v>
      </c>
      <c r="F455" s="49" t="s">
        <v>91</v>
      </c>
      <c r="G455" s="48">
        <v>4000.0</v>
      </c>
      <c r="H455" s="48">
        <v>3232.0</v>
      </c>
      <c r="I455" s="48">
        <v>2050.0</v>
      </c>
      <c r="J455" s="72">
        <f t="shared" si="1"/>
        <v>3094</v>
      </c>
      <c r="K455" s="55"/>
      <c r="L455" s="55"/>
      <c r="M455" s="34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</row>
    <row r="456">
      <c r="A456" s="39"/>
      <c r="B456" s="50">
        <v>445.0</v>
      </c>
      <c r="C456" s="55"/>
      <c r="D456" s="49" t="s">
        <v>2051</v>
      </c>
      <c r="E456" s="49" t="s">
        <v>2052</v>
      </c>
      <c r="F456" s="49" t="s">
        <v>91</v>
      </c>
      <c r="G456" s="48">
        <v>4000.0</v>
      </c>
      <c r="H456" s="48">
        <v>3040.0</v>
      </c>
      <c r="I456" s="76"/>
      <c r="J456" s="72">
        <f t="shared" si="1"/>
        <v>3520</v>
      </c>
      <c r="K456" s="55"/>
      <c r="L456" s="50">
        <v>1985.0</v>
      </c>
      <c r="M456" s="49" t="s">
        <v>1210</v>
      </c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</row>
    <row r="457">
      <c r="A457" s="39"/>
      <c r="B457" s="50">
        <v>446.0</v>
      </c>
      <c r="C457" s="55"/>
      <c r="D457" s="49" t="s">
        <v>2053</v>
      </c>
      <c r="E457" s="49" t="s">
        <v>908</v>
      </c>
      <c r="F457" s="49" t="s">
        <v>163</v>
      </c>
      <c r="G457" s="48">
        <v>4000.0</v>
      </c>
      <c r="H457" s="76"/>
      <c r="I457" s="48">
        <v>3000.0</v>
      </c>
      <c r="J457" s="72">
        <f t="shared" si="1"/>
        <v>3500</v>
      </c>
      <c r="K457" s="55"/>
      <c r="L457" s="50">
        <v>1998.0</v>
      </c>
      <c r="M457" s="34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</row>
    <row r="458">
      <c r="A458" s="39"/>
      <c r="B458" s="50">
        <v>447.0</v>
      </c>
      <c r="C458" s="55"/>
      <c r="D458" s="49" t="s">
        <v>2054</v>
      </c>
      <c r="E458" s="49" t="s">
        <v>2055</v>
      </c>
      <c r="F458" s="49" t="s">
        <v>304</v>
      </c>
      <c r="G458" s="48">
        <v>4000.0</v>
      </c>
      <c r="H458" s="48">
        <v>2856.0</v>
      </c>
      <c r="I458" s="76"/>
      <c r="J458" s="72">
        <f t="shared" si="1"/>
        <v>3428</v>
      </c>
      <c r="K458" s="47" t="s">
        <v>2056</v>
      </c>
      <c r="L458" s="50">
        <v>1961.0</v>
      </c>
      <c r="M458" s="34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</row>
    <row r="459">
      <c r="A459" s="39"/>
      <c r="B459" s="50">
        <v>448.0</v>
      </c>
      <c r="C459" s="71"/>
      <c r="D459" s="49" t="s">
        <v>2057</v>
      </c>
      <c r="E459" s="49" t="s">
        <v>2058</v>
      </c>
      <c r="F459" s="49" t="s">
        <v>84</v>
      </c>
      <c r="G459" s="48">
        <v>4000.0</v>
      </c>
      <c r="H459" s="48">
        <v>4000.0</v>
      </c>
      <c r="I459" s="76"/>
      <c r="J459" s="72">
        <f t="shared" si="1"/>
        <v>4000</v>
      </c>
      <c r="K459" s="47" t="s">
        <v>2059</v>
      </c>
      <c r="L459" s="50">
        <v>1984.0</v>
      </c>
      <c r="M459" s="49" t="s">
        <v>1261</v>
      </c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</row>
    <row r="460">
      <c r="A460" s="39"/>
      <c r="B460" s="50">
        <v>449.0</v>
      </c>
      <c r="C460" s="55"/>
      <c r="D460" s="49" t="s">
        <v>2060</v>
      </c>
      <c r="E460" s="49" t="s">
        <v>2061</v>
      </c>
      <c r="F460" s="49" t="s">
        <v>57</v>
      </c>
      <c r="G460" s="48">
        <v>4000.0</v>
      </c>
      <c r="H460" s="48">
        <v>3240.0</v>
      </c>
      <c r="I460" s="48">
        <v>2400.0</v>
      </c>
      <c r="J460" s="72">
        <f t="shared" si="1"/>
        <v>3213.333333</v>
      </c>
      <c r="K460" s="55"/>
      <c r="L460" s="55"/>
      <c r="M460" s="34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</row>
    <row r="461">
      <c r="A461" s="39"/>
      <c r="B461" s="50">
        <v>450.0</v>
      </c>
      <c r="C461" s="71"/>
      <c r="D461" s="49" t="s">
        <v>2062</v>
      </c>
      <c r="E461" s="49" t="s">
        <v>2063</v>
      </c>
      <c r="F461" s="49" t="s">
        <v>262</v>
      </c>
      <c r="G461" s="48">
        <v>4000.0</v>
      </c>
      <c r="H461" s="48">
        <v>4000.0</v>
      </c>
      <c r="I461" s="76"/>
      <c r="J461" s="72">
        <f t="shared" si="1"/>
        <v>4000</v>
      </c>
      <c r="K461" s="47" t="s">
        <v>2064</v>
      </c>
      <c r="L461" s="50">
        <v>1984.0</v>
      </c>
      <c r="M461" s="34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</row>
    <row r="462">
      <c r="A462" s="39"/>
      <c r="B462" s="50">
        <v>451.0</v>
      </c>
      <c r="C462" s="55"/>
      <c r="D462" s="47" t="s">
        <v>2065</v>
      </c>
      <c r="E462" s="49" t="s">
        <v>1691</v>
      </c>
      <c r="F462" s="49" t="s">
        <v>369</v>
      </c>
      <c r="G462" s="48">
        <v>3924.0</v>
      </c>
      <c r="H462" s="48">
        <v>3040.0</v>
      </c>
      <c r="I462" s="48">
        <v>1846.0</v>
      </c>
      <c r="J462" s="72">
        <f t="shared" si="1"/>
        <v>2936.666667</v>
      </c>
      <c r="K462" s="55"/>
      <c r="L462" s="50">
        <v>1964.0</v>
      </c>
      <c r="M462" s="34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</row>
    <row r="463">
      <c r="A463" s="39"/>
      <c r="B463" s="50">
        <v>452.0</v>
      </c>
      <c r="C463" s="55"/>
      <c r="D463" s="47" t="s">
        <v>2066</v>
      </c>
      <c r="E463" s="49" t="s">
        <v>2009</v>
      </c>
      <c r="F463" s="49" t="s">
        <v>48</v>
      </c>
      <c r="G463" s="48">
        <v>3920.0</v>
      </c>
      <c r="H463" s="48">
        <v>3200.0</v>
      </c>
      <c r="I463" s="48">
        <v>2220.0</v>
      </c>
      <c r="J463" s="72">
        <f t="shared" si="1"/>
        <v>3113.333333</v>
      </c>
      <c r="K463" s="55"/>
      <c r="L463" s="50" t="s">
        <v>1555</v>
      </c>
      <c r="M463" s="34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</row>
    <row r="464">
      <c r="A464" s="39"/>
      <c r="B464" s="50">
        <v>453.0</v>
      </c>
      <c r="C464" s="55"/>
      <c r="D464" s="49" t="s">
        <v>2067</v>
      </c>
      <c r="E464" s="49" t="s">
        <v>130</v>
      </c>
      <c r="F464" s="49" t="s">
        <v>84</v>
      </c>
      <c r="G464" s="48">
        <v>3900.0</v>
      </c>
      <c r="H464" s="48">
        <v>3900.0</v>
      </c>
      <c r="I464" s="76"/>
      <c r="J464" s="72">
        <f t="shared" si="1"/>
        <v>3900</v>
      </c>
      <c r="K464" s="47" t="s">
        <v>2068</v>
      </c>
      <c r="L464" s="50">
        <v>1981.0</v>
      </c>
      <c r="M464" s="49" t="s">
        <v>1261</v>
      </c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</row>
    <row r="465">
      <c r="A465" s="39"/>
      <c r="B465" s="50">
        <v>454.0</v>
      </c>
      <c r="C465" s="55"/>
      <c r="D465" s="49" t="s">
        <v>2069</v>
      </c>
      <c r="E465" s="49" t="s">
        <v>2070</v>
      </c>
      <c r="F465" s="49" t="s">
        <v>114</v>
      </c>
      <c r="G465" s="48">
        <v>3900.0</v>
      </c>
      <c r="H465" s="48">
        <v>3000.0</v>
      </c>
      <c r="I465" s="76"/>
      <c r="J465" s="72">
        <f t="shared" si="1"/>
        <v>3450</v>
      </c>
      <c r="K465" s="55"/>
      <c r="L465" s="55"/>
      <c r="M465" s="34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</row>
    <row r="466">
      <c r="A466" s="39"/>
      <c r="B466" s="50">
        <v>455.0</v>
      </c>
      <c r="C466" s="55"/>
      <c r="D466" s="49" t="s">
        <v>2071</v>
      </c>
      <c r="E466" s="49" t="s">
        <v>222</v>
      </c>
      <c r="F466" s="49" t="s">
        <v>214</v>
      </c>
      <c r="G466" s="48">
        <v>3900.0</v>
      </c>
      <c r="H466" s="48">
        <v>3050.0</v>
      </c>
      <c r="I466" s="48">
        <v>2000.0</v>
      </c>
      <c r="J466" s="72">
        <f t="shared" si="1"/>
        <v>2983.333333</v>
      </c>
      <c r="K466" s="55"/>
      <c r="L466" s="50">
        <v>2021.0</v>
      </c>
      <c r="M466" s="34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</row>
    <row r="467">
      <c r="A467" s="39"/>
      <c r="B467" s="50">
        <v>456.0</v>
      </c>
      <c r="C467" s="71"/>
      <c r="D467" s="49" t="s">
        <v>2072</v>
      </c>
      <c r="E467" s="49" t="s">
        <v>865</v>
      </c>
      <c r="F467" s="49" t="s">
        <v>65</v>
      </c>
      <c r="G467" s="48">
        <v>3900.0</v>
      </c>
      <c r="H467" s="48">
        <v>3900.0</v>
      </c>
      <c r="I467" s="76"/>
      <c r="J467" s="72">
        <f t="shared" si="1"/>
        <v>3900</v>
      </c>
      <c r="K467" s="47" t="s">
        <v>2073</v>
      </c>
      <c r="L467" s="50">
        <v>1964.0</v>
      </c>
      <c r="M467" s="34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</row>
    <row r="468">
      <c r="A468" s="39"/>
      <c r="B468" s="50">
        <v>457.0</v>
      </c>
      <c r="C468" s="55"/>
      <c r="D468" s="49" t="s">
        <v>2074</v>
      </c>
      <c r="E468" s="49" t="s">
        <v>1631</v>
      </c>
      <c r="F468" s="49" t="s">
        <v>114</v>
      </c>
      <c r="G468" s="48">
        <v>3887.0</v>
      </c>
      <c r="H468" s="48">
        <v>3200.0</v>
      </c>
      <c r="I468" s="76"/>
      <c r="J468" s="72">
        <f t="shared" si="1"/>
        <v>3543.5</v>
      </c>
      <c r="K468" s="55"/>
      <c r="L468" s="50">
        <v>2013.0</v>
      </c>
      <c r="M468" s="34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</row>
    <row r="469">
      <c r="A469" s="39"/>
      <c r="B469" s="50">
        <v>458.0</v>
      </c>
      <c r="C469" s="55"/>
      <c r="D469" s="49" t="s">
        <v>2075</v>
      </c>
      <c r="E469" s="49" t="s">
        <v>1158</v>
      </c>
      <c r="F469" s="49" t="s">
        <v>184</v>
      </c>
      <c r="G469" s="48">
        <v>3850.0</v>
      </c>
      <c r="H469" s="76"/>
      <c r="I469" s="48">
        <v>3850.0</v>
      </c>
      <c r="J469" s="72">
        <f t="shared" si="1"/>
        <v>3850</v>
      </c>
      <c r="K469" s="47" t="s">
        <v>2076</v>
      </c>
      <c r="L469" s="50">
        <v>2000.0</v>
      </c>
      <c r="M469" s="34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</row>
    <row r="470">
      <c r="A470" s="39"/>
      <c r="B470" s="50">
        <v>459.0</v>
      </c>
      <c r="C470" s="55"/>
      <c r="D470" s="47" t="s">
        <v>2077</v>
      </c>
      <c r="E470" s="49" t="s">
        <v>2078</v>
      </c>
      <c r="F470" s="49" t="s">
        <v>504</v>
      </c>
      <c r="G470" s="48">
        <v>3850.0</v>
      </c>
      <c r="H470" s="76"/>
      <c r="I470" s="48">
        <v>1698.0</v>
      </c>
      <c r="J470" s="72">
        <f t="shared" si="1"/>
        <v>2774</v>
      </c>
      <c r="K470" s="55"/>
      <c r="L470" s="55"/>
      <c r="M470" s="34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</row>
    <row r="471">
      <c r="A471" s="39"/>
      <c r="B471" s="50">
        <v>460.0</v>
      </c>
      <c r="C471" s="55"/>
      <c r="D471" s="49" t="s">
        <v>2079</v>
      </c>
      <c r="E471" s="49" t="s">
        <v>908</v>
      </c>
      <c r="F471" s="49" t="s">
        <v>1028</v>
      </c>
      <c r="G471" s="48">
        <v>3840.0</v>
      </c>
      <c r="H471" s="48">
        <v>2875.0</v>
      </c>
      <c r="I471" s="76"/>
      <c r="J471" s="72">
        <f t="shared" si="1"/>
        <v>3357.5</v>
      </c>
      <c r="K471" s="55"/>
      <c r="L471" s="55"/>
      <c r="M471" s="34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</row>
    <row r="472">
      <c r="A472" s="39"/>
      <c r="B472" s="50">
        <v>461.0</v>
      </c>
      <c r="C472" s="55"/>
      <c r="D472" s="49" t="s">
        <v>2080</v>
      </c>
      <c r="E472" s="49" t="s">
        <v>2081</v>
      </c>
      <c r="F472" s="49" t="s">
        <v>325</v>
      </c>
      <c r="G472" s="48">
        <v>3840.0</v>
      </c>
      <c r="H472" s="48">
        <v>3040.0</v>
      </c>
      <c r="I472" s="48">
        <v>1778.0</v>
      </c>
      <c r="J472" s="72">
        <f t="shared" si="1"/>
        <v>2886</v>
      </c>
      <c r="K472" s="55"/>
      <c r="L472" s="55"/>
      <c r="M472" s="34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</row>
    <row r="473">
      <c r="A473" s="39"/>
      <c r="B473" s="50">
        <v>462.0</v>
      </c>
      <c r="C473" s="55"/>
      <c r="D473" s="49" t="s">
        <v>2082</v>
      </c>
      <c r="E473" s="49" t="s">
        <v>2083</v>
      </c>
      <c r="F473" s="49" t="s">
        <v>286</v>
      </c>
      <c r="G473" s="48">
        <v>3836.0</v>
      </c>
      <c r="H473" s="48">
        <v>2972.0</v>
      </c>
      <c r="I473" s="48">
        <v>2000.0</v>
      </c>
      <c r="J473" s="72">
        <f t="shared" si="1"/>
        <v>2936</v>
      </c>
      <c r="K473" s="55"/>
      <c r="L473" s="50">
        <v>2021.0</v>
      </c>
      <c r="M473" s="34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</row>
    <row r="474">
      <c r="A474" s="39"/>
      <c r="B474" s="50">
        <v>463.0</v>
      </c>
      <c r="C474" s="55"/>
      <c r="D474" s="47" t="s">
        <v>2084</v>
      </c>
      <c r="E474" s="49" t="s">
        <v>2085</v>
      </c>
      <c r="F474" s="49" t="s">
        <v>243</v>
      </c>
      <c r="G474" s="48">
        <v>3820.0</v>
      </c>
      <c r="H474" s="48">
        <v>3244.0</v>
      </c>
      <c r="I474" s="48">
        <v>2460.0</v>
      </c>
      <c r="J474" s="72">
        <f t="shared" si="1"/>
        <v>3174.666667</v>
      </c>
      <c r="K474" s="55"/>
      <c r="L474" s="55"/>
      <c r="M474" s="34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</row>
    <row r="475">
      <c r="A475" s="39"/>
      <c r="B475" s="50">
        <v>464.0</v>
      </c>
      <c r="C475" s="71"/>
      <c r="D475" s="49" t="s">
        <v>2086</v>
      </c>
      <c r="E475" s="49" t="s">
        <v>1062</v>
      </c>
      <c r="F475" s="49" t="s">
        <v>65</v>
      </c>
      <c r="G475" s="48">
        <v>3800.0</v>
      </c>
      <c r="H475" s="48">
        <v>3800.0</v>
      </c>
      <c r="I475" s="76"/>
      <c r="J475" s="72">
        <f t="shared" si="1"/>
        <v>3800</v>
      </c>
      <c r="K475" s="47" t="s">
        <v>2087</v>
      </c>
      <c r="L475" s="50">
        <v>1967.0</v>
      </c>
      <c r="M475" s="34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</row>
    <row r="476">
      <c r="A476" s="39"/>
      <c r="B476" s="50">
        <v>465.0</v>
      </c>
      <c r="C476" s="55"/>
      <c r="D476" s="49" t="s">
        <v>2088</v>
      </c>
      <c r="E476" s="49" t="s">
        <v>1800</v>
      </c>
      <c r="F476" s="49" t="s">
        <v>214</v>
      </c>
      <c r="G476" s="48">
        <v>3800.0</v>
      </c>
      <c r="H476" s="48">
        <v>2640.0</v>
      </c>
      <c r="I476" s="48">
        <v>1720.0</v>
      </c>
      <c r="J476" s="72">
        <f t="shared" si="1"/>
        <v>2720</v>
      </c>
      <c r="K476" s="55"/>
      <c r="L476" s="55"/>
      <c r="M476" s="34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</row>
    <row r="477">
      <c r="A477" s="39"/>
      <c r="B477" s="50">
        <v>466.0</v>
      </c>
      <c r="C477" s="55"/>
      <c r="D477" s="49" t="s">
        <v>2089</v>
      </c>
      <c r="E477" s="49" t="s">
        <v>2090</v>
      </c>
      <c r="F477" s="49" t="s">
        <v>180</v>
      </c>
      <c r="G477" s="48">
        <v>3750.0</v>
      </c>
      <c r="H477" s="48">
        <v>3075.0</v>
      </c>
      <c r="I477" s="48">
        <v>2000.0</v>
      </c>
      <c r="J477" s="72">
        <f t="shared" si="1"/>
        <v>2941.666667</v>
      </c>
      <c r="K477" s="55"/>
      <c r="L477" s="50">
        <v>1982.0</v>
      </c>
      <c r="M477" s="34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</row>
    <row r="478">
      <c r="A478" s="39"/>
      <c r="B478" s="50">
        <v>467.0</v>
      </c>
      <c r="C478" s="55"/>
      <c r="D478" s="49" t="s">
        <v>2091</v>
      </c>
      <c r="E478" s="49" t="s">
        <v>2092</v>
      </c>
      <c r="F478" s="49" t="s">
        <v>1107</v>
      </c>
      <c r="G478" s="48">
        <v>3724.0</v>
      </c>
      <c r="H478" s="48">
        <v>3244.0</v>
      </c>
      <c r="I478" s="76"/>
      <c r="J478" s="72">
        <f t="shared" si="1"/>
        <v>3484</v>
      </c>
      <c r="K478" s="55"/>
      <c r="L478" s="55"/>
      <c r="M478" s="34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</row>
    <row r="479">
      <c r="A479" s="39"/>
      <c r="B479" s="50">
        <v>468.0</v>
      </c>
      <c r="C479" s="71"/>
      <c r="D479" s="49" t="s">
        <v>2093</v>
      </c>
      <c r="E479" s="49" t="s">
        <v>2094</v>
      </c>
      <c r="F479" s="49" t="s">
        <v>65</v>
      </c>
      <c r="G479" s="48">
        <v>3720.0</v>
      </c>
      <c r="H479" s="48">
        <v>2800.0</v>
      </c>
      <c r="I479" s="76"/>
      <c r="J479" s="72">
        <f t="shared" si="1"/>
        <v>3260</v>
      </c>
      <c r="K479" s="55"/>
      <c r="L479" s="50">
        <v>1991.0</v>
      </c>
      <c r="M479" s="49" t="s">
        <v>1325</v>
      </c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</row>
    <row r="480">
      <c r="A480" s="39"/>
      <c r="B480" s="50">
        <v>469.0</v>
      </c>
      <c r="C480" s="55"/>
      <c r="D480" s="49" t="s">
        <v>2095</v>
      </c>
      <c r="E480" s="49" t="s">
        <v>2096</v>
      </c>
      <c r="F480" s="49" t="s">
        <v>114</v>
      </c>
      <c r="G480" s="48">
        <v>3710.0</v>
      </c>
      <c r="H480" s="48">
        <v>2750.0</v>
      </c>
      <c r="I480" s="76"/>
      <c r="J480" s="72">
        <f t="shared" si="1"/>
        <v>3230</v>
      </c>
      <c r="K480" s="55"/>
      <c r="L480" s="50">
        <v>1967.0</v>
      </c>
      <c r="M480" s="34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</row>
    <row r="481">
      <c r="A481" s="39"/>
      <c r="B481" s="50">
        <v>470.0</v>
      </c>
      <c r="C481" s="55"/>
      <c r="D481" s="49" t="s">
        <v>2097</v>
      </c>
      <c r="E481" s="49" t="s">
        <v>2098</v>
      </c>
      <c r="F481" s="49" t="s">
        <v>84</v>
      </c>
      <c r="G481" s="48">
        <v>3700.0</v>
      </c>
      <c r="H481" s="48">
        <v>3500.0</v>
      </c>
      <c r="I481" s="48">
        <v>3000.0</v>
      </c>
      <c r="J481" s="72">
        <f t="shared" si="1"/>
        <v>3400</v>
      </c>
      <c r="K481" s="55"/>
      <c r="L481" s="55"/>
      <c r="M481" s="34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</row>
    <row r="482">
      <c r="A482" s="39"/>
      <c r="B482" s="50">
        <v>471.0</v>
      </c>
      <c r="C482" s="55"/>
      <c r="D482" s="49" t="s">
        <v>2099</v>
      </c>
      <c r="E482" s="49" t="s">
        <v>2100</v>
      </c>
      <c r="F482" s="49" t="s">
        <v>84</v>
      </c>
      <c r="G482" s="48">
        <v>3700.0</v>
      </c>
      <c r="H482" s="48">
        <v>2044.0</v>
      </c>
      <c r="I482" s="76"/>
      <c r="J482" s="72">
        <f t="shared" si="1"/>
        <v>2872</v>
      </c>
      <c r="K482" s="55"/>
      <c r="L482" s="50">
        <v>1972.0</v>
      </c>
      <c r="M482" s="34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</row>
    <row r="483">
      <c r="A483" s="39"/>
      <c r="B483" s="50">
        <v>472.0</v>
      </c>
      <c r="C483" s="55"/>
      <c r="D483" s="49" t="s">
        <v>2101</v>
      </c>
      <c r="E483" s="49" t="s">
        <v>2102</v>
      </c>
      <c r="F483" s="49" t="s">
        <v>76</v>
      </c>
      <c r="G483" s="48">
        <v>3600.0</v>
      </c>
      <c r="H483" s="48">
        <v>3000.0</v>
      </c>
      <c r="I483" s="76"/>
      <c r="J483" s="72">
        <f t="shared" si="1"/>
        <v>3300</v>
      </c>
      <c r="K483" s="55"/>
      <c r="L483" s="55"/>
      <c r="M483" s="34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</row>
    <row r="484">
      <c r="A484" s="39"/>
      <c r="B484" s="50">
        <v>473.0</v>
      </c>
      <c r="C484" s="55"/>
      <c r="D484" s="47" t="s">
        <v>2103</v>
      </c>
      <c r="E484" s="49" t="s">
        <v>510</v>
      </c>
      <c r="F484" s="49" t="s">
        <v>325</v>
      </c>
      <c r="G484" s="48">
        <v>3600.0</v>
      </c>
      <c r="H484" s="48">
        <v>2880.0</v>
      </c>
      <c r="I484" s="48">
        <v>1900.0</v>
      </c>
      <c r="J484" s="72">
        <f t="shared" si="1"/>
        <v>2793.333333</v>
      </c>
      <c r="K484" s="55"/>
      <c r="L484" s="55"/>
      <c r="M484" s="34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</row>
    <row r="485">
      <c r="A485" s="39"/>
      <c r="B485" s="50">
        <v>474.0</v>
      </c>
      <c r="C485" s="55"/>
      <c r="D485" s="49" t="s">
        <v>2104</v>
      </c>
      <c r="E485" s="49" t="s">
        <v>2105</v>
      </c>
      <c r="F485" s="49" t="s">
        <v>180</v>
      </c>
      <c r="G485" s="48">
        <v>3600.0</v>
      </c>
      <c r="H485" s="48">
        <v>2816.0</v>
      </c>
      <c r="I485" s="48">
        <v>1660.0</v>
      </c>
      <c r="J485" s="72">
        <f t="shared" si="1"/>
        <v>2692</v>
      </c>
      <c r="K485" s="55"/>
      <c r="L485" s="55"/>
      <c r="M485" s="34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</row>
    <row r="486">
      <c r="A486" s="39"/>
      <c r="B486" s="50">
        <v>475.0</v>
      </c>
      <c r="C486" s="55"/>
      <c r="D486" s="49" t="s">
        <v>2106</v>
      </c>
      <c r="E486" s="49" t="s">
        <v>2107</v>
      </c>
      <c r="F486" s="49" t="s">
        <v>180</v>
      </c>
      <c r="G486" s="48">
        <v>3600.0</v>
      </c>
      <c r="H486" s="48">
        <v>2700.0</v>
      </c>
      <c r="I486" s="48">
        <v>1524.0</v>
      </c>
      <c r="J486" s="72">
        <f t="shared" si="1"/>
        <v>2608</v>
      </c>
      <c r="K486" s="55"/>
      <c r="L486" s="55"/>
      <c r="M486" s="34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</row>
    <row r="487">
      <c r="A487" s="39"/>
      <c r="B487" s="50">
        <v>476.0</v>
      </c>
      <c r="C487" s="55"/>
      <c r="D487" s="49" t="s">
        <v>2108</v>
      </c>
      <c r="E487" s="49" t="s">
        <v>2109</v>
      </c>
      <c r="F487" s="49" t="s">
        <v>106</v>
      </c>
      <c r="G487" s="48">
        <v>3570.0</v>
      </c>
      <c r="H487" s="48">
        <v>2500.0</v>
      </c>
      <c r="I487" s="48">
        <v>2157.0</v>
      </c>
      <c r="J487" s="72">
        <f t="shared" si="1"/>
        <v>2742.333333</v>
      </c>
      <c r="K487" s="55"/>
      <c r="L487" s="55"/>
      <c r="M487" s="34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</row>
    <row r="488">
      <c r="A488" s="39"/>
      <c r="B488" s="50">
        <v>477.0</v>
      </c>
      <c r="C488" s="55"/>
      <c r="D488" s="49" t="s">
        <v>2110</v>
      </c>
      <c r="E488" s="49" t="s">
        <v>2111</v>
      </c>
      <c r="F488" s="49" t="s">
        <v>760</v>
      </c>
      <c r="G488" s="48">
        <v>3568.0</v>
      </c>
      <c r="H488" s="48">
        <v>2868.0</v>
      </c>
      <c r="I488" s="76"/>
      <c r="J488" s="72">
        <f t="shared" si="1"/>
        <v>3218</v>
      </c>
      <c r="K488" s="47" t="s">
        <v>2112</v>
      </c>
      <c r="L488" s="50">
        <v>1957.0</v>
      </c>
      <c r="M488" s="34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</row>
    <row r="489">
      <c r="A489" s="39"/>
      <c r="B489" s="50">
        <v>478.0</v>
      </c>
      <c r="C489" s="55"/>
      <c r="D489" s="49" t="s">
        <v>2113</v>
      </c>
      <c r="E489" s="49" t="s">
        <v>2114</v>
      </c>
      <c r="F489" s="49" t="s">
        <v>84</v>
      </c>
      <c r="G489" s="48">
        <v>3500.0</v>
      </c>
      <c r="H489" s="76"/>
      <c r="I489" s="76"/>
      <c r="J489" s="72">
        <f t="shared" si="1"/>
        <v>3500</v>
      </c>
      <c r="K489" s="55"/>
      <c r="L489" s="50">
        <v>1982.0</v>
      </c>
      <c r="M489" s="34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</row>
    <row r="490">
      <c r="A490" s="39"/>
      <c r="B490" s="50">
        <v>479.0</v>
      </c>
      <c r="C490" s="71"/>
      <c r="D490" s="49" t="s">
        <v>2115</v>
      </c>
      <c r="E490" s="49" t="s">
        <v>1062</v>
      </c>
      <c r="F490" s="49" t="s">
        <v>65</v>
      </c>
      <c r="G490" s="48">
        <v>3500.0</v>
      </c>
      <c r="H490" s="48">
        <v>3500.0</v>
      </c>
      <c r="I490" s="76"/>
      <c r="J490" s="72">
        <f t="shared" si="1"/>
        <v>3500</v>
      </c>
      <c r="K490" s="55"/>
      <c r="L490" s="50">
        <v>1970.0</v>
      </c>
      <c r="M490" s="34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</row>
    <row r="491">
      <c r="A491" s="39"/>
      <c r="B491" s="50">
        <v>480.0</v>
      </c>
      <c r="C491" s="55"/>
      <c r="D491" s="49" t="s">
        <v>2116</v>
      </c>
      <c r="E491" s="49" t="s">
        <v>2117</v>
      </c>
      <c r="F491" s="49" t="s">
        <v>76</v>
      </c>
      <c r="G491" s="48">
        <v>3500.0</v>
      </c>
      <c r="H491" s="76"/>
      <c r="I491" s="76"/>
      <c r="J491" s="72">
        <f t="shared" si="1"/>
        <v>3500</v>
      </c>
      <c r="K491" s="55"/>
      <c r="L491" s="55"/>
      <c r="M491" s="34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</row>
    <row r="492">
      <c r="A492" s="39"/>
      <c r="B492" s="50">
        <v>481.0</v>
      </c>
      <c r="C492" s="55"/>
      <c r="D492" s="49" t="s">
        <v>2118</v>
      </c>
      <c r="E492" s="49" t="s">
        <v>1768</v>
      </c>
      <c r="F492" s="49" t="s">
        <v>163</v>
      </c>
      <c r="G492" s="48">
        <v>3500.0</v>
      </c>
      <c r="H492" s="76"/>
      <c r="I492" s="48">
        <v>3000.0</v>
      </c>
      <c r="J492" s="72">
        <f t="shared" si="1"/>
        <v>3250</v>
      </c>
      <c r="K492" s="55"/>
      <c r="L492" s="50">
        <v>2003.0</v>
      </c>
      <c r="M492" s="34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</row>
    <row r="493">
      <c r="A493" s="39"/>
      <c r="B493" s="50">
        <v>482.0</v>
      </c>
      <c r="C493" s="71"/>
      <c r="D493" s="49" t="s">
        <v>2119</v>
      </c>
      <c r="E493" s="49" t="s">
        <v>2120</v>
      </c>
      <c r="F493" s="49" t="s">
        <v>163</v>
      </c>
      <c r="G493" s="48">
        <v>3500.0</v>
      </c>
      <c r="H493" s="76"/>
      <c r="I493" s="76"/>
      <c r="J493" s="72">
        <f t="shared" si="1"/>
        <v>3500</v>
      </c>
      <c r="K493" s="55"/>
      <c r="L493" s="50">
        <v>1970.0</v>
      </c>
      <c r="M493" s="49" t="s">
        <v>1236</v>
      </c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</row>
    <row r="494">
      <c r="A494" s="39"/>
      <c r="B494" s="50">
        <v>483.0</v>
      </c>
      <c r="C494" s="55"/>
      <c r="D494" s="49" t="s">
        <v>2121</v>
      </c>
      <c r="E494" s="49" t="s">
        <v>2122</v>
      </c>
      <c r="F494" s="49" t="s">
        <v>163</v>
      </c>
      <c r="G494" s="48">
        <v>3500.0</v>
      </c>
      <c r="H494" s="48">
        <v>3500.0</v>
      </c>
      <c r="I494" s="48">
        <v>3500.0</v>
      </c>
      <c r="J494" s="72">
        <f t="shared" si="1"/>
        <v>3500</v>
      </c>
      <c r="K494" s="55"/>
      <c r="L494" s="50" t="s">
        <v>1962</v>
      </c>
      <c r="M494" s="34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</row>
    <row r="495">
      <c r="A495" s="39"/>
      <c r="B495" s="50">
        <v>484.0</v>
      </c>
      <c r="C495" s="55"/>
      <c r="D495" s="49" t="s">
        <v>2123</v>
      </c>
      <c r="E495" s="49" t="s">
        <v>347</v>
      </c>
      <c r="F495" s="49" t="s">
        <v>236</v>
      </c>
      <c r="G495" s="48">
        <v>3500.0</v>
      </c>
      <c r="H495" s="48">
        <v>2492.0</v>
      </c>
      <c r="I495" s="76"/>
      <c r="J495" s="72">
        <f t="shared" si="1"/>
        <v>2996</v>
      </c>
      <c r="K495" s="55"/>
      <c r="L495" s="55"/>
      <c r="M495" s="34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</row>
    <row r="496">
      <c r="A496" s="39"/>
      <c r="B496" s="50">
        <v>485.0</v>
      </c>
      <c r="C496" s="71"/>
      <c r="D496" s="49" t="s">
        <v>2124</v>
      </c>
      <c r="E496" s="49" t="s">
        <v>2125</v>
      </c>
      <c r="F496" s="49" t="s">
        <v>184</v>
      </c>
      <c r="G496" s="48">
        <v>3408.0</v>
      </c>
      <c r="H496" s="76"/>
      <c r="I496" s="48">
        <v>3250.0</v>
      </c>
      <c r="J496" s="72">
        <f t="shared" si="1"/>
        <v>3329</v>
      </c>
      <c r="K496" s="47" t="s">
        <v>2126</v>
      </c>
      <c r="L496" s="50">
        <v>1961.0</v>
      </c>
      <c r="M496" s="34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</row>
    <row r="497">
      <c r="A497" s="39"/>
      <c r="B497" s="50">
        <v>486.0</v>
      </c>
      <c r="C497" s="55"/>
      <c r="D497" s="49" t="s">
        <v>2127</v>
      </c>
      <c r="E497" s="49" t="s">
        <v>2128</v>
      </c>
      <c r="F497" s="49" t="s">
        <v>91</v>
      </c>
      <c r="G497" s="48">
        <v>3400.0</v>
      </c>
      <c r="H497" s="76"/>
      <c r="I497" s="76"/>
      <c r="J497" s="72">
        <f t="shared" si="1"/>
        <v>3400</v>
      </c>
      <c r="K497" s="55"/>
      <c r="L497" s="50">
        <v>2020.0</v>
      </c>
      <c r="M497" s="34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</row>
    <row r="498">
      <c r="A498" s="39"/>
      <c r="B498" s="50">
        <v>487.0</v>
      </c>
      <c r="C498" s="55"/>
      <c r="D498" s="49" t="s">
        <v>2129</v>
      </c>
      <c r="E498" s="49" t="s">
        <v>1464</v>
      </c>
      <c r="F498" s="49" t="s">
        <v>91</v>
      </c>
      <c r="G498" s="48">
        <v>3400.0</v>
      </c>
      <c r="H498" s="48">
        <v>3100.0</v>
      </c>
      <c r="I498" s="76"/>
      <c r="J498" s="72">
        <f t="shared" si="1"/>
        <v>3250</v>
      </c>
      <c r="K498" s="55"/>
      <c r="L498" s="55"/>
      <c r="M498" s="34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</row>
    <row r="499">
      <c r="A499" s="39"/>
      <c r="B499" s="50">
        <v>488.0</v>
      </c>
      <c r="C499" s="55"/>
      <c r="D499" s="49" t="s">
        <v>2130</v>
      </c>
      <c r="E499" s="49" t="s">
        <v>1154</v>
      </c>
      <c r="F499" s="49" t="s">
        <v>76</v>
      </c>
      <c r="G499" s="48">
        <v>3317.0</v>
      </c>
      <c r="H499" s="48">
        <v>3317.0</v>
      </c>
      <c r="I499" s="48">
        <v>2896.0</v>
      </c>
      <c r="J499" s="72">
        <f t="shared" si="1"/>
        <v>3176.666667</v>
      </c>
      <c r="K499" s="55"/>
      <c r="L499" s="50">
        <v>2004.0</v>
      </c>
      <c r="M499" s="34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</row>
    <row r="500">
      <c r="A500" s="39"/>
      <c r="B500" s="50">
        <v>489.0</v>
      </c>
      <c r="C500" s="55"/>
      <c r="D500" s="49" t="s">
        <v>2131</v>
      </c>
      <c r="E500" s="49" t="s">
        <v>1113</v>
      </c>
      <c r="F500" s="49" t="s">
        <v>783</v>
      </c>
      <c r="G500" s="48">
        <v>3250.0</v>
      </c>
      <c r="H500" s="48">
        <v>3250.0</v>
      </c>
      <c r="I500" s="76"/>
      <c r="J500" s="72">
        <f t="shared" si="1"/>
        <v>3250</v>
      </c>
      <c r="K500" s="47" t="s">
        <v>2132</v>
      </c>
      <c r="L500" s="50">
        <v>2013.0</v>
      </c>
      <c r="M500" s="34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</row>
    <row r="501">
      <c r="A501" s="39"/>
      <c r="B501" s="50">
        <v>490.0</v>
      </c>
      <c r="C501" s="55"/>
      <c r="D501" s="49" t="s">
        <v>2133</v>
      </c>
      <c r="E501" s="49" t="s">
        <v>759</v>
      </c>
      <c r="F501" s="49" t="s">
        <v>760</v>
      </c>
      <c r="G501" s="48">
        <v>3228.0</v>
      </c>
      <c r="H501" s="48">
        <v>2898.0</v>
      </c>
      <c r="I501" s="76"/>
      <c r="J501" s="72">
        <f t="shared" si="1"/>
        <v>3063</v>
      </c>
      <c r="K501" s="55"/>
      <c r="L501" s="50" t="s">
        <v>2134</v>
      </c>
      <c r="M501" s="34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</row>
    <row r="502">
      <c r="A502" s="39"/>
      <c r="B502" s="50">
        <v>491.0</v>
      </c>
      <c r="C502" s="55"/>
      <c r="D502" s="49" t="s">
        <v>2135</v>
      </c>
      <c r="E502" s="49" t="s">
        <v>2136</v>
      </c>
      <c r="F502" s="49" t="s">
        <v>91</v>
      </c>
      <c r="G502" s="48">
        <v>3200.0</v>
      </c>
      <c r="H502" s="48">
        <v>2800.0</v>
      </c>
      <c r="I502" s="76"/>
      <c r="J502" s="72">
        <f t="shared" si="1"/>
        <v>3000</v>
      </c>
      <c r="K502" s="55"/>
      <c r="L502" s="55"/>
      <c r="M502" s="34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</row>
    <row r="503">
      <c r="A503" s="39"/>
      <c r="B503" s="50">
        <v>492.0</v>
      </c>
      <c r="C503" s="55"/>
      <c r="D503" s="49" t="s">
        <v>2137</v>
      </c>
      <c r="E503" s="49" t="s">
        <v>1780</v>
      </c>
      <c r="F503" s="49" t="s">
        <v>57</v>
      </c>
      <c r="G503" s="48">
        <v>3200.0</v>
      </c>
      <c r="H503" s="48">
        <v>2432.0</v>
      </c>
      <c r="I503" s="48">
        <v>1300.0</v>
      </c>
      <c r="J503" s="72">
        <f t="shared" si="1"/>
        <v>2310.666667</v>
      </c>
      <c r="K503" s="55"/>
      <c r="L503" s="55"/>
      <c r="M503" s="34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</row>
    <row r="504">
      <c r="A504" s="39"/>
      <c r="B504" s="50">
        <v>493.0</v>
      </c>
      <c r="C504" s="55"/>
      <c r="D504" s="49" t="s">
        <v>2138</v>
      </c>
      <c r="E504" s="49" t="s">
        <v>2139</v>
      </c>
      <c r="F504" s="49" t="s">
        <v>106</v>
      </c>
      <c r="G504" s="48">
        <v>3200.0</v>
      </c>
      <c r="H504" s="48">
        <v>2359.0</v>
      </c>
      <c r="I504" s="76"/>
      <c r="J504" s="72">
        <f t="shared" si="1"/>
        <v>2779.5</v>
      </c>
      <c r="K504" s="55"/>
      <c r="L504" s="50">
        <v>1979.0</v>
      </c>
      <c r="M504" s="34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</row>
    <row r="505">
      <c r="A505" s="39"/>
      <c r="B505" s="50">
        <v>494.0</v>
      </c>
      <c r="C505" s="55"/>
      <c r="D505" s="49" t="s">
        <v>2140</v>
      </c>
      <c r="E505" s="49" t="s">
        <v>1546</v>
      </c>
      <c r="F505" s="49" t="s">
        <v>262</v>
      </c>
      <c r="G505" s="48">
        <v>3200.0</v>
      </c>
      <c r="H505" s="76"/>
      <c r="I505" s="76"/>
      <c r="J505" s="72">
        <f t="shared" si="1"/>
        <v>3200</v>
      </c>
      <c r="K505" s="55"/>
      <c r="L505" s="55"/>
      <c r="M505" s="34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</row>
    <row r="506">
      <c r="A506" s="39"/>
      <c r="B506" s="50">
        <v>495.0</v>
      </c>
      <c r="C506" s="71"/>
      <c r="D506" s="49" t="s">
        <v>2141</v>
      </c>
      <c r="E506" s="49" t="s">
        <v>1485</v>
      </c>
      <c r="F506" s="49" t="s">
        <v>91</v>
      </c>
      <c r="G506" s="48">
        <v>3196.0</v>
      </c>
      <c r="H506" s="76"/>
      <c r="I506" s="76"/>
      <c r="J506" s="72">
        <f t="shared" si="1"/>
        <v>3196</v>
      </c>
      <c r="K506" s="49" t="s">
        <v>2142</v>
      </c>
      <c r="L506" s="50">
        <v>1993.0</v>
      </c>
      <c r="M506" s="34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</row>
    <row r="507">
      <c r="A507" s="39"/>
      <c r="B507" s="50">
        <v>496.0</v>
      </c>
      <c r="C507" s="71"/>
      <c r="D507" s="49" t="s">
        <v>2143</v>
      </c>
      <c r="E507" s="49" t="s">
        <v>2144</v>
      </c>
      <c r="F507" s="49" t="s">
        <v>84</v>
      </c>
      <c r="G507" s="48">
        <v>3168.0</v>
      </c>
      <c r="H507" s="48">
        <v>3168.0</v>
      </c>
      <c r="I507" s="76"/>
      <c r="J507" s="72">
        <f t="shared" si="1"/>
        <v>3168</v>
      </c>
      <c r="K507" s="49" t="s">
        <v>2145</v>
      </c>
      <c r="L507" s="50">
        <v>1994.0</v>
      </c>
      <c r="M507" s="49" t="s">
        <v>1261</v>
      </c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</row>
    <row r="508">
      <c r="A508" s="39"/>
      <c r="B508" s="50">
        <v>497.0</v>
      </c>
      <c r="C508" s="55"/>
      <c r="D508" s="49" t="s">
        <v>2146</v>
      </c>
      <c r="E508" s="49" t="s">
        <v>1154</v>
      </c>
      <c r="F508" s="49" t="s">
        <v>76</v>
      </c>
      <c r="G508" s="48">
        <v>3100.0</v>
      </c>
      <c r="H508" s="76"/>
      <c r="I508" s="76"/>
      <c r="J508" s="72">
        <f t="shared" si="1"/>
        <v>3100</v>
      </c>
      <c r="K508" s="55"/>
      <c r="L508" s="50">
        <v>1975.0</v>
      </c>
      <c r="M508" s="34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</row>
    <row r="509">
      <c r="A509" s="39"/>
      <c r="B509" s="50">
        <v>498.0</v>
      </c>
      <c r="C509" s="55"/>
      <c r="D509" s="49" t="s">
        <v>2147</v>
      </c>
      <c r="E509" s="49" t="s">
        <v>1905</v>
      </c>
      <c r="F509" s="49" t="s">
        <v>184</v>
      </c>
      <c r="G509" s="48">
        <v>3079.0</v>
      </c>
      <c r="H509" s="76"/>
      <c r="I509" s="48">
        <v>3079.0</v>
      </c>
      <c r="J509" s="72">
        <f t="shared" si="1"/>
        <v>3079</v>
      </c>
      <c r="K509" s="47" t="s">
        <v>2148</v>
      </c>
      <c r="L509" s="50">
        <v>2010.0</v>
      </c>
      <c r="M509" s="34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</row>
    <row r="510">
      <c r="A510" s="39"/>
      <c r="B510" s="50">
        <v>499.0</v>
      </c>
      <c r="C510" s="71"/>
      <c r="D510" s="49" t="s">
        <v>2149</v>
      </c>
      <c r="E510" s="49" t="s">
        <v>1023</v>
      </c>
      <c r="F510" s="49" t="s">
        <v>84</v>
      </c>
      <c r="G510" s="48">
        <v>3032.0</v>
      </c>
      <c r="H510" s="48">
        <v>3032.0</v>
      </c>
      <c r="I510" s="76"/>
      <c r="J510" s="72">
        <f t="shared" si="1"/>
        <v>3032</v>
      </c>
      <c r="K510" s="47" t="s">
        <v>2150</v>
      </c>
      <c r="L510" s="50">
        <v>1960.0</v>
      </c>
      <c r="M510" s="34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</row>
    <row r="511">
      <c r="A511" s="39"/>
      <c r="B511" s="50">
        <v>500.0</v>
      </c>
      <c r="C511" s="55"/>
      <c r="D511" s="49" t="s">
        <v>2151</v>
      </c>
      <c r="E511" s="49" t="s">
        <v>1670</v>
      </c>
      <c r="F511" s="49" t="s">
        <v>153</v>
      </c>
      <c r="G511" s="48">
        <v>3000.0</v>
      </c>
      <c r="H511" s="76"/>
      <c r="I511" s="48">
        <v>3000.0</v>
      </c>
      <c r="J511" s="72">
        <f t="shared" si="1"/>
        <v>3000</v>
      </c>
      <c r="K511" s="55"/>
      <c r="L511" s="55"/>
      <c r="M511" s="34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</row>
    <row r="512">
      <c r="A512" s="39"/>
      <c r="B512" s="50">
        <v>501.0</v>
      </c>
      <c r="C512" s="55"/>
      <c r="D512" s="49" t="s">
        <v>2152</v>
      </c>
      <c r="E512" s="49" t="s">
        <v>2153</v>
      </c>
      <c r="F512" s="49" t="s">
        <v>273</v>
      </c>
      <c r="G512" s="48">
        <v>3000.0</v>
      </c>
      <c r="H512" s="48">
        <v>3000.0</v>
      </c>
      <c r="I512" s="48">
        <v>3000.0</v>
      </c>
      <c r="J512" s="72">
        <f t="shared" si="1"/>
        <v>3000</v>
      </c>
      <c r="K512" s="47" t="s">
        <v>2154</v>
      </c>
      <c r="L512" s="50">
        <v>1999.0</v>
      </c>
      <c r="M512" s="49" t="s">
        <v>1236</v>
      </c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</row>
    <row r="513">
      <c r="A513" s="39"/>
      <c r="B513" s="50">
        <v>502.0</v>
      </c>
      <c r="C513" s="55"/>
      <c r="D513" s="49" t="s">
        <v>2155</v>
      </c>
      <c r="E513" s="49" t="s">
        <v>2156</v>
      </c>
      <c r="F513" s="49" t="s">
        <v>262</v>
      </c>
      <c r="G513" s="48">
        <v>3000.0</v>
      </c>
      <c r="H513" s="76"/>
      <c r="I513" s="48">
        <v>3000.0</v>
      </c>
      <c r="J513" s="72">
        <f t="shared" si="1"/>
        <v>3000</v>
      </c>
      <c r="K513" s="47" t="s">
        <v>2157</v>
      </c>
      <c r="L513" s="50">
        <v>1997.0</v>
      </c>
      <c r="M513" s="49" t="s">
        <v>1196</v>
      </c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</row>
    <row r="514">
      <c r="A514" s="39"/>
      <c r="B514" s="50">
        <v>503.0</v>
      </c>
      <c r="C514" s="55"/>
      <c r="D514" s="49" t="s">
        <v>2158</v>
      </c>
      <c r="E514" s="49" t="s">
        <v>2159</v>
      </c>
      <c r="F514" s="49" t="s">
        <v>61</v>
      </c>
      <c r="G514" s="48">
        <v>3000.0</v>
      </c>
      <c r="H514" s="76"/>
      <c r="I514" s="48">
        <v>3000.0</v>
      </c>
      <c r="J514" s="72">
        <f t="shared" si="1"/>
        <v>3000</v>
      </c>
      <c r="K514" s="55"/>
      <c r="L514" s="55"/>
      <c r="M514" s="34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</row>
    <row r="515">
      <c r="A515" s="39"/>
      <c r="B515" s="50">
        <v>504.0</v>
      </c>
      <c r="C515" s="71"/>
      <c r="D515" s="49" t="s">
        <v>2160</v>
      </c>
      <c r="E515" s="49" t="s">
        <v>2161</v>
      </c>
      <c r="F515" s="49" t="s">
        <v>48</v>
      </c>
      <c r="G515" s="48">
        <v>3000.0</v>
      </c>
      <c r="H515" s="48">
        <v>2200.0</v>
      </c>
      <c r="I515" s="48">
        <v>2200.0</v>
      </c>
      <c r="J515" s="72">
        <f t="shared" si="1"/>
        <v>2466.666667</v>
      </c>
      <c r="K515" s="47" t="s">
        <v>2162</v>
      </c>
      <c r="L515" s="50">
        <v>1960.0</v>
      </c>
      <c r="M515" s="34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</row>
    <row r="516">
      <c r="A516" s="39"/>
      <c r="B516" s="50">
        <v>505.0</v>
      </c>
      <c r="C516" s="71"/>
      <c r="D516" s="49" t="s">
        <v>2163</v>
      </c>
      <c r="E516" s="49" t="s">
        <v>623</v>
      </c>
      <c r="F516" s="49" t="s">
        <v>1107</v>
      </c>
      <c r="G516" s="48">
        <v>3000.0</v>
      </c>
      <c r="H516" s="76"/>
      <c r="I516" s="76"/>
      <c r="J516" s="72">
        <f t="shared" si="1"/>
        <v>3000</v>
      </c>
      <c r="K516" s="47" t="s">
        <v>2164</v>
      </c>
      <c r="L516" s="50">
        <v>1915.0</v>
      </c>
      <c r="M516" s="34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</row>
    <row r="517">
      <c r="A517" s="39"/>
      <c r="B517" s="50">
        <v>506.0</v>
      </c>
      <c r="C517" s="55"/>
      <c r="D517" s="49" t="s">
        <v>2165</v>
      </c>
      <c r="E517" s="49" t="s">
        <v>2166</v>
      </c>
      <c r="F517" s="49" t="s">
        <v>124</v>
      </c>
      <c r="G517" s="48">
        <v>3000.0</v>
      </c>
      <c r="H517" s="48">
        <v>2040.0</v>
      </c>
      <c r="I517" s="76"/>
      <c r="J517" s="72">
        <f t="shared" si="1"/>
        <v>2520</v>
      </c>
      <c r="K517" s="55"/>
      <c r="L517" s="50">
        <v>1930.0</v>
      </c>
      <c r="M517" s="34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</row>
    <row r="518">
      <c r="A518" s="39"/>
      <c r="B518" s="50">
        <v>507.0</v>
      </c>
      <c r="C518" s="55"/>
      <c r="D518" s="49" t="s">
        <v>2167</v>
      </c>
      <c r="E518" s="49" t="s">
        <v>2168</v>
      </c>
      <c r="F518" s="49" t="s">
        <v>91</v>
      </c>
      <c r="G518" s="48">
        <v>3000.0</v>
      </c>
      <c r="H518" s="48">
        <v>1900.0</v>
      </c>
      <c r="I518" s="76"/>
      <c r="J518" s="72">
        <f t="shared" si="1"/>
        <v>2450</v>
      </c>
      <c r="K518" s="55"/>
      <c r="L518" s="55"/>
      <c r="M518" s="34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</row>
    <row r="519">
      <c r="A519" s="39"/>
      <c r="B519" s="50">
        <v>508.0</v>
      </c>
      <c r="C519" s="55"/>
      <c r="D519" s="49" t="s">
        <v>2169</v>
      </c>
      <c r="E519" s="49" t="s">
        <v>1432</v>
      </c>
      <c r="F519" s="49" t="s">
        <v>1028</v>
      </c>
      <c r="G519" s="48">
        <v>3000.0</v>
      </c>
      <c r="H519" s="76"/>
      <c r="I519" s="48">
        <v>1600.0</v>
      </c>
      <c r="J519" s="72">
        <f t="shared" si="1"/>
        <v>2300</v>
      </c>
      <c r="K519" s="55"/>
      <c r="L519" s="50">
        <v>1963.0</v>
      </c>
      <c r="M519" s="34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</row>
    <row r="520">
      <c r="A520" s="39"/>
      <c r="B520" s="50">
        <v>509.0</v>
      </c>
      <c r="C520" s="55"/>
      <c r="D520" s="49" t="s">
        <v>2170</v>
      </c>
      <c r="E520" s="49" t="s">
        <v>813</v>
      </c>
      <c r="F520" s="49" t="s">
        <v>135</v>
      </c>
      <c r="G520" s="48">
        <v>2850.0</v>
      </c>
      <c r="H520" s="76"/>
      <c r="I520" s="76"/>
      <c r="J520" s="72">
        <f t="shared" si="1"/>
        <v>2850</v>
      </c>
      <c r="K520" s="47" t="s">
        <v>2171</v>
      </c>
      <c r="L520" s="50">
        <v>2010.0</v>
      </c>
      <c r="M520" s="34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</row>
    <row r="521">
      <c r="A521" s="39"/>
      <c r="B521" s="50">
        <v>510.0</v>
      </c>
      <c r="C521" s="55"/>
      <c r="D521" s="49" t="s">
        <v>2172</v>
      </c>
      <c r="E521" s="49" t="s">
        <v>2173</v>
      </c>
      <c r="F521" s="49" t="s">
        <v>143</v>
      </c>
      <c r="G521" s="48">
        <v>2840.0</v>
      </c>
      <c r="H521" s="76"/>
      <c r="I521" s="48">
        <v>1440.0</v>
      </c>
      <c r="J521" s="72">
        <f t="shared" si="1"/>
        <v>2140</v>
      </c>
      <c r="K521" s="49" t="s">
        <v>2174</v>
      </c>
      <c r="L521" s="50">
        <v>1979.0</v>
      </c>
      <c r="M521" s="34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</row>
    <row r="522">
      <c r="A522" s="39"/>
      <c r="B522" s="50">
        <v>511.0</v>
      </c>
      <c r="C522" s="55"/>
      <c r="D522" s="47" t="s">
        <v>2175</v>
      </c>
      <c r="E522" s="49" t="s">
        <v>447</v>
      </c>
      <c r="F522" s="49" t="s">
        <v>124</v>
      </c>
      <c r="G522" s="48">
        <v>2660.0</v>
      </c>
      <c r="H522" s="48">
        <v>1700.0</v>
      </c>
      <c r="I522" s="76"/>
      <c r="J522" s="72">
        <f t="shared" si="1"/>
        <v>2180</v>
      </c>
      <c r="K522" s="55"/>
      <c r="L522" s="50">
        <v>2022.0</v>
      </c>
      <c r="M522" s="34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</row>
    <row r="523">
      <c r="A523" s="39"/>
      <c r="B523" s="50">
        <v>512.0</v>
      </c>
      <c r="C523" s="55"/>
      <c r="D523" s="49" t="s">
        <v>2176</v>
      </c>
      <c r="E523" s="49" t="s">
        <v>2177</v>
      </c>
      <c r="F523" s="49" t="s">
        <v>84</v>
      </c>
      <c r="G523" s="48">
        <v>2505.0</v>
      </c>
      <c r="H523" s="48">
        <v>2505.0</v>
      </c>
      <c r="I523" s="76"/>
      <c r="J523" s="72">
        <f t="shared" si="1"/>
        <v>2505</v>
      </c>
      <c r="K523" s="47" t="s">
        <v>2178</v>
      </c>
      <c r="L523" s="50">
        <v>2012.0</v>
      </c>
      <c r="M523" s="49" t="s">
        <v>1256</v>
      </c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</row>
    <row r="524">
      <c r="A524" s="39"/>
      <c r="B524" s="50">
        <v>513.0</v>
      </c>
      <c r="C524" s="55"/>
      <c r="D524" s="49" t="s">
        <v>2179</v>
      </c>
      <c r="E524" s="49" t="s">
        <v>2029</v>
      </c>
      <c r="F524" s="49" t="s">
        <v>700</v>
      </c>
      <c r="G524" s="48">
        <v>2500.0</v>
      </c>
      <c r="H524" s="48">
        <v>2500.0</v>
      </c>
      <c r="I524" s="76"/>
      <c r="J524" s="72">
        <f t="shared" si="1"/>
        <v>2500</v>
      </c>
      <c r="K524" s="47" t="s">
        <v>2180</v>
      </c>
      <c r="L524" s="50">
        <v>2019.0</v>
      </c>
      <c r="M524" s="49" t="s">
        <v>1213</v>
      </c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</row>
    <row r="525">
      <c r="A525" s="39"/>
      <c r="B525" s="50">
        <v>514.0</v>
      </c>
      <c r="C525" s="55"/>
      <c r="D525" s="49" t="s">
        <v>2181</v>
      </c>
      <c r="E525" s="49" t="s">
        <v>2182</v>
      </c>
      <c r="F525" s="49" t="s">
        <v>84</v>
      </c>
      <c r="G525" s="48">
        <v>2500.0</v>
      </c>
      <c r="H525" s="48">
        <v>2500.0</v>
      </c>
      <c r="I525" s="76"/>
      <c r="J525" s="72">
        <f t="shared" si="1"/>
        <v>2500</v>
      </c>
      <c r="K525" s="55"/>
      <c r="L525" s="50">
        <v>2019.0</v>
      </c>
      <c r="M525" s="49" t="s">
        <v>1261</v>
      </c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</row>
    <row r="526">
      <c r="A526" s="39"/>
      <c r="B526" s="50">
        <v>515.0</v>
      </c>
      <c r="C526" s="55"/>
      <c r="D526" s="49" t="s">
        <v>2183</v>
      </c>
      <c r="E526" s="49" t="s">
        <v>2184</v>
      </c>
      <c r="F526" s="49" t="s">
        <v>57</v>
      </c>
      <c r="G526" s="48">
        <v>2500.0</v>
      </c>
      <c r="H526" s="48">
        <v>2500.0</v>
      </c>
      <c r="I526" s="76"/>
      <c r="J526" s="72">
        <f t="shared" si="1"/>
        <v>2500</v>
      </c>
      <c r="K526" s="55"/>
      <c r="L526" s="50">
        <v>1965.0</v>
      </c>
      <c r="M526" s="34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</row>
    <row r="527">
      <c r="A527" s="39"/>
      <c r="B527" s="50">
        <v>516.0</v>
      </c>
      <c r="C527" s="55"/>
      <c r="D527" s="49" t="s">
        <v>2185</v>
      </c>
      <c r="E527" s="49" t="s">
        <v>2186</v>
      </c>
      <c r="F527" s="49" t="s">
        <v>143</v>
      </c>
      <c r="G527" s="48">
        <v>2470.0</v>
      </c>
      <c r="H527" s="48">
        <v>1750.0</v>
      </c>
      <c r="I527" s="48">
        <v>1368.0</v>
      </c>
      <c r="J527" s="72">
        <f t="shared" si="1"/>
        <v>1862.666667</v>
      </c>
      <c r="K527" s="55"/>
      <c r="L527" s="55"/>
      <c r="M527" s="34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</row>
    <row r="528">
      <c r="A528" s="39"/>
      <c r="B528" s="50">
        <v>517.0</v>
      </c>
      <c r="C528" s="55"/>
      <c r="D528" s="49" t="s">
        <v>2187</v>
      </c>
      <c r="E528" s="49" t="s">
        <v>2188</v>
      </c>
      <c r="F528" s="49" t="s">
        <v>153</v>
      </c>
      <c r="G528" s="48">
        <v>2450.0</v>
      </c>
      <c r="H528" s="48">
        <v>1960.0</v>
      </c>
      <c r="I528" s="48">
        <v>1284.0</v>
      </c>
      <c r="J528" s="72">
        <f t="shared" si="1"/>
        <v>1898</v>
      </c>
      <c r="K528" s="55"/>
      <c r="L528" s="50">
        <v>1997.0</v>
      </c>
      <c r="M528" s="34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</row>
    <row r="529">
      <c r="A529" s="39"/>
      <c r="B529" s="50">
        <v>518.0</v>
      </c>
      <c r="C529" s="71"/>
      <c r="D529" s="49" t="s">
        <v>2189</v>
      </c>
      <c r="E529" s="49" t="s">
        <v>2190</v>
      </c>
      <c r="F529" s="49" t="s">
        <v>65</v>
      </c>
      <c r="G529" s="48">
        <v>2400.0</v>
      </c>
      <c r="H529" s="48">
        <v>2400.0</v>
      </c>
      <c r="I529" s="76"/>
      <c r="J529" s="72">
        <f t="shared" si="1"/>
        <v>2400</v>
      </c>
      <c r="K529" s="55"/>
      <c r="L529" s="50">
        <v>1999.0</v>
      </c>
      <c r="M529" s="49" t="s">
        <v>1325</v>
      </c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</row>
    <row r="530">
      <c r="A530" s="39"/>
      <c r="B530" s="50">
        <v>519.0</v>
      </c>
      <c r="C530" s="55"/>
      <c r="D530" s="49" t="s">
        <v>2191</v>
      </c>
      <c r="E530" s="49" t="s">
        <v>2192</v>
      </c>
      <c r="F530" s="49" t="s">
        <v>760</v>
      </c>
      <c r="G530" s="48">
        <v>2400.0</v>
      </c>
      <c r="H530" s="48">
        <v>1760.0</v>
      </c>
      <c r="I530" s="76"/>
      <c r="J530" s="72">
        <f t="shared" si="1"/>
        <v>2080</v>
      </c>
      <c r="K530" s="55"/>
      <c r="L530" s="50">
        <v>1972.0</v>
      </c>
      <c r="M530" s="34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</row>
    <row r="531">
      <c r="A531" s="39"/>
      <c r="B531" s="50">
        <v>520.0</v>
      </c>
      <c r="C531" s="55"/>
      <c r="D531" s="49" t="s">
        <v>2193</v>
      </c>
      <c r="E531" s="49" t="s">
        <v>2194</v>
      </c>
      <c r="F531" s="49" t="s">
        <v>84</v>
      </c>
      <c r="G531" s="48">
        <v>2390.0</v>
      </c>
      <c r="H531" s="77">
        <v>974.0</v>
      </c>
      <c r="I531" s="76"/>
      <c r="J531" s="72">
        <f t="shared" si="1"/>
        <v>1682</v>
      </c>
      <c r="K531" s="55"/>
      <c r="L531" s="50">
        <v>1936.0</v>
      </c>
      <c r="M531" s="34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</row>
    <row r="532">
      <c r="A532" s="39"/>
      <c r="B532" s="50">
        <v>521.0</v>
      </c>
      <c r="C532" s="55"/>
      <c r="D532" s="49" t="s">
        <v>2195</v>
      </c>
      <c r="E532" s="49" t="s">
        <v>1774</v>
      </c>
      <c r="F532" s="49" t="s">
        <v>1599</v>
      </c>
      <c r="G532" s="48">
        <v>2252.0</v>
      </c>
      <c r="H532" s="48">
        <v>2252.0</v>
      </c>
      <c r="I532" s="48">
        <v>1857.0</v>
      </c>
      <c r="J532" s="72">
        <f t="shared" si="1"/>
        <v>2120.333333</v>
      </c>
      <c r="K532" s="55"/>
      <c r="L532" s="50">
        <v>1968.0</v>
      </c>
      <c r="M532" s="34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</row>
    <row r="533">
      <c r="A533" s="39"/>
      <c r="B533" s="50">
        <v>522.0</v>
      </c>
      <c r="C533" s="55"/>
      <c r="D533" s="47" t="s">
        <v>2196</v>
      </c>
      <c r="E533" s="49" t="s">
        <v>2197</v>
      </c>
      <c r="F533" s="49" t="s">
        <v>787</v>
      </c>
      <c r="G533" s="48">
        <v>2190.0</v>
      </c>
      <c r="H533" s="48">
        <v>1362.0</v>
      </c>
      <c r="I533" s="76"/>
      <c r="J533" s="72">
        <f t="shared" si="1"/>
        <v>1776</v>
      </c>
      <c r="K533" s="55"/>
      <c r="L533" s="50" t="s">
        <v>2198</v>
      </c>
      <c r="M533" s="34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</row>
    <row r="534">
      <c r="A534" s="39"/>
      <c r="B534" s="50">
        <v>523.0</v>
      </c>
      <c r="C534" s="55"/>
      <c r="D534" s="49" t="s">
        <v>2199</v>
      </c>
      <c r="E534" s="49" t="s">
        <v>713</v>
      </c>
      <c r="F534" s="49" t="s">
        <v>153</v>
      </c>
      <c r="G534" s="48">
        <v>2118.0</v>
      </c>
      <c r="H534" s="48">
        <v>2118.0</v>
      </c>
      <c r="I534" s="76"/>
      <c r="J534" s="72">
        <f t="shared" si="1"/>
        <v>2118</v>
      </c>
      <c r="K534" s="47" t="s">
        <v>2200</v>
      </c>
      <c r="L534" s="50">
        <v>2003.0</v>
      </c>
      <c r="M534" s="34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</row>
    <row r="535">
      <c r="A535" s="39"/>
      <c r="B535" s="50">
        <v>524.0</v>
      </c>
      <c r="C535" s="55"/>
      <c r="D535" s="49" t="s">
        <v>2201</v>
      </c>
      <c r="E535" s="49" t="s">
        <v>1800</v>
      </c>
      <c r="F535" s="49" t="s">
        <v>214</v>
      </c>
      <c r="G535" s="48">
        <v>2000.0</v>
      </c>
      <c r="H535" s="76"/>
      <c r="I535" s="48">
        <v>2000.0</v>
      </c>
      <c r="J535" s="72">
        <f t="shared" si="1"/>
        <v>2000</v>
      </c>
      <c r="K535" s="55"/>
      <c r="L535" s="50">
        <v>1974.0</v>
      </c>
      <c r="M535" s="34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</row>
    <row r="536">
      <c r="A536" s="39"/>
      <c r="B536" s="50">
        <v>525.0</v>
      </c>
      <c r="C536" s="55"/>
      <c r="D536" s="49" t="s">
        <v>2202</v>
      </c>
      <c r="E536" s="49" t="s">
        <v>1896</v>
      </c>
      <c r="F536" s="49" t="s">
        <v>787</v>
      </c>
      <c r="G536" s="48">
        <v>1991.0</v>
      </c>
      <c r="H536" s="76"/>
      <c r="I536" s="48">
        <v>1991.0</v>
      </c>
      <c r="J536" s="72">
        <f t="shared" si="1"/>
        <v>1991</v>
      </c>
      <c r="K536" s="55"/>
      <c r="L536" s="55"/>
      <c r="M536" s="34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</row>
    <row r="537">
      <c r="A537" s="39"/>
      <c r="B537" s="50">
        <v>526.0</v>
      </c>
      <c r="C537" s="55"/>
      <c r="D537" s="49" t="s">
        <v>2203</v>
      </c>
      <c r="E537" s="49" t="s">
        <v>134</v>
      </c>
      <c r="F537" s="49" t="s">
        <v>135</v>
      </c>
      <c r="G537" s="48">
        <v>1500.0</v>
      </c>
      <c r="H537" s="48">
        <v>1500.0</v>
      </c>
      <c r="I537" s="76"/>
      <c r="J537" s="72">
        <f t="shared" si="1"/>
        <v>1500</v>
      </c>
      <c r="K537" s="47" t="s">
        <v>2204</v>
      </c>
      <c r="L537" s="50">
        <v>1941.0</v>
      </c>
      <c r="M537" s="34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</row>
    <row r="538">
      <c r="A538" s="39"/>
      <c r="B538" s="50">
        <v>527.0</v>
      </c>
      <c r="C538" s="55"/>
      <c r="D538" s="49" t="s">
        <v>2205</v>
      </c>
      <c r="E538" s="49" t="s">
        <v>2206</v>
      </c>
      <c r="F538" s="49" t="s">
        <v>57</v>
      </c>
      <c r="G538" s="48">
        <v>1600.0</v>
      </c>
      <c r="H538" s="76"/>
      <c r="I538" s="48">
        <v>1600.0</v>
      </c>
      <c r="J538" s="72">
        <f t="shared" si="1"/>
        <v>1600</v>
      </c>
      <c r="K538" s="55"/>
      <c r="L538" s="50">
        <v>1982.0</v>
      </c>
      <c r="M538" s="34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</row>
    <row r="539">
      <c r="A539" s="39"/>
      <c r="B539" s="50">
        <v>528.0</v>
      </c>
      <c r="C539" s="55"/>
      <c r="D539" s="49" t="s">
        <v>2207</v>
      </c>
      <c r="E539" s="49" t="s">
        <v>2208</v>
      </c>
      <c r="F539" s="49" t="s">
        <v>783</v>
      </c>
      <c r="G539" s="48">
        <v>1600.0</v>
      </c>
      <c r="H539" s="76"/>
      <c r="I539" s="48">
        <v>1600.0</v>
      </c>
      <c r="J539" s="72">
        <f t="shared" si="1"/>
        <v>1600</v>
      </c>
      <c r="K539" s="47" t="s">
        <v>2209</v>
      </c>
      <c r="L539" s="50">
        <v>1980.0</v>
      </c>
      <c r="M539" s="34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</row>
    <row r="540">
      <c r="A540" s="39"/>
      <c r="B540" s="50">
        <v>529.0</v>
      </c>
      <c r="C540" s="55"/>
      <c r="D540" s="49" t="s">
        <v>2210</v>
      </c>
      <c r="E540" s="49" t="s">
        <v>2211</v>
      </c>
      <c r="F540" s="49" t="s">
        <v>65</v>
      </c>
      <c r="G540" s="48">
        <v>1500.0</v>
      </c>
      <c r="H540" s="76"/>
      <c r="I540" s="76"/>
      <c r="J540" s="72">
        <f t="shared" si="1"/>
        <v>1500</v>
      </c>
      <c r="K540" s="55"/>
      <c r="L540" s="55"/>
      <c r="M540" s="34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</row>
    <row r="541">
      <c r="A541" s="39"/>
      <c r="B541" s="50">
        <v>530.0</v>
      </c>
      <c r="C541" s="55"/>
      <c r="D541" s="49" t="s">
        <v>2212</v>
      </c>
      <c r="E541" s="49" t="s">
        <v>2213</v>
      </c>
      <c r="F541" s="49" t="s">
        <v>163</v>
      </c>
      <c r="G541" s="48">
        <v>1200.0</v>
      </c>
      <c r="H541" s="48">
        <v>1200.0</v>
      </c>
      <c r="I541" s="48">
        <v>1000.0</v>
      </c>
      <c r="J541" s="72">
        <f t="shared" si="1"/>
        <v>1133.333333</v>
      </c>
      <c r="K541" s="55"/>
      <c r="L541" s="50">
        <v>1964.0</v>
      </c>
      <c r="M541" s="34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</row>
    <row r="542">
      <c r="A542" s="39"/>
      <c r="B542" s="50">
        <v>531.0</v>
      </c>
      <c r="C542" s="71"/>
      <c r="D542" s="49" t="s">
        <v>2214</v>
      </c>
      <c r="E542" s="49" t="s">
        <v>159</v>
      </c>
      <c r="F542" s="49" t="s">
        <v>61</v>
      </c>
      <c r="G542" s="48">
        <v>1000.0</v>
      </c>
      <c r="H542" s="76"/>
      <c r="I542" s="76"/>
      <c r="J542" s="72">
        <f t="shared" si="1"/>
        <v>1000</v>
      </c>
      <c r="K542" s="47" t="s">
        <v>2215</v>
      </c>
      <c r="L542" s="50">
        <v>1964.0</v>
      </c>
      <c r="M542" s="34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</row>
    <row r="543">
      <c r="A543" s="39"/>
      <c r="B543" s="65"/>
      <c r="C543" s="34"/>
      <c r="D543" s="34"/>
      <c r="E543" s="34"/>
      <c r="F543" s="34"/>
      <c r="G543" s="38"/>
      <c r="H543" s="34"/>
      <c r="I543" s="34"/>
      <c r="J543" s="34"/>
      <c r="K543" s="34"/>
      <c r="L543" s="34"/>
      <c r="M543" s="34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</row>
    <row r="544">
      <c r="A544" s="39"/>
      <c r="B544" s="65"/>
      <c r="C544" s="34"/>
      <c r="D544" s="34"/>
      <c r="E544" s="34"/>
      <c r="F544" s="34"/>
      <c r="G544" s="79" t="s">
        <v>13</v>
      </c>
      <c r="J544" s="59">
        <f>SUM(J12:J542)</f>
        <v>4089018.333</v>
      </c>
      <c r="K544" s="34"/>
      <c r="L544" s="34"/>
      <c r="M544" s="34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</row>
    <row r="545">
      <c r="A545" s="39"/>
      <c r="B545" s="65"/>
      <c r="C545" s="34"/>
      <c r="D545" s="34"/>
      <c r="E545" s="34"/>
      <c r="F545" s="34"/>
      <c r="G545" s="80" t="s">
        <v>22</v>
      </c>
      <c r="J545" s="60">
        <f>(0.5+0.75)/2</f>
        <v>0.625</v>
      </c>
      <c r="K545" s="34"/>
      <c r="L545" s="34"/>
      <c r="M545" s="34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</row>
    <row r="546">
      <c r="A546" s="39"/>
      <c r="B546" s="65"/>
      <c r="C546" s="34"/>
      <c r="D546" s="34"/>
      <c r="E546" s="34"/>
      <c r="F546" s="34"/>
      <c r="G546" s="80" t="s">
        <v>16</v>
      </c>
      <c r="J546" s="61">
        <f>(0.05+0.3)/2</f>
        <v>0.175</v>
      </c>
      <c r="K546" s="34"/>
      <c r="L546" s="34"/>
      <c r="M546" s="34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</row>
    <row r="547">
      <c r="A547" s="39"/>
      <c r="B547" s="65"/>
      <c r="C547" s="34"/>
      <c r="D547" s="34"/>
      <c r="E547" s="34"/>
      <c r="F547" s="34"/>
      <c r="G547" s="79" t="s">
        <v>17</v>
      </c>
      <c r="J547" s="28">
        <f>J544*J545*J546</f>
        <v>447236.3802</v>
      </c>
      <c r="K547" s="34"/>
      <c r="L547" s="34"/>
      <c r="M547" s="34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</row>
    <row r="548">
      <c r="A548" s="39"/>
      <c r="B548" s="65"/>
      <c r="C548" s="34"/>
      <c r="D548" s="34"/>
      <c r="E548" s="34"/>
      <c r="F548" s="34"/>
      <c r="G548" s="80" t="s">
        <v>18</v>
      </c>
      <c r="J548" s="29">
        <v>4.0</v>
      </c>
      <c r="K548" s="34"/>
      <c r="L548" s="34"/>
      <c r="M548" s="34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</row>
    <row r="549">
      <c r="A549" s="39"/>
      <c r="B549" s="65"/>
      <c r="C549" s="34"/>
      <c r="D549" s="34"/>
      <c r="E549" s="34"/>
      <c r="F549" s="34"/>
      <c r="G549" s="15" t="s">
        <v>19</v>
      </c>
      <c r="J549" s="62">
        <f>J547*J548</f>
        <v>1788945.521</v>
      </c>
      <c r="K549" s="34"/>
      <c r="L549" s="34"/>
      <c r="M549" s="34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</row>
    <row r="550">
      <c r="A550" s="39"/>
      <c r="B550" s="65"/>
      <c r="C550" s="34"/>
      <c r="D550" s="34"/>
      <c r="E550" s="34"/>
      <c r="F550" s="34"/>
      <c r="G550" s="15" t="s">
        <v>20</v>
      </c>
      <c r="J550" s="31">
        <f>J549*12</f>
        <v>21467346.25</v>
      </c>
      <c r="K550" s="34"/>
      <c r="L550" s="34"/>
      <c r="M550" s="34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</row>
    <row r="551">
      <c r="A551" s="39"/>
      <c r="B551" s="65"/>
      <c r="C551" s="34"/>
      <c r="D551" s="34"/>
      <c r="E551" s="34"/>
      <c r="F551" s="34"/>
      <c r="G551" s="38"/>
      <c r="H551" s="34"/>
      <c r="I551" s="81"/>
      <c r="J551" s="63"/>
      <c r="K551" s="34"/>
      <c r="L551" s="34"/>
      <c r="M551" s="34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</row>
    <row r="552">
      <c r="A552" s="39"/>
      <c r="B552" s="65"/>
      <c r="C552" s="34"/>
      <c r="D552" s="34"/>
      <c r="E552" s="34"/>
      <c r="F552" s="34"/>
      <c r="G552" s="38"/>
      <c r="H552" s="34"/>
      <c r="I552" s="34"/>
      <c r="J552" s="34"/>
      <c r="K552" s="34"/>
      <c r="L552" s="34"/>
      <c r="M552" s="34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</row>
    <row r="553" hidden="1">
      <c r="A553" s="39"/>
      <c r="B553" s="65" t="s">
        <v>2216</v>
      </c>
      <c r="C553" s="34"/>
      <c r="D553" s="34"/>
      <c r="E553" s="34"/>
      <c r="F553" s="34"/>
      <c r="G553" s="38"/>
      <c r="H553" s="34"/>
      <c r="I553" s="34"/>
      <c r="J553" s="34"/>
      <c r="K553" s="34"/>
      <c r="L553" s="34"/>
      <c r="M553" s="34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</row>
    <row r="554" hidden="1">
      <c r="A554" s="39"/>
      <c r="B554" s="82" t="s">
        <v>2217</v>
      </c>
      <c r="C554" s="34"/>
      <c r="D554" s="34"/>
      <c r="E554" s="34"/>
      <c r="F554" s="34"/>
      <c r="G554" s="38"/>
      <c r="H554" s="34"/>
      <c r="I554" s="34"/>
      <c r="J554" s="34"/>
      <c r="K554" s="34"/>
      <c r="L554" s="34"/>
      <c r="M554" s="34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</row>
    <row r="555" hidden="1">
      <c r="A555" s="39"/>
      <c r="B555" s="83" t="s">
        <v>2218</v>
      </c>
      <c r="C555" s="83" t="s">
        <v>2219</v>
      </c>
      <c r="D555" s="83" t="s">
        <v>2220</v>
      </c>
      <c r="E555" s="83" t="s">
        <v>7</v>
      </c>
      <c r="F555" s="83" t="s">
        <v>2221</v>
      </c>
      <c r="G555" s="84" t="s">
        <v>2222</v>
      </c>
      <c r="H555" s="34"/>
      <c r="I555" s="34"/>
      <c r="J555" s="34"/>
      <c r="K555" s="34"/>
      <c r="L555" s="34"/>
      <c r="M555" s="34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</row>
    <row r="556" hidden="1">
      <c r="A556" s="39"/>
      <c r="B556" s="49" t="s">
        <v>2223</v>
      </c>
      <c r="C556" s="49" t="s">
        <v>2224</v>
      </c>
      <c r="D556" s="47" t="s">
        <v>2225</v>
      </c>
      <c r="E556" s="78">
        <v>8500.0</v>
      </c>
      <c r="F556" s="50">
        <v>2024.0</v>
      </c>
      <c r="G556" s="85"/>
      <c r="H556" s="34"/>
      <c r="I556" s="34"/>
      <c r="J556" s="34"/>
      <c r="K556" s="34"/>
      <c r="L556" s="34"/>
      <c r="M556" s="34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</row>
    <row r="557" hidden="1">
      <c r="A557" s="39"/>
      <c r="B557" s="49" t="s">
        <v>2226</v>
      </c>
      <c r="C557" s="49" t="s">
        <v>2227</v>
      </c>
      <c r="D557" s="47" t="s">
        <v>2228</v>
      </c>
      <c r="E557" s="78">
        <v>6500.0</v>
      </c>
      <c r="F557" s="50">
        <v>2024.0</v>
      </c>
      <c r="G557" s="85"/>
      <c r="H557" s="34"/>
      <c r="I557" s="34"/>
      <c r="J557" s="34"/>
      <c r="K557" s="34"/>
      <c r="L557" s="34"/>
      <c r="M557" s="34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</row>
    <row r="558" hidden="1">
      <c r="A558" s="39"/>
      <c r="B558" s="49" t="s">
        <v>2229</v>
      </c>
      <c r="C558" s="49" t="s">
        <v>2230</v>
      </c>
      <c r="D558" s="47" t="s">
        <v>2231</v>
      </c>
      <c r="E558" s="78">
        <v>3400.0</v>
      </c>
      <c r="F558" s="50">
        <v>2025.0</v>
      </c>
      <c r="G558" s="85"/>
      <c r="H558" s="34"/>
      <c r="I558" s="34"/>
      <c r="J558" s="34"/>
      <c r="K558" s="34"/>
      <c r="L558" s="34"/>
      <c r="M558" s="34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</row>
    <row r="559" hidden="1">
      <c r="A559" s="39"/>
      <c r="B559" s="49" t="s">
        <v>2232</v>
      </c>
      <c r="C559" s="49" t="s">
        <v>2233</v>
      </c>
      <c r="D559" s="47" t="s">
        <v>2234</v>
      </c>
      <c r="E559" s="78">
        <v>18500.0</v>
      </c>
      <c r="F559" s="50">
        <v>2031.0</v>
      </c>
      <c r="G559" s="85"/>
      <c r="H559" s="34"/>
      <c r="I559" s="34"/>
      <c r="J559" s="34"/>
      <c r="K559" s="34"/>
      <c r="L559" s="34"/>
      <c r="M559" s="34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</row>
    <row r="560" hidden="1">
      <c r="A560" s="39"/>
      <c r="B560" s="49" t="s">
        <v>2235</v>
      </c>
      <c r="C560" s="49" t="s">
        <v>2236</v>
      </c>
      <c r="D560" s="55"/>
      <c r="E560" s="78">
        <v>16000.0</v>
      </c>
      <c r="F560" s="50" t="s">
        <v>1312</v>
      </c>
      <c r="G560" s="85"/>
      <c r="H560" s="34"/>
      <c r="I560" s="34"/>
      <c r="J560" s="34"/>
      <c r="K560" s="34"/>
      <c r="L560" s="34"/>
      <c r="M560" s="34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</row>
    <row r="561" hidden="1">
      <c r="A561" s="39"/>
      <c r="B561" s="65" t="s">
        <v>2237</v>
      </c>
      <c r="C561" s="34"/>
      <c r="D561" s="34"/>
      <c r="E561" s="34"/>
      <c r="F561" s="34"/>
      <c r="G561" s="38"/>
      <c r="H561" s="34"/>
      <c r="I561" s="34"/>
      <c r="J561" s="34"/>
      <c r="K561" s="34"/>
      <c r="L561" s="34"/>
      <c r="M561" s="34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</row>
    <row r="562" hidden="1">
      <c r="A562" s="39"/>
      <c r="B562" s="82" t="s">
        <v>2238</v>
      </c>
      <c r="C562" s="34"/>
      <c r="D562" s="34"/>
      <c r="E562" s="34"/>
      <c r="F562" s="34"/>
      <c r="G562" s="38"/>
      <c r="H562" s="34"/>
      <c r="I562" s="34"/>
      <c r="J562" s="34"/>
      <c r="K562" s="34"/>
      <c r="L562" s="34"/>
      <c r="M562" s="34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</row>
    <row r="563" hidden="1">
      <c r="A563" s="39"/>
      <c r="B563" s="55"/>
      <c r="C563" s="34"/>
      <c r="D563" s="34"/>
      <c r="E563" s="34"/>
      <c r="F563" s="34"/>
      <c r="G563" s="38"/>
      <c r="H563" s="34"/>
      <c r="I563" s="34"/>
      <c r="J563" s="34"/>
      <c r="K563" s="34"/>
      <c r="L563" s="34"/>
      <c r="M563" s="34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</row>
    <row r="564" hidden="1">
      <c r="A564" s="39"/>
      <c r="B564" s="50" t="s">
        <v>2239</v>
      </c>
      <c r="C564" s="34"/>
      <c r="D564" s="34"/>
      <c r="E564" s="34"/>
      <c r="F564" s="34"/>
      <c r="G564" s="38"/>
      <c r="H564" s="34"/>
      <c r="I564" s="34"/>
      <c r="J564" s="34"/>
      <c r="K564" s="34"/>
      <c r="L564" s="34"/>
      <c r="M564" s="34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</row>
    <row r="565" hidden="1">
      <c r="A565" s="39"/>
      <c r="B565" s="55"/>
      <c r="C565" s="34"/>
      <c r="D565" s="34"/>
      <c r="E565" s="34"/>
      <c r="F565" s="34"/>
      <c r="G565" s="38"/>
      <c r="H565" s="34"/>
      <c r="I565" s="34"/>
      <c r="J565" s="34"/>
      <c r="K565" s="34"/>
      <c r="L565" s="34"/>
      <c r="M565" s="34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</row>
    <row r="566" hidden="1">
      <c r="A566" s="39"/>
      <c r="B566" s="67" t="s">
        <v>2240</v>
      </c>
      <c r="C566" s="34"/>
      <c r="D566" s="34"/>
      <c r="E566" s="34"/>
      <c r="F566" s="34"/>
      <c r="G566" s="38"/>
      <c r="H566" s="34"/>
      <c r="I566" s="34"/>
      <c r="J566" s="34"/>
      <c r="K566" s="34"/>
      <c r="L566" s="34"/>
      <c r="M566" s="34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</row>
    <row r="567" hidden="1">
      <c r="A567" s="39"/>
      <c r="B567" s="67" t="s">
        <v>2241</v>
      </c>
      <c r="C567" s="34"/>
      <c r="D567" s="34"/>
      <c r="E567" s="34"/>
      <c r="F567" s="34"/>
      <c r="G567" s="38"/>
      <c r="H567" s="34"/>
      <c r="I567" s="34"/>
      <c r="J567" s="34"/>
      <c r="K567" s="34"/>
      <c r="L567" s="34"/>
      <c r="M567" s="34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</row>
    <row r="568" hidden="1">
      <c r="A568" s="39"/>
      <c r="B568" s="67" t="s">
        <v>2242</v>
      </c>
      <c r="C568" s="34"/>
      <c r="D568" s="34"/>
      <c r="E568" s="34"/>
      <c r="F568" s="34"/>
      <c r="G568" s="38"/>
      <c r="H568" s="34"/>
      <c r="I568" s="34"/>
      <c r="J568" s="34"/>
      <c r="K568" s="34"/>
      <c r="L568" s="34"/>
      <c r="M568" s="34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</row>
    <row r="569" hidden="1">
      <c r="A569" s="39"/>
      <c r="B569" s="67" t="s">
        <v>2243</v>
      </c>
      <c r="C569" s="34"/>
      <c r="D569" s="34"/>
      <c r="E569" s="34"/>
      <c r="F569" s="34"/>
      <c r="G569" s="38"/>
      <c r="H569" s="34"/>
      <c r="I569" s="34"/>
      <c r="J569" s="34"/>
      <c r="K569" s="34"/>
      <c r="L569" s="34"/>
      <c r="M569" s="34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</row>
    <row r="570" hidden="1">
      <c r="A570" s="39"/>
      <c r="B570" s="67" t="s">
        <v>2244</v>
      </c>
      <c r="C570" s="34"/>
      <c r="D570" s="34"/>
      <c r="E570" s="34"/>
      <c r="F570" s="34"/>
      <c r="G570" s="38"/>
      <c r="H570" s="34"/>
      <c r="I570" s="34"/>
      <c r="J570" s="34"/>
      <c r="K570" s="34"/>
      <c r="L570" s="34"/>
      <c r="M570" s="34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</row>
    <row r="571" hidden="1">
      <c r="A571" s="39"/>
      <c r="B571" s="67" t="s">
        <v>2245</v>
      </c>
      <c r="C571" s="34"/>
      <c r="D571" s="34"/>
      <c r="E571" s="34"/>
      <c r="F571" s="34"/>
      <c r="G571" s="38"/>
      <c r="H571" s="34"/>
      <c r="I571" s="34"/>
      <c r="J571" s="34"/>
      <c r="K571" s="34"/>
      <c r="L571" s="34"/>
      <c r="M571" s="34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</row>
    <row r="572" hidden="1">
      <c r="A572" s="39"/>
      <c r="B572" s="67" t="s">
        <v>2246</v>
      </c>
      <c r="C572" s="34"/>
      <c r="D572" s="34"/>
      <c r="E572" s="34"/>
      <c r="F572" s="34"/>
      <c r="G572" s="38"/>
      <c r="H572" s="34"/>
      <c r="I572" s="34"/>
      <c r="J572" s="34"/>
      <c r="K572" s="34"/>
      <c r="L572" s="34"/>
      <c r="M572" s="34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</row>
    <row r="573" hidden="1">
      <c r="A573" s="39"/>
      <c r="B573" s="67" t="s">
        <v>2247</v>
      </c>
      <c r="C573" s="34"/>
      <c r="D573" s="34"/>
      <c r="E573" s="34"/>
      <c r="F573" s="34"/>
      <c r="G573" s="38"/>
      <c r="H573" s="34"/>
      <c r="I573" s="34"/>
      <c r="J573" s="34"/>
      <c r="K573" s="34"/>
      <c r="L573" s="34"/>
      <c r="M573" s="34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</row>
    <row r="574" hidden="1">
      <c r="A574" s="39"/>
      <c r="B574" s="67" t="s">
        <v>2248</v>
      </c>
      <c r="C574" s="34"/>
      <c r="D574" s="34"/>
      <c r="E574" s="34"/>
      <c r="F574" s="34"/>
      <c r="G574" s="38"/>
      <c r="H574" s="34"/>
      <c r="I574" s="34"/>
      <c r="J574" s="34"/>
      <c r="K574" s="34"/>
      <c r="L574" s="34"/>
      <c r="M574" s="34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</row>
    <row r="575" hidden="1">
      <c r="A575" s="39"/>
      <c r="B575" s="67" t="s">
        <v>2249</v>
      </c>
      <c r="C575" s="34"/>
      <c r="D575" s="34"/>
      <c r="E575" s="34"/>
      <c r="F575" s="34"/>
      <c r="G575" s="38"/>
      <c r="H575" s="34"/>
      <c r="I575" s="34"/>
      <c r="J575" s="34"/>
      <c r="K575" s="34"/>
      <c r="L575" s="34"/>
      <c r="M575" s="34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</row>
    <row r="576" hidden="1">
      <c r="A576" s="39"/>
      <c r="B576" s="67" t="s">
        <v>2250</v>
      </c>
      <c r="C576" s="34"/>
      <c r="D576" s="34"/>
      <c r="E576" s="34"/>
      <c r="F576" s="34"/>
      <c r="G576" s="38"/>
      <c r="H576" s="34"/>
      <c r="I576" s="34"/>
      <c r="J576" s="34"/>
      <c r="K576" s="34"/>
      <c r="L576" s="34"/>
      <c r="M576" s="34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</row>
    <row r="577" hidden="1">
      <c r="A577" s="39"/>
      <c r="B577" s="67" t="s">
        <v>2251</v>
      </c>
      <c r="C577" s="34"/>
      <c r="D577" s="34"/>
      <c r="E577" s="34"/>
      <c r="F577" s="34"/>
      <c r="G577" s="38"/>
      <c r="H577" s="34"/>
      <c r="I577" s="34"/>
      <c r="J577" s="34"/>
      <c r="K577" s="34"/>
      <c r="L577" s="34"/>
      <c r="M577" s="34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</row>
    <row r="578" hidden="1">
      <c r="A578" s="39"/>
      <c r="B578" s="67" t="s">
        <v>2252</v>
      </c>
      <c r="C578" s="34"/>
      <c r="D578" s="34"/>
      <c r="E578" s="34"/>
      <c r="F578" s="34"/>
      <c r="G578" s="38"/>
      <c r="H578" s="34"/>
      <c r="I578" s="34"/>
      <c r="J578" s="34"/>
      <c r="K578" s="34"/>
      <c r="L578" s="34"/>
      <c r="M578" s="34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</row>
    <row r="579" hidden="1">
      <c r="A579" s="39"/>
      <c r="B579" s="67" t="s">
        <v>2253</v>
      </c>
      <c r="C579" s="34"/>
      <c r="D579" s="34"/>
      <c r="E579" s="34"/>
      <c r="F579" s="34"/>
      <c r="G579" s="38"/>
      <c r="H579" s="34"/>
      <c r="I579" s="34"/>
      <c r="J579" s="34"/>
      <c r="K579" s="34"/>
      <c r="L579" s="34"/>
      <c r="M579" s="34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</row>
    <row r="580" hidden="1">
      <c r="A580" s="39"/>
      <c r="B580" s="67" t="s">
        <v>2254</v>
      </c>
      <c r="C580" s="34"/>
      <c r="D580" s="34"/>
      <c r="E580" s="34"/>
      <c r="F580" s="34"/>
      <c r="G580" s="38"/>
      <c r="H580" s="34"/>
      <c r="I580" s="34"/>
      <c r="J580" s="34"/>
      <c r="K580" s="34"/>
      <c r="L580" s="34"/>
      <c r="M580" s="34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</row>
    <row r="581" hidden="1">
      <c r="A581" s="39"/>
      <c r="B581" s="67" t="s">
        <v>2255</v>
      </c>
      <c r="C581" s="34"/>
      <c r="D581" s="34"/>
      <c r="E581" s="34"/>
      <c r="F581" s="34"/>
      <c r="G581" s="38"/>
      <c r="H581" s="34"/>
      <c r="I581" s="34"/>
      <c r="J581" s="34"/>
      <c r="K581" s="34"/>
      <c r="L581" s="34"/>
      <c r="M581" s="34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</row>
    <row r="582" hidden="1">
      <c r="A582" s="39"/>
      <c r="B582" s="67" t="s">
        <v>2256</v>
      </c>
      <c r="C582" s="34"/>
      <c r="D582" s="34"/>
      <c r="E582" s="34"/>
      <c r="F582" s="34"/>
      <c r="G582" s="38"/>
      <c r="H582" s="34"/>
      <c r="I582" s="34"/>
      <c r="J582" s="34"/>
      <c r="K582" s="34"/>
      <c r="L582" s="34"/>
      <c r="M582" s="34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</row>
    <row r="583" hidden="1">
      <c r="A583" s="39"/>
      <c r="B583" s="67" t="s">
        <v>2257</v>
      </c>
      <c r="C583" s="34"/>
      <c r="D583" s="34"/>
      <c r="E583" s="34"/>
      <c r="F583" s="34"/>
      <c r="G583" s="38"/>
      <c r="H583" s="34"/>
      <c r="I583" s="34"/>
      <c r="J583" s="34"/>
      <c r="K583" s="34"/>
      <c r="L583" s="34"/>
      <c r="M583" s="34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</row>
    <row r="584" hidden="1">
      <c r="A584" s="39"/>
      <c r="B584" s="67" t="s">
        <v>2258</v>
      </c>
      <c r="C584" s="34"/>
      <c r="D584" s="34"/>
      <c r="E584" s="34"/>
      <c r="F584" s="34"/>
      <c r="G584" s="38"/>
      <c r="H584" s="34"/>
      <c r="I584" s="34"/>
      <c r="J584" s="34"/>
      <c r="K584" s="34"/>
      <c r="L584" s="34"/>
      <c r="M584" s="34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</row>
    <row r="585" hidden="1">
      <c r="A585" s="39"/>
      <c r="B585" s="67" t="s">
        <v>2259</v>
      </c>
      <c r="C585" s="34"/>
      <c r="D585" s="34"/>
      <c r="E585" s="34"/>
      <c r="F585" s="34"/>
      <c r="G585" s="38"/>
      <c r="H585" s="34"/>
      <c r="I585" s="34"/>
      <c r="J585" s="34"/>
      <c r="K585" s="34"/>
      <c r="L585" s="34"/>
      <c r="M585" s="34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</row>
    <row r="586" hidden="1">
      <c r="A586" s="39"/>
      <c r="B586" s="67" t="s">
        <v>2260</v>
      </c>
      <c r="C586" s="34"/>
      <c r="D586" s="34"/>
      <c r="E586" s="34"/>
      <c r="F586" s="34"/>
      <c r="G586" s="38"/>
      <c r="H586" s="34"/>
      <c r="I586" s="34"/>
      <c r="J586" s="34"/>
      <c r="K586" s="34"/>
      <c r="L586" s="34"/>
      <c r="M586" s="34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</row>
    <row r="587" hidden="1">
      <c r="A587" s="39"/>
      <c r="B587" s="67" t="s">
        <v>2261</v>
      </c>
      <c r="C587" s="34"/>
      <c r="D587" s="34"/>
      <c r="E587" s="34"/>
      <c r="F587" s="34"/>
      <c r="G587" s="38"/>
      <c r="H587" s="34"/>
      <c r="I587" s="34"/>
      <c r="J587" s="34"/>
      <c r="K587" s="34"/>
      <c r="L587" s="34"/>
      <c r="M587" s="34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</row>
    <row r="588" hidden="1">
      <c r="A588" s="39"/>
      <c r="B588" s="67" t="s">
        <v>2262</v>
      </c>
      <c r="C588" s="34"/>
      <c r="D588" s="34"/>
      <c r="E588" s="34"/>
      <c r="F588" s="34"/>
      <c r="G588" s="38"/>
      <c r="H588" s="34"/>
      <c r="I588" s="34"/>
      <c r="J588" s="34"/>
      <c r="K588" s="34"/>
      <c r="L588" s="34"/>
      <c r="M588" s="34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</row>
    <row r="589" hidden="1">
      <c r="A589" s="39"/>
      <c r="B589" s="67" t="s">
        <v>2263</v>
      </c>
      <c r="C589" s="34"/>
      <c r="D589" s="34"/>
      <c r="E589" s="34"/>
      <c r="F589" s="34"/>
      <c r="G589" s="38"/>
      <c r="H589" s="34"/>
      <c r="I589" s="34"/>
      <c r="J589" s="34"/>
      <c r="K589" s="34"/>
      <c r="L589" s="34"/>
      <c r="M589" s="34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</row>
    <row r="590" hidden="1">
      <c r="A590" s="39"/>
      <c r="B590" s="67" t="s">
        <v>2264</v>
      </c>
      <c r="C590" s="34"/>
      <c r="D590" s="34"/>
      <c r="E590" s="34"/>
      <c r="F590" s="34"/>
      <c r="G590" s="38"/>
      <c r="H590" s="34"/>
      <c r="I590" s="34"/>
      <c r="J590" s="34"/>
      <c r="K590" s="34"/>
      <c r="L590" s="34"/>
      <c r="M590" s="34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</row>
    <row r="591" hidden="1">
      <c r="A591" s="39"/>
      <c r="B591" s="67" t="s">
        <v>2265</v>
      </c>
      <c r="C591" s="34"/>
      <c r="D591" s="34"/>
      <c r="E591" s="34"/>
      <c r="F591" s="34"/>
      <c r="G591" s="38"/>
      <c r="H591" s="34"/>
      <c r="I591" s="34"/>
      <c r="J591" s="34"/>
      <c r="K591" s="34"/>
      <c r="L591" s="34"/>
      <c r="M591" s="34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</row>
    <row r="592" hidden="1">
      <c r="A592" s="39"/>
      <c r="B592" s="67" t="s">
        <v>2266</v>
      </c>
      <c r="C592" s="34"/>
      <c r="D592" s="34"/>
      <c r="E592" s="34"/>
      <c r="F592" s="34"/>
      <c r="G592" s="38"/>
      <c r="H592" s="34"/>
      <c r="I592" s="34"/>
      <c r="J592" s="34"/>
      <c r="K592" s="34"/>
      <c r="L592" s="34"/>
      <c r="M592" s="34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</row>
    <row r="593" hidden="1">
      <c r="A593" s="39"/>
      <c r="B593" s="67" t="s">
        <v>2267</v>
      </c>
      <c r="C593" s="34"/>
      <c r="D593" s="34"/>
      <c r="E593" s="34"/>
      <c r="F593" s="34"/>
      <c r="G593" s="38"/>
      <c r="H593" s="34"/>
      <c r="I593" s="34"/>
      <c r="J593" s="34"/>
      <c r="K593" s="34"/>
      <c r="L593" s="34"/>
      <c r="M593" s="34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</row>
    <row r="594" hidden="1">
      <c r="A594" s="39"/>
      <c r="B594" s="67" t="s">
        <v>2268</v>
      </c>
      <c r="C594" s="34"/>
      <c r="D594" s="34"/>
      <c r="E594" s="34"/>
      <c r="F594" s="34"/>
      <c r="G594" s="38"/>
      <c r="H594" s="34"/>
      <c r="I594" s="34"/>
      <c r="J594" s="34"/>
      <c r="K594" s="34"/>
      <c r="L594" s="34"/>
      <c r="M594" s="34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</row>
    <row r="595" hidden="1">
      <c r="A595" s="39"/>
      <c r="B595" s="67" t="s">
        <v>2269</v>
      </c>
      <c r="C595" s="34"/>
      <c r="D595" s="34"/>
      <c r="E595" s="34"/>
      <c r="F595" s="34"/>
      <c r="G595" s="38"/>
      <c r="H595" s="34"/>
      <c r="I595" s="34"/>
      <c r="J595" s="34"/>
      <c r="K595" s="34"/>
      <c r="L595" s="34"/>
      <c r="M595" s="34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</row>
    <row r="596" hidden="1">
      <c r="A596" s="39"/>
      <c r="B596" s="67" t="s">
        <v>2270</v>
      </c>
      <c r="C596" s="34"/>
      <c r="D596" s="34"/>
      <c r="E596" s="34"/>
      <c r="F596" s="34"/>
      <c r="G596" s="38"/>
      <c r="H596" s="34"/>
      <c r="I596" s="34"/>
      <c r="J596" s="34"/>
      <c r="K596" s="34"/>
      <c r="L596" s="34"/>
      <c r="M596" s="34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</row>
    <row r="597" hidden="1">
      <c r="A597" s="39"/>
      <c r="B597" s="67" t="s">
        <v>2271</v>
      </c>
      <c r="C597" s="34"/>
      <c r="D597" s="34"/>
      <c r="E597" s="34"/>
      <c r="F597" s="34"/>
      <c r="G597" s="38"/>
      <c r="H597" s="34"/>
      <c r="I597" s="34"/>
      <c r="J597" s="34"/>
      <c r="K597" s="34"/>
      <c r="L597" s="34"/>
      <c r="M597" s="34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</row>
    <row r="598" hidden="1">
      <c r="A598" s="39"/>
      <c r="B598" s="67" t="s">
        <v>2272</v>
      </c>
      <c r="C598" s="34"/>
      <c r="D598" s="34"/>
      <c r="E598" s="34"/>
      <c r="F598" s="34"/>
      <c r="G598" s="38"/>
      <c r="H598" s="34"/>
      <c r="I598" s="34"/>
      <c r="J598" s="34"/>
      <c r="K598" s="34"/>
      <c r="L598" s="34"/>
      <c r="M598" s="34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</row>
    <row r="599" hidden="1">
      <c r="A599" s="39"/>
      <c r="B599" s="50" t="s">
        <v>2273</v>
      </c>
      <c r="C599" s="34"/>
      <c r="D599" s="34"/>
      <c r="E599" s="34"/>
      <c r="F599" s="34"/>
      <c r="G599" s="38"/>
      <c r="H599" s="34"/>
      <c r="I599" s="34"/>
      <c r="J599" s="34"/>
      <c r="K599" s="34"/>
      <c r="L599" s="34"/>
      <c r="M599" s="34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</row>
    <row r="600" hidden="1">
      <c r="A600" s="39"/>
      <c r="B600" s="67" t="s">
        <v>2274</v>
      </c>
      <c r="C600" s="34"/>
      <c r="D600" s="34"/>
      <c r="E600" s="34"/>
      <c r="F600" s="34"/>
      <c r="G600" s="38"/>
      <c r="H600" s="34"/>
      <c r="I600" s="34"/>
      <c r="J600" s="34"/>
      <c r="K600" s="34"/>
      <c r="L600" s="34"/>
      <c r="M600" s="34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</row>
    <row r="601" hidden="1">
      <c r="A601" s="39"/>
      <c r="B601" s="67" t="s">
        <v>2275</v>
      </c>
      <c r="C601" s="34"/>
      <c r="D601" s="34"/>
      <c r="E601" s="34"/>
      <c r="F601" s="34"/>
      <c r="G601" s="38"/>
      <c r="H601" s="34"/>
      <c r="I601" s="34"/>
      <c r="J601" s="34"/>
      <c r="K601" s="34"/>
      <c r="L601" s="34"/>
      <c r="M601" s="34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</row>
    <row r="602" hidden="1">
      <c r="A602" s="39"/>
      <c r="B602" s="67" t="s">
        <v>2276</v>
      </c>
      <c r="C602" s="34"/>
      <c r="D602" s="34"/>
      <c r="E602" s="34"/>
      <c r="F602" s="34"/>
      <c r="G602" s="38"/>
      <c r="H602" s="34"/>
      <c r="I602" s="34"/>
      <c r="J602" s="34"/>
      <c r="K602" s="34"/>
      <c r="L602" s="34"/>
      <c r="M602" s="34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</row>
    <row r="603" hidden="1">
      <c r="A603" s="39"/>
      <c r="B603" s="67" t="s">
        <v>2277</v>
      </c>
      <c r="C603" s="34"/>
      <c r="D603" s="34"/>
      <c r="E603" s="34"/>
      <c r="F603" s="34"/>
      <c r="G603" s="38"/>
      <c r="H603" s="34"/>
      <c r="I603" s="34"/>
      <c r="J603" s="34"/>
      <c r="K603" s="34"/>
      <c r="L603" s="34"/>
      <c r="M603" s="34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</row>
    <row r="604" hidden="1">
      <c r="A604" s="39"/>
      <c r="B604" s="67" t="s">
        <v>2278</v>
      </c>
      <c r="C604" s="34"/>
      <c r="D604" s="34"/>
      <c r="E604" s="34"/>
      <c r="F604" s="34"/>
      <c r="G604" s="38"/>
      <c r="H604" s="34"/>
      <c r="I604" s="34"/>
      <c r="J604" s="34"/>
      <c r="K604" s="34"/>
      <c r="L604" s="34"/>
      <c r="M604" s="34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</row>
    <row r="605" hidden="1">
      <c r="A605" s="39"/>
      <c r="B605" s="67" t="s">
        <v>2279</v>
      </c>
      <c r="C605" s="34"/>
      <c r="D605" s="34"/>
      <c r="E605" s="34"/>
      <c r="F605" s="34"/>
      <c r="G605" s="38"/>
      <c r="H605" s="34"/>
      <c r="I605" s="34"/>
      <c r="J605" s="34"/>
      <c r="K605" s="34"/>
      <c r="L605" s="34"/>
      <c r="M605" s="34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</row>
    <row r="606" hidden="1">
      <c r="A606" s="39"/>
      <c r="B606" s="67" t="s">
        <v>2280</v>
      </c>
      <c r="C606" s="34"/>
      <c r="D606" s="34"/>
      <c r="E606" s="34"/>
      <c r="F606" s="34"/>
      <c r="G606" s="38"/>
      <c r="H606" s="34"/>
      <c r="I606" s="34"/>
      <c r="J606" s="34"/>
      <c r="K606" s="34"/>
      <c r="L606" s="34"/>
      <c r="M606" s="34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</row>
    <row r="607" hidden="1">
      <c r="A607" s="39"/>
      <c r="B607" s="67" t="s">
        <v>2281</v>
      </c>
      <c r="C607" s="34"/>
      <c r="D607" s="34"/>
      <c r="E607" s="34"/>
      <c r="F607" s="34"/>
      <c r="G607" s="38"/>
      <c r="H607" s="34"/>
      <c r="I607" s="34"/>
      <c r="J607" s="34"/>
      <c r="K607" s="34"/>
      <c r="L607" s="34"/>
      <c r="M607" s="34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</row>
    <row r="608" hidden="1">
      <c r="A608" s="39"/>
      <c r="B608" s="67" t="s">
        <v>2282</v>
      </c>
      <c r="C608" s="34"/>
      <c r="D608" s="34"/>
      <c r="E608" s="34"/>
      <c r="F608" s="34"/>
      <c r="G608" s="38"/>
      <c r="H608" s="34"/>
      <c r="I608" s="34"/>
      <c r="J608" s="34"/>
      <c r="K608" s="34"/>
      <c r="L608" s="34"/>
      <c r="M608" s="34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</row>
    <row r="609" hidden="1">
      <c r="A609" s="39"/>
      <c r="B609" s="67" t="s">
        <v>2283</v>
      </c>
      <c r="C609" s="34"/>
      <c r="D609" s="34"/>
      <c r="E609" s="34"/>
      <c r="F609" s="34"/>
      <c r="G609" s="38"/>
      <c r="H609" s="34"/>
      <c r="I609" s="34"/>
      <c r="J609" s="34"/>
      <c r="K609" s="34"/>
      <c r="L609" s="34"/>
      <c r="M609" s="34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</row>
    <row r="610" hidden="1">
      <c r="A610" s="39"/>
      <c r="B610" s="67" t="s">
        <v>2284</v>
      </c>
      <c r="C610" s="34"/>
      <c r="D610" s="34"/>
      <c r="E610" s="34"/>
      <c r="F610" s="34"/>
      <c r="G610" s="38"/>
      <c r="H610" s="34"/>
      <c r="I610" s="34"/>
      <c r="J610" s="34"/>
      <c r="K610" s="34"/>
      <c r="L610" s="34"/>
      <c r="M610" s="34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</row>
    <row r="611" hidden="1">
      <c r="A611" s="39"/>
      <c r="B611" s="67" t="s">
        <v>2285</v>
      </c>
      <c r="C611" s="34"/>
      <c r="D611" s="34"/>
      <c r="E611" s="34"/>
      <c r="F611" s="34"/>
      <c r="G611" s="38"/>
      <c r="H611" s="34"/>
      <c r="I611" s="34"/>
      <c r="J611" s="34"/>
      <c r="K611" s="34"/>
      <c r="L611" s="34"/>
      <c r="M611" s="34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</row>
    <row r="612" hidden="1">
      <c r="A612" s="39"/>
      <c r="B612" s="67" t="s">
        <v>2286</v>
      </c>
      <c r="C612" s="34"/>
      <c r="D612" s="34"/>
      <c r="E612" s="34"/>
      <c r="F612" s="34"/>
      <c r="G612" s="38"/>
      <c r="H612" s="34"/>
      <c r="I612" s="34"/>
      <c r="J612" s="34"/>
      <c r="K612" s="34"/>
      <c r="L612" s="34"/>
      <c r="M612" s="34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</row>
    <row r="613" hidden="1">
      <c r="A613" s="39"/>
      <c r="B613" s="67" t="s">
        <v>2287</v>
      </c>
      <c r="C613" s="34"/>
      <c r="D613" s="34"/>
      <c r="E613" s="34"/>
      <c r="F613" s="34"/>
      <c r="G613" s="38"/>
      <c r="H613" s="34"/>
      <c r="I613" s="34"/>
      <c r="J613" s="34"/>
      <c r="K613" s="34"/>
      <c r="L613" s="34"/>
      <c r="M613" s="34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</row>
    <row r="614" hidden="1">
      <c r="A614" s="39"/>
      <c r="B614" s="67" t="s">
        <v>2288</v>
      </c>
      <c r="C614" s="34"/>
      <c r="D614" s="34"/>
      <c r="E614" s="34"/>
      <c r="F614" s="34"/>
      <c r="G614" s="38"/>
      <c r="H614" s="34"/>
      <c r="I614" s="34"/>
      <c r="J614" s="34"/>
      <c r="K614" s="34"/>
      <c r="L614" s="34"/>
      <c r="M614" s="34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</row>
    <row r="615" hidden="1">
      <c r="A615" s="39"/>
      <c r="B615" s="67" t="s">
        <v>2289</v>
      </c>
      <c r="C615" s="34"/>
      <c r="D615" s="34"/>
      <c r="E615" s="34"/>
      <c r="F615" s="34"/>
      <c r="G615" s="38"/>
      <c r="H615" s="34"/>
      <c r="I615" s="34"/>
      <c r="J615" s="34"/>
      <c r="K615" s="34"/>
      <c r="L615" s="34"/>
      <c r="M615" s="34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</row>
    <row r="616" hidden="1">
      <c r="A616" s="39"/>
      <c r="B616" s="67" t="s">
        <v>2290</v>
      </c>
      <c r="C616" s="34"/>
      <c r="D616" s="34"/>
      <c r="E616" s="34"/>
      <c r="F616" s="34"/>
      <c r="G616" s="38"/>
      <c r="H616" s="34"/>
      <c r="I616" s="34"/>
      <c r="J616" s="34"/>
      <c r="K616" s="34"/>
      <c r="L616" s="34"/>
      <c r="M616" s="34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</row>
    <row r="617" hidden="1">
      <c r="A617" s="39"/>
      <c r="B617" s="67" t="s">
        <v>2291</v>
      </c>
      <c r="C617" s="34"/>
      <c r="D617" s="34"/>
      <c r="E617" s="34"/>
      <c r="F617" s="34"/>
      <c r="G617" s="38"/>
      <c r="H617" s="34"/>
      <c r="I617" s="34"/>
      <c r="J617" s="34"/>
      <c r="K617" s="34"/>
      <c r="L617" s="34"/>
      <c r="M617" s="34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</row>
    <row r="618" hidden="1">
      <c r="A618" s="39"/>
      <c r="B618" s="67" t="s">
        <v>2292</v>
      </c>
      <c r="C618" s="34"/>
      <c r="D618" s="34"/>
      <c r="E618" s="34"/>
      <c r="F618" s="34"/>
      <c r="G618" s="38"/>
      <c r="H618" s="34"/>
      <c r="I618" s="34"/>
      <c r="J618" s="34"/>
      <c r="K618" s="34"/>
      <c r="L618" s="34"/>
      <c r="M618" s="34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</row>
    <row r="619" hidden="1">
      <c r="A619" s="39"/>
      <c r="B619" s="67" t="s">
        <v>2293</v>
      </c>
      <c r="C619" s="34"/>
      <c r="D619" s="34"/>
      <c r="E619" s="34"/>
      <c r="F619" s="34"/>
      <c r="G619" s="38"/>
      <c r="H619" s="34"/>
      <c r="I619" s="34"/>
      <c r="J619" s="34"/>
      <c r="K619" s="34"/>
      <c r="L619" s="34"/>
      <c r="M619" s="34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</row>
    <row r="620" hidden="1">
      <c r="A620" s="39"/>
      <c r="B620" s="67" t="s">
        <v>2294</v>
      </c>
      <c r="C620" s="34"/>
      <c r="D620" s="34"/>
      <c r="E620" s="34"/>
      <c r="F620" s="34"/>
      <c r="G620" s="38"/>
      <c r="H620" s="34"/>
      <c r="I620" s="34"/>
      <c r="J620" s="34"/>
      <c r="K620" s="34"/>
      <c r="L620" s="34"/>
      <c r="M620" s="34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</row>
    <row r="621" hidden="1">
      <c r="A621" s="39"/>
      <c r="B621" s="67" t="s">
        <v>2295</v>
      </c>
      <c r="C621" s="34"/>
      <c r="D621" s="34"/>
      <c r="E621" s="34"/>
      <c r="F621" s="34"/>
      <c r="G621" s="38"/>
      <c r="H621" s="34"/>
      <c r="I621" s="34"/>
      <c r="J621" s="34"/>
      <c r="K621" s="34"/>
      <c r="L621" s="34"/>
      <c r="M621" s="34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</row>
    <row r="622" hidden="1">
      <c r="A622" s="39"/>
      <c r="B622" s="67" t="s">
        <v>2296</v>
      </c>
      <c r="C622" s="34"/>
      <c r="D622" s="34"/>
      <c r="E622" s="34"/>
      <c r="F622" s="34"/>
      <c r="G622" s="38"/>
      <c r="H622" s="34"/>
      <c r="I622" s="34"/>
      <c r="J622" s="34"/>
      <c r="K622" s="34"/>
      <c r="L622" s="34"/>
      <c r="M622" s="34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</row>
    <row r="623" hidden="1">
      <c r="A623" s="39"/>
      <c r="B623" s="67" t="s">
        <v>2297</v>
      </c>
      <c r="C623" s="34"/>
      <c r="D623" s="34"/>
      <c r="E623" s="34"/>
      <c r="F623" s="34"/>
      <c r="G623" s="38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</row>
    <row r="624" hidden="1">
      <c r="A624" s="39"/>
      <c r="B624" s="67" t="s">
        <v>2298</v>
      </c>
      <c r="C624" s="34"/>
      <c r="D624" s="34"/>
      <c r="E624" s="34"/>
      <c r="F624" s="34"/>
      <c r="G624" s="38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</row>
    <row r="625" hidden="1">
      <c r="A625" s="39"/>
      <c r="B625" s="86" t="s">
        <v>2299</v>
      </c>
      <c r="C625" s="34"/>
      <c r="D625" s="34"/>
      <c r="E625" s="34"/>
      <c r="F625" s="34"/>
      <c r="G625" s="38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</row>
    <row r="626" hidden="1">
      <c r="A626" s="39"/>
      <c r="B626" s="82" t="s">
        <v>2300</v>
      </c>
      <c r="C626" s="34"/>
      <c r="D626" s="34"/>
      <c r="E626" s="34"/>
      <c r="F626" s="34"/>
      <c r="G626" s="38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</row>
    <row r="627" hidden="1">
      <c r="A627" s="39"/>
      <c r="B627" s="87" t="s">
        <v>2301</v>
      </c>
      <c r="C627" s="34"/>
      <c r="D627" s="34"/>
      <c r="E627" s="34"/>
      <c r="F627" s="34"/>
      <c r="G627" s="38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</row>
    <row r="628" hidden="1">
      <c r="A628" s="39"/>
      <c r="B628" s="87" t="s">
        <v>2302</v>
      </c>
      <c r="C628" s="34"/>
      <c r="D628" s="34"/>
      <c r="E628" s="34"/>
      <c r="F628" s="34"/>
      <c r="G628" s="38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</row>
    <row r="629">
      <c r="A629" s="39"/>
      <c r="B629" s="55"/>
      <c r="C629" s="34"/>
      <c r="D629" s="34"/>
      <c r="E629" s="34"/>
      <c r="F629" s="34"/>
      <c r="G629" s="38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</row>
    <row r="944">
      <c r="A944" s="39"/>
      <c r="B944" s="39"/>
      <c r="C944" s="39"/>
      <c r="D944" s="39"/>
      <c r="E944" s="39"/>
      <c r="F944" s="39"/>
      <c r="G944" s="64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</row>
    <row r="945">
      <c r="A945" s="39"/>
      <c r="B945" s="39"/>
      <c r="C945" s="39"/>
      <c r="D945" s="39"/>
      <c r="E945" s="39"/>
      <c r="F945" s="39"/>
      <c r="G945" s="64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</row>
    <row r="946">
      <c r="A946" s="39"/>
      <c r="B946" s="39"/>
      <c r="C946" s="39"/>
      <c r="D946" s="39"/>
      <c r="E946" s="39"/>
      <c r="F946" s="39"/>
      <c r="G946" s="64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</row>
    <row r="947">
      <c r="A947" s="39"/>
      <c r="B947" s="39"/>
      <c r="C947" s="39"/>
      <c r="D947" s="39"/>
      <c r="E947" s="39"/>
      <c r="F947" s="39"/>
      <c r="G947" s="64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</row>
    <row r="948">
      <c r="A948" s="39"/>
      <c r="B948" s="39"/>
      <c r="C948" s="39"/>
      <c r="D948" s="39"/>
      <c r="E948" s="39"/>
      <c r="F948" s="39"/>
      <c r="G948" s="64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</row>
    <row r="949">
      <c r="A949" s="39"/>
      <c r="B949" s="39"/>
      <c r="C949" s="39"/>
      <c r="D949" s="39"/>
      <c r="E949" s="39"/>
      <c r="F949" s="39"/>
      <c r="G949" s="64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</row>
    <row r="950">
      <c r="A950" s="39"/>
      <c r="B950" s="39"/>
      <c r="C950" s="39"/>
      <c r="D950" s="39"/>
      <c r="E950" s="39"/>
      <c r="F950" s="39"/>
      <c r="G950" s="64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</row>
    <row r="951">
      <c r="A951" s="39"/>
      <c r="B951" s="39"/>
      <c r="C951" s="39"/>
      <c r="D951" s="39"/>
      <c r="E951" s="39"/>
      <c r="F951" s="39"/>
      <c r="G951" s="64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</row>
    <row r="952">
      <c r="A952" s="39"/>
      <c r="B952" s="39"/>
      <c r="C952" s="39"/>
      <c r="D952" s="39"/>
      <c r="E952" s="39"/>
      <c r="F952" s="39"/>
      <c r="G952" s="64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</row>
    <row r="953">
      <c r="A953" s="39"/>
      <c r="B953" s="39"/>
      <c r="C953" s="39"/>
      <c r="D953" s="39"/>
      <c r="E953" s="39"/>
      <c r="F953" s="39"/>
      <c r="G953" s="64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</row>
    <row r="954">
      <c r="A954" s="39"/>
      <c r="B954" s="39"/>
      <c r="C954" s="39"/>
      <c r="D954" s="39"/>
      <c r="E954" s="39"/>
      <c r="F954" s="39"/>
      <c r="G954" s="64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</row>
    <row r="955">
      <c r="A955" s="39"/>
      <c r="B955" s="39"/>
      <c r="C955" s="39"/>
      <c r="D955" s="39"/>
      <c r="E955" s="39"/>
      <c r="F955" s="39"/>
      <c r="G955" s="64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</row>
    <row r="956">
      <c r="A956" s="39"/>
      <c r="B956" s="39"/>
      <c r="C956" s="39"/>
      <c r="D956" s="39"/>
      <c r="E956" s="39"/>
      <c r="F956" s="39"/>
      <c r="G956" s="64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</row>
    <row r="957">
      <c r="A957" s="39"/>
      <c r="B957" s="39"/>
      <c r="C957" s="39"/>
      <c r="D957" s="39"/>
      <c r="E957" s="39"/>
      <c r="F957" s="39"/>
      <c r="G957" s="64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</row>
    <row r="958">
      <c r="A958" s="39"/>
      <c r="B958" s="39"/>
      <c r="C958" s="39"/>
      <c r="D958" s="39"/>
      <c r="E958" s="39"/>
      <c r="F958" s="39"/>
      <c r="G958" s="64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</row>
    <row r="959">
      <c r="A959" s="39"/>
      <c r="B959" s="39"/>
      <c r="C959" s="39"/>
      <c r="D959" s="39"/>
      <c r="E959" s="39"/>
      <c r="F959" s="39"/>
      <c r="G959" s="64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</row>
    <row r="960">
      <c r="A960" s="39"/>
      <c r="B960" s="39"/>
      <c r="C960" s="39"/>
      <c r="D960" s="39"/>
      <c r="E960" s="39"/>
      <c r="F960" s="39"/>
      <c r="G960" s="64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</row>
    <row r="961">
      <c r="A961" s="39"/>
      <c r="B961" s="39"/>
      <c r="C961" s="39"/>
      <c r="D961" s="39"/>
      <c r="E961" s="39"/>
      <c r="F961" s="39"/>
      <c r="G961" s="64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</row>
    <row r="962">
      <c r="A962" s="39"/>
      <c r="B962" s="39"/>
      <c r="C962" s="39"/>
      <c r="D962" s="39"/>
      <c r="E962" s="39"/>
      <c r="F962" s="39"/>
      <c r="G962" s="64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</row>
    <row r="963">
      <c r="A963" s="39"/>
      <c r="B963" s="39"/>
      <c r="C963" s="39"/>
      <c r="D963" s="39"/>
      <c r="E963" s="39"/>
      <c r="F963" s="39"/>
      <c r="G963" s="64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</row>
    <row r="964">
      <c r="A964" s="39"/>
      <c r="B964" s="39"/>
      <c r="C964" s="39"/>
      <c r="D964" s="39"/>
      <c r="E964" s="39"/>
      <c r="F964" s="39"/>
      <c r="G964" s="64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</row>
    <row r="965">
      <c r="A965" s="39"/>
      <c r="B965" s="39"/>
      <c r="C965" s="39"/>
      <c r="D965" s="39"/>
      <c r="E965" s="39"/>
      <c r="F965" s="39"/>
      <c r="G965" s="64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</row>
    <row r="966">
      <c r="A966" s="39"/>
      <c r="B966" s="39"/>
      <c r="C966" s="39"/>
      <c r="D966" s="39"/>
      <c r="E966" s="39"/>
      <c r="F966" s="39"/>
      <c r="G966" s="64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</row>
    <row r="967">
      <c r="A967" s="39"/>
      <c r="B967" s="39"/>
      <c r="C967" s="39"/>
      <c r="D967" s="39"/>
      <c r="E967" s="39"/>
      <c r="F967" s="39"/>
      <c r="G967" s="64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</row>
    <row r="968">
      <c r="A968" s="39"/>
      <c r="B968" s="39"/>
      <c r="C968" s="39"/>
      <c r="D968" s="39"/>
      <c r="E968" s="39"/>
      <c r="F968" s="39"/>
      <c r="G968" s="64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</row>
    <row r="969">
      <c r="A969" s="39"/>
      <c r="B969" s="39"/>
      <c r="C969" s="39"/>
      <c r="D969" s="39"/>
      <c r="E969" s="39"/>
      <c r="F969" s="39"/>
      <c r="G969" s="64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</row>
    <row r="970">
      <c r="A970" s="39"/>
      <c r="B970" s="39"/>
      <c r="C970" s="39"/>
      <c r="D970" s="39"/>
      <c r="E970" s="39"/>
      <c r="F970" s="39"/>
      <c r="G970" s="64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</row>
    <row r="971">
      <c r="A971" s="39"/>
      <c r="B971" s="39"/>
      <c r="C971" s="39"/>
      <c r="D971" s="39"/>
      <c r="E971" s="39"/>
      <c r="F971" s="39"/>
      <c r="G971" s="64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</row>
    <row r="972">
      <c r="A972" s="39"/>
      <c r="B972" s="39"/>
      <c r="C972" s="39"/>
      <c r="D972" s="39"/>
      <c r="E972" s="39"/>
      <c r="F972" s="39"/>
      <c r="G972" s="64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</row>
    <row r="973">
      <c r="A973" s="39"/>
      <c r="B973" s="39"/>
      <c r="C973" s="39"/>
      <c r="D973" s="39"/>
      <c r="E973" s="39"/>
      <c r="F973" s="39"/>
      <c r="G973" s="64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</row>
    <row r="974">
      <c r="A974" s="39"/>
      <c r="B974" s="39"/>
      <c r="C974" s="39"/>
      <c r="D974" s="39"/>
      <c r="E974" s="39"/>
      <c r="F974" s="39"/>
      <c r="G974" s="64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</row>
    <row r="975">
      <c r="A975" s="39"/>
      <c r="B975" s="39"/>
      <c r="C975" s="39"/>
      <c r="D975" s="39"/>
      <c r="E975" s="39"/>
      <c r="F975" s="39"/>
      <c r="G975" s="64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</row>
    <row r="976">
      <c r="A976" s="39"/>
      <c r="B976" s="39"/>
      <c r="C976" s="39"/>
      <c r="D976" s="39"/>
      <c r="E976" s="39"/>
      <c r="F976" s="39"/>
      <c r="G976" s="64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</row>
    <row r="977">
      <c r="A977" s="39"/>
      <c r="B977" s="39"/>
      <c r="C977" s="39"/>
      <c r="D977" s="39"/>
      <c r="E977" s="39"/>
      <c r="F977" s="39"/>
      <c r="G977" s="64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</row>
    <row r="978">
      <c r="A978" s="39"/>
      <c r="B978" s="39"/>
      <c r="C978" s="39"/>
      <c r="D978" s="39"/>
      <c r="E978" s="39"/>
      <c r="F978" s="39"/>
      <c r="G978" s="64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</row>
    <row r="979">
      <c r="A979" s="39"/>
      <c r="B979" s="39"/>
      <c r="C979" s="39"/>
      <c r="D979" s="39"/>
      <c r="E979" s="39"/>
      <c r="F979" s="39"/>
      <c r="G979" s="64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</row>
    <row r="980">
      <c r="A980" s="39"/>
      <c r="B980" s="39"/>
      <c r="C980" s="39"/>
      <c r="D980" s="39"/>
      <c r="E980" s="39"/>
      <c r="F980" s="39"/>
      <c r="G980" s="64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</row>
    <row r="981">
      <c r="A981" s="39"/>
      <c r="B981" s="39"/>
      <c r="C981" s="39"/>
      <c r="D981" s="39"/>
      <c r="E981" s="39"/>
      <c r="F981" s="39"/>
      <c r="G981" s="64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</row>
    <row r="982">
      <c r="A982" s="39"/>
      <c r="B982" s="39"/>
      <c r="C982" s="39"/>
      <c r="D982" s="39"/>
      <c r="E982" s="39"/>
      <c r="F982" s="39"/>
      <c r="G982" s="64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</row>
    <row r="983">
      <c r="A983" s="39"/>
      <c r="B983" s="39"/>
      <c r="C983" s="39"/>
      <c r="D983" s="39"/>
      <c r="E983" s="39"/>
      <c r="F983" s="39"/>
      <c r="G983" s="64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</row>
    <row r="984">
      <c r="A984" s="39"/>
      <c r="B984" s="39"/>
      <c r="C984" s="39"/>
      <c r="D984" s="39"/>
      <c r="E984" s="39"/>
      <c r="F984" s="39"/>
      <c r="G984" s="64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</row>
    <row r="985">
      <c r="A985" s="39"/>
      <c r="B985" s="39"/>
      <c r="C985" s="39"/>
      <c r="D985" s="39"/>
      <c r="E985" s="39"/>
      <c r="F985" s="39"/>
      <c r="G985" s="64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</row>
    <row r="986">
      <c r="A986" s="39"/>
      <c r="B986" s="39"/>
      <c r="C986" s="39"/>
      <c r="D986" s="39"/>
      <c r="E986" s="39"/>
      <c r="F986" s="39"/>
      <c r="G986" s="64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</row>
    <row r="987">
      <c r="A987" s="39"/>
      <c r="B987" s="39"/>
      <c r="C987" s="39"/>
      <c r="D987" s="39"/>
      <c r="E987" s="39"/>
      <c r="F987" s="39"/>
      <c r="G987" s="64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</row>
    <row r="988">
      <c r="A988" s="39"/>
      <c r="B988" s="39"/>
      <c r="C988" s="39"/>
      <c r="D988" s="39"/>
      <c r="E988" s="39"/>
      <c r="F988" s="39"/>
      <c r="G988" s="64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</row>
    <row r="989">
      <c r="A989" s="39"/>
      <c r="B989" s="39"/>
      <c r="C989" s="39"/>
      <c r="D989" s="39"/>
      <c r="E989" s="39"/>
      <c r="F989" s="39"/>
      <c r="G989" s="64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</row>
    <row r="990">
      <c r="A990" s="39"/>
      <c r="B990" s="39"/>
      <c r="C990" s="39"/>
      <c r="D990" s="39"/>
      <c r="E990" s="39"/>
      <c r="F990" s="39"/>
      <c r="G990" s="64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</row>
    <row r="991">
      <c r="A991" s="39"/>
      <c r="B991" s="39"/>
      <c r="C991" s="39"/>
      <c r="D991" s="39"/>
      <c r="E991" s="39"/>
      <c r="F991" s="39"/>
      <c r="G991" s="64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</row>
    <row r="992">
      <c r="A992" s="39"/>
      <c r="B992" s="39"/>
      <c r="C992" s="39"/>
      <c r="D992" s="39"/>
      <c r="E992" s="39"/>
      <c r="F992" s="39"/>
      <c r="G992" s="64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</row>
    <row r="993">
      <c r="A993" s="39"/>
      <c r="B993" s="39"/>
      <c r="C993" s="39"/>
      <c r="D993" s="39"/>
      <c r="E993" s="39"/>
      <c r="F993" s="39"/>
      <c r="G993" s="64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</row>
    <row r="994">
      <c r="A994" s="39"/>
      <c r="B994" s="39"/>
      <c r="C994" s="39"/>
      <c r="D994" s="39"/>
      <c r="E994" s="39"/>
      <c r="F994" s="39"/>
      <c r="G994" s="64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</row>
    <row r="995">
      <c r="A995" s="39"/>
      <c r="B995" s="39"/>
      <c r="C995" s="39"/>
      <c r="D995" s="39"/>
      <c r="E995" s="39"/>
      <c r="F995" s="39"/>
      <c r="G995" s="64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</row>
    <row r="996">
      <c r="A996" s="39"/>
      <c r="B996" s="39"/>
      <c r="C996" s="39"/>
      <c r="D996" s="39"/>
      <c r="E996" s="39"/>
      <c r="F996" s="39"/>
      <c r="G996" s="64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</row>
    <row r="997">
      <c r="A997" s="39"/>
      <c r="B997" s="39"/>
      <c r="C997" s="39"/>
      <c r="D997" s="39"/>
      <c r="E997" s="39"/>
      <c r="F997" s="39"/>
      <c r="G997" s="64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</row>
    <row r="998">
      <c r="A998" s="39"/>
      <c r="B998" s="39"/>
      <c r="C998" s="39"/>
      <c r="D998" s="39"/>
      <c r="E998" s="39"/>
      <c r="F998" s="39"/>
      <c r="G998" s="64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</row>
    <row r="999">
      <c r="A999" s="39"/>
      <c r="B999" s="39"/>
      <c r="C999" s="39"/>
      <c r="D999" s="39"/>
      <c r="E999" s="39"/>
      <c r="F999" s="39"/>
      <c r="G999" s="64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</row>
    <row r="1000">
      <c r="A1000" s="39"/>
      <c r="B1000" s="39"/>
      <c r="C1000" s="39"/>
      <c r="D1000" s="39"/>
      <c r="E1000" s="39"/>
      <c r="F1000" s="39"/>
      <c r="G1000" s="64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</row>
    <row r="1001">
      <c r="A1001" s="39"/>
      <c r="B1001" s="39"/>
      <c r="C1001" s="39"/>
      <c r="D1001" s="39"/>
      <c r="E1001" s="39"/>
      <c r="F1001" s="39"/>
      <c r="G1001" s="64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</row>
    <row r="1002">
      <c r="A1002" s="39"/>
      <c r="B1002" s="39"/>
      <c r="C1002" s="39"/>
      <c r="D1002" s="39"/>
      <c r="E1002" s="39"/>
      <c r="F1002" s="39"/>
      <c r="G1002" s="64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</row>
    <row r="1003">
      <c r="A1003" s="39"/>
      <c r="B1003" s="39"/>
      <c r="C1003" s="39"/>
      <c r="D1003" s="39"/>
      <c r="E1003" s="39"/>
      <c r="F1003" s="39"/>
      <c r="G1003" s="64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</row>
    <row r="1004">
      <c r="A1004" s="39"/>
      <c r="B1004" s="39"/>
      <c r="C1004" s="39"/>
      <c r="D1004" s="39"/>
      <c r="E1004" s="39"/>
      <c r="F1004" s="39"/>
      <c r="G1004" s="64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</row>
    <row r="1005">
      <c r="A1005" s="39"/>
      <c r="B1005" s="39"/>
      <c r="C1005" s="39"/>
      <c r="D1005" s="39"/>
      <c r="E1005" s="39"/>
      <c r="F1005" s="39"/>
      <c r="G1005" s="64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</row>
    <row r="1006">
      <c r="A1006" s="39"/>
      <c r="B1006" s="39"/>
      <c r="C1006" s="39"/>
      <c r="D1006" s="39"/>
      <c r="E1006" s="39"/>
      <c r="F1006" s="39"/>
      <c r="G1006" s="64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</row>
    <row r="1007">
      <c r="A1007" s="39"/>
      <c r="B1007" s="39"/>
      <c r="C1007" s="39"/>
      <c r="D1007" s="39"/>
      <c r="E1007" s="39"/>
      <c r="F1007" s="39"/>
      <c r="G1007" s="64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  <c r="AA1007" s="39"/>
    </row>
    <row r="1008">
      <c r="A1008" s="39"/>
      <c r="B1008" s="39"/>
      <c r="C1008" s="39"/>
      <c r="D1008" s="39"/>
      <c r="E1008" s="39"/>
      <c r="F1008" s="39"/>
      <c r="G1008" s="64"/>
      <c r="H1008" s="39"/>
      <c r="I1008" s="39"/>
      <c r="J1008" s="39"/>
      <c r="K1008" s="39"/>
      <c r="L1008" s="39"/>
      <c r="M1008" s="39"/>
      <c r="N1008" s="39"/>
      <c r="O1008" s="39"/>
      <c r="P1008" s="39"/>
      <c r="Q1008" s="39"/>
      <c r="R1008" s="39"/>
      <c r="S1008" s="39"/>
      <c r="T1008" s="39"/>
      <c r="U1008" s="39"/>
      <c r="V1008" s="39"/>
      <c r="W1008" s="39"/>
      <c r="X1008" s="39"/>
      <c r="Y1008" s="39"/>
      <c r="Z1008" s="39"/>
      <c r="AA1008" s="39"/>
    </row>
    <row r="1009">
      <c r="A1009" s="39"/>
      <c r="B1009" s="39"/>
      <c r="C1009" s="39"/>
      <c r="D1009" s="39"/>
      <c r="E1009" s="39"/>
      <c r="F1009" s="39"/>
      <c r="G1009" s="64"/>
      <c r="H1009" s="39"/>
      <c r="I1009" s="39"/>
      <c r="J1009" s="39"/>
      <c r="K1009" s="39"/>
      <c r="L1009" s="39"/>
      <c r="M1009" s="39"/>
      <c r="N1009" s="39"/>
      <c r="O1009" s="39"/>
      <c r="P1009" s="39"/>
      <c r="Q1009" s="39"/>
      <c r="R1009" s="39"/>
      <c r="S1009" s="39"/>
      <c r="T1009" s="39"/>
      <c r="U1009" s="39"/>
      <c r="V1009" s="39"/>
      <c r="W1009" s="39"/>
      <c r="X1009" s="39"/>
      <c r="Y1009" s="39"/>
      <c r="Z1009" s="39"/>
      <c r="AA1009" s="39"/>
    </row>
  </sheetData>
  <hyperlinks>
    <hyperlink r:id="rId1" ref="B6"/>
    <hyperlink r:id="rId2" ref="B7"/>
    <hyperlink r:id="rId3" ref="B8"/>
    <hyperlink r:id="rId4" ref="B9"/>
    <hyperlink r:id="rId5" ref="C12"/>
    <hyperlink r:id="rId6" ref="D12"/>
    <hyperlink r:id="rId7" ref="E12"/>
    <hyperlink r:id="rId8" ref="F12"/>
    <hyperlink r:id="rId9" ref="K12"/>
    <hyperlink r:id="rId10" ref="C13"/>
    <hyperlink r:id="rId11" ref="D13"/>
    <hyperlink r:id="rId12" ref="E13"/>
    <hyperlink r:id="rId13" ref="F13"/>
    <hyperlink r:id="rId14" ref="K13"/>
    <hyperlink r:id="rId15" ref="M13"/>
    <hyperlink r:id="rId16" ref="C14"/>
    <hyperlink r:id="rId17" ref="D14"/>
    <hyperlink r:id="rId18" ref="E14"/>
    <hyperlink r:id="rId19" ref="F14"/>
    <hyperlink r:id="rId20" ref="K14"/>
    <hyperlink r:id="rId21" ref="C15"/>
    <hyperlink r:id="rId22" ref="D15"/>
    <hyperlink r:id="rId23" ref="E15"/>
    <hyperlink r:id="rId24" ref="F15"/>
    <hyperlink r:id="rId25" ref="M15"/>
    <hyperlink r:id="rId26" ref="C16"/>
    <hyperlink r:id="rId27" ref="D16"/>
    <hyperlink r:id="rId28" ref="E16"/>
    <hyperlink r:id="rId29" ref="F16"/>
    <hyperlink r:id="rId30" ref="K16"/>
    <hyperlink r:id="rId31" ref="M16"/>
    <hyperlink r:id="rId32" ref="C17"/>
    <hyperlink r:id="rId33" ref="D17"/>
    <hyperlink r:id="rId34" ref="E17"/>
    <hyperlink r:id="rId35" ref="F17"/>
    <hyperlink r:id="rId36" ref="K17"/>
    <hyperlink r:id="rId37" ref="M17"/>
    <hyperlink r:id="rId38" ref="C18"/>
    <hyperlink r:id="rId39" ref="D18"/>
    <hyperlink r:id="rId40" ref="E18"/>
    <hyperlink r:id="rId41" ref="F18"/>
    <hyperlink r:id="rId42" ref="K18"/>
    <hyperlink r:id="rId43" ref="M18"/>
    <hyperlink r:id="rId44" ref="C19"/>
    <hyperlink r:id="rId45" ref="D19"/>
    <hyperlink r:id="rId46" ref="E19"/>
    <hyperlink r:id="rId47" ref="F19"/>
    <hyperlink r:id="rId48" ref="K19"/>
    <hyperlink r:id="rId49" ref="M19"/>
    <hyperlink r:id="rId50" ref="C20"/>
    <hyperlink r:id="rId51" ref="D20"/>
    <hyperlink r:id="rId52" ref="E20"/>
    <hyperlink r:id="rId53" ref="F20"/>
    <hyperlink r:id="rId54" ref="K20"/>
    <hyperlink r:id="rId55" ref="C21"/>
    <hyperlink r:id="rId56" ref="D21"/>
    <hyperlink r:id="rId57" ref="E21"/>
    <hyperlink r:id="rId58" ref="F21"/>
    <hyperlink r:id="rId59" ref="K21"/>
    <hyperlink r:id="rId60" ref="C22"/>
    <hyperlink r:id="rId61" ref="D22"/>
    <hyperlink r:id="rId62" ref="E22"/>
    <hyperlink r:id="rId63" ref="F22"/>
    <hyperlink r:id="rId64" ref="K22"/>
    <hyperlink r:id="rId65" ref="C23"/>
    <hyperlink r:id="rId66" ref="D23"/>
    <hyperlink r:id="rId67" ref="E23"/>
    <hyperlink r:id="rId68" ref="F23"/>
    <hyperlink r:id="rId69" ref="K23"/>
    <hyperlink r:id="rId70" ref="C24"/>
    <hyperlink r:id="rId71" ref="D24"/>
    <hyperlink r:id="rId72" ref="E24"/>
    <hyperlink r:id="rId73" ref="F24"/>
    <hyperlink r:id="rId74" ref="K24"/>
    <hyperlink r:id="rId75" ref="C25"/>
    <hyperlink r:id="rId76" ref="D25"/>
    <hyperlink r:id="rId77" ref="E25"/>
    <hyperlink r:id="rId78" ref="F25"/>
    <hyperlink r:id="rId79" ref="K25"/>
    <hyperlink r:id="rId80" ref="M25"/>
    <hyperlink r:id="rId81" ref="C26"/>
    <hyperlink r:id="rId82" ref="D26"/>
    <hyperlink r:id="rId83" ref="E26"/>
    <hyperlink r:id="rId84" ref="F26"/>
    <hyperlink r:id="rId85" ref="K26"/>
    <hyperlink r:id="rId86" ref="M26"/>
    <hyperlink r:id="rId87" ref="C27"/>
    <hyperlink r:id="rId88" ref="D27"/>
    <hyperlink r:id="rId89" ref="E27"/>
    <hyperlink r:id="rId90" ref="F27"/>
    <hyperlink r:id="rId91" ref="K27"/>
    <hyperlink r:id="rId92" ref="M27"/>
    <hyperlink r:id="rId93" ref="C28"/>
    <hyperlink r:id="rId94" ref="D28"/>
    <hyperlink r:id="rId95" ref="E28"/>
    <hyperlink r:id="rId96" ref="F28"/>
    <hyperlink r:id="rId97" ref="K28"/>
    <hyperlink r:id="rId98" ref="M28"/>
    <hyperlink r:id="rId99" ref="C29"/>
    <hyperlink r:id="rId100" ref="D29"/>
    <hyperlink r:id="rId101" ref="E29"/>
    <hyperlink r:id="rId102" ref="F29"/>
    <hyperlink r:id="rId103" ref="K29"/>
    <hyperlink r:id="rId104" ref="M29"/>
    <hyperlink r:id="rId105" ref="C30"/>
    <hyperlink r:id="rId106" ref="D30"/>
    <hyperlink r:id="rId107" ref="E30"/>
    <hyperlink r:id="rId108" ref="F30"/>
    <hyperlink r:id="rId109" ref="K30"/>
    <hyperlink r:id="rId110" ref="C31"/>
    <hyperlink r:id="rId111" ref="D31"/>
    <hyperlink r:id="rId112" ref="E31"/>
    <hyperlink r:id="rId113" ref="F31"/>
    <hyperlink r:id="rId114" ref="K31"/>
    <hyperlink r:id="rId115" ref="M31"/>
    <hyperlink r:id="rId116" ref="C32"/>
    <hyperlink r:id="rId117" ref="D32"/>
    <hyperlink r:id="rId118" ref="E32"/>
    <hyperlink r:id="rId119" ref="F32"/>
    <hyperlink r:id="rId120" ref="K32"/>
    <hyperlink r:id="rId121" ref="M32"/>
    <hyperlink r:id="rId122" ref="C33"/>
    <hyperlink r:id="rId123" ref="D33"/>
    <hyperlink r:id="rId124" ref="E33"/>
    <hyperlink r:id="rId125" ref="F33"/>
    <hyperlink r:id="rId126" ref="K33"/>
    <hyperlink r:id="rId127" ref="C34"/>
    <hyperlink r:id="rId128" ref="D34"/>
    <hyperlink r:id="rId129" ref="E34"/>
    <hyperlink r:id="rId130" ref="F34"/>
    <hyperlink r:id="rId131" ref="K34"/>
    <hyperlink r:id="rId132" ref="C35"/>
    <hyperlink r:id="rId133" ref="D35"/>
    <hyperlink r:id="rId134" ref="E35"/>
    <hyperlink r:id="rId135" ref="F35"/>
    <hyperlink r:id="rId136" ref="K35"/>
    <hyperlink r:id="rId137" ref="C36"/>
    <hyperlink r:id="rId138" ref="D36"/>
    <hyperlink r:id="rId139" ref="E36"/>
    <hyperlink r:id="rId140" ref="F36"/>
    <hyperlink r:id="rId141" ref="K36"/>
    <hyperlink r:id="rId142" ref="C37"/>
    <hyperlink r:id="rId143" ref="D37"/>
    <hyperlink r:id="rId144" ref="E37"/>
    <hyperlink r:id="rId145" ref="F37"/>
    <hyperlink r:id="rId146" ref="M37"/>
    <hyperlink r:id="rId147" ref="C38"/>
    <hyperlink r:id="rId148" ref="D38"/>
    <hyperlink r:id="rId149" ref="E38"/>
    <hyperlink r:id="rId150" ref="F38"/>
    <hyperlink r:id="rId151" ref="K38"/>
    <hyperlink r:id="rId152" ref="M38"/>
    <hyperlink r:id="rId153" ref="C39"/>
    <hyperlink r:id="rId154" ref="D39"/>
    <hyperlink r:id="rId155" ref="E39"/>
    <hyperlink r:id="rId156" ref="F39"/>
    <hyperlink r:id="rId157" ref="K39"/>
    <hyperlink r:id="rId158" ref="M39"/>
    <hyperlink r:id="rId159" ref="C40"/>
    <hyperlink r:id="rId160" ref="D40"/>
    <hyperlink r:id="rId161" ref="E40"/>
    <hyperlink r:id="rId162" ref="F40"/>
    <hyperlink r:id="rId163" ref="K40"/>
    <hyperlink r:id="rId164" ref="C41"/>
    <hyperlink r:id="rId165" ref="D41"/>
    <hyperlink r:id="rId166" ref="E41"/>
    <hyperlink r:id="rId167" ref="F41"/>
    <hyperlink r:id="rId168" ref="K41"/>
    <hyperlink r:id="rId169" ref="C42"/>
    <hyperlink r:id="rId170" ref="D42"/>
    <hyperlink r:id="rId171" ref="E42"/>
    <hyperlink r:id="rId172" ref="F42"/>
    <hyperlink r:id="rId173" ref="K42"/>
    <hyperlink r:id="rId174" ref="M42"/>
    <hyperlink r:id="rId175" ref="C43"/>
    <hyperlink r:id="rId176" ref="D43"/>
    <hyperlink r:id="rId177" ref="E43"/>
    <hyperlink r:id="rId178" ref="F43"/>
    <hyperlink r:id="rId179" ref="K43"/>
    <hyperlink r:id="rId180" ref="C44"/>
    <hyperlink r:id="rId181" ref="D44"/>
    <hyperlink r:id="rId182" ref="E44"/>
    <hyperlink r:id="rId183" ref="F44"/>
    <hyperlink r:id="rId184" ref="K44"/>
    <hyperlink r:id="rId185" ref="M44"/>
    <hyperlink r:id="rId186" ref="C45"/>
    <hyperlink r:id="rId187" ref="D45"/>
    <hyperlink r:id="rId188" ref="E45"/>
    <hyperlink r:id="rId189" ref="F45"/>
    <hyperlink r:id="rId190" ref="K45"/>
    <hyperlink r:id="rId191" ref="M45"/>
    <hyperlink r:id="rId192" ref="C46"/>
    <hyperlink r:id="rId193" ref="D46"/>
    <hyperlink r:id="rId194" ref="E46"/>
    <hyperlink r:id="rId195" ref="F46"/>
    <hyperlink r:id="rId196" ref="K46"/>
    <hyperlink r:id="rId197" ref="M46"/>
    <hyperlink r:id="rId198" ref="C47"/>
    <hyperlink r:id="rId199" ref="D47"/>
    <hyperlink r:id="rId200" ref="E47"/>
    <hyperlink r:id="rId201" ref="F47"/>
    <hyperlink r:id="rId202" ref="K47"/>
    <hyperlink r:id="rId203" ref="M47"/>
    <hyperlink r:id="rId204" ref="C48"/>
    <hyperlink r:id="rId205" ref="D48"/>
    <hyperlink r:id="rId206" ref="E48"/>
    <hyperlink r:id="rId207" ref="F48"/>
    <hyperlink r:id="rId208" ref="K48"/>
    <hyperlink r:id="rId209" ref="C49"/>
    <hyperlink r:id="rId210" ref="D49"/>
    <hyperlink r:id="rId211" ref="E49"/>
    <hyperlink r:id="rId212" ref="F49"/>
    <hyperlink r:id="rId213" ref="K49"/>
    <hyperlink r:id="rId214" ref="M49"/>
    <hyperlink r:id="rId215" ref="C50"/>
    <hyperlink r:id="rId216" ref="D50"/>
    <hyperlink r:id="rId217" ref="E50"/>
    <hyperlink r:id="rId218" ref="F50"/>
    <hyperlink r:id="rId219" ref="K50"/>
    <hyperlink r:id="rId220" ref="M50"/>
    <hyperlink r:id="rId221" ref="C51"/>
    <hyperlink r:id="rId222" ref="D51"/>
    <hyperlink r:id="rId223" ref="E51"/>
    <hyperlink r:id="rId224" ref="F51"/>
    <hyperlink r:id="rId225" ref="C52"/>
    <hyperlink r:id="rId226" ref="D52"/>
    <hyperlink r:id="rId227" ref="E52"/>
    <hyperlink r:id="rId228" ref="F52"/>
    <hyperlink r:id="rId229" ref="K52"/>
    <hyperlink r:id="rId230" ref="C53"/>
    <hyperlink r:id="rId231" ref="D53"/>
    <hyperlink r:id="rId232" ref="E53"/>
    <hyperlink r:id="rId233" ref="F53"/>
    <hyperlink r:id="rId234" ref="K53"/>
    <hyperlink r:id="rId235" ref="C54"/>
    <hyperlink r:id="rId236" ref="D54"/>
    <hyperlink r:id="rId237" ref="E54"/>
    <hyperlink r:id="rId238" ref="F54"/>
    <hyperlink r:id="rId239" ref="K54"/>
    <hyperlink r:id="rId240" ref="M54"/>
    <hyperlink r:id="rId241" ref="C55"/>
    <hyperlink r:id="rId242" ref="D55"/>
    <hyperlink r:id="rId243" ref="E55"/>
    <hyperlink r:id="rId244" ref="F55"/>
    <hyperlink r:id="rId245" ref="K55"/>
    <hyperlink r:id="rId246" ref="C56"/>
    <hyperlink r:id="rId247" ref="D56"/>
    <hyperlink r:id="rId248" ref="E56"/>
    <hyperlink r:id="rId249" ref="F56"/>
    <hyperlink r:id="rId250" ref="K56"/>
    <hyperlink r:id="rId251" ref="M56"/>
    <hyperlink r:id="rId252" ref="C57"/>
    <hyperlink r:id="rId253" ref="D57"/>
    <hyperlink r:id="rId254" ref="E57"/>
    <hyperlink r:id="rId255" ref="F57"/>
    <hyperlink r:id="rId256" ref="M57"/>
    <hyperlink r:id="rId257" ref="C58"/>
    <hyperlink r:id="rId258" ref="D58"/>
    <hyperlink r:id="rId259" ref="E58"/>
    <hyperlink r:id="rId260" ref="F58"/>
    <hyperlink r:id="rId261" ref="K58"/>
    <hyperlink r:id="rId262" ref="M58"/>
    <hyperlink r:id="rId263" ref="C59"/>
    <hyperlink r:id="rId264" ref="D59"/>
    <hyperlink r:id="rId265" ref="E59"/>
    <hyperlink r:id="rId266" ref="F59"/>
    <hyperlink r:id="rId267" ref="C60"/>
    <hyperlink r:id="rId268" ref="D60"/>
    <hyperlink r:id="rId269" ref="E60"/>
    <hyperlink r:id="rId270" ref="F60"/>
    <hyperlink r:id="rId271" ref="K60"/>
    <hyperlink r:id="rId272" ref="C61"/>
    <hyperlink r:id="rId273" ref="D61"/>
    <hyperlink r:id="rId274" ref="E61"/>
    <hyperlink r:id="rId275" ref="F61"/>
    <hyperlink r:id="rId276" ref="K61"/>
    <hyperlink r:id="rId277" ref="M61"/>
    <hyperlink r:id="rId278" ref="D62"/>
    <hyperlink r:id="rId279" ref="E62"/>
    <hyperlink r:id="rId280" ref="F62"/>
    <hyperlink r:id="rId281" ref="K62"/>
    <hyperlink r:id="rId282" ref="C63"/>
    <hyperlink r:id="rId283" ref="D63"/>
    <hyperlink r:id="rId284" ref="E63"/>
    <hyperlink r:id="rId285" ref="F63"/>
    <hyperlink r:id="rId286" ref="K63"/>
    <hyperlink r:id="rId287" ref="C64"/>
    <hyperlink r:id="rId288" ref="D64"/>
    <hyperlink r:id="rId289" ref="E64"/>
    <hyperlink r:id="rId290" ref="F64"/>
    <hyperlink r:id="rId291" ref="K64"/>
    <hyperlink r:id="rId292" ref="M64"/>
    <hyperlink r:id="rId293" ref="C65"/>
    <hyperlink r:id="rId294" ref="D65"/>
    <hyperlink r:id="rId295" ref="E65"/>
    <hyperlink r:id="rId296" ref="F65"/>
    <hyperlink r:id="rId297" ref="K65"/>
    <hyperlink r:id="rId298" ref="M65"/>
    <hyperlink r:id="rId299" ref="C66"/>
    <hyperlink r:id="rId300" ref="D66"/>
    <hyperlink r:id="rId301" ref="E66"/>
    <hyperlink r:id="rId302" ref="F66"/>
    <hyperlink r:id="rId303" ref="K66"/>
    <hyperlink r:id="rId304" ref="M66"/>
    <hyperlink r:id="rId305" ref="C67"/>
    <hyperlink r:id="rId306" ref="D67"/>
    <hyperlink r:id="rId307" ref="E67"/>
    <hyperlink r:id="rId308" ref="F67"/>
    <hyperlink r:id="rId309" ref="M67"/>
    <hyperlink r:id="rId310" ref="C68"/>
    <hyperlink r:id="rId311" ref="D68"/>
    <hyperlink r:id="rId312" ref="E68"/>
    <hyperlink r:id="rId313" ref="F68"/>
    <hyperlink r:id="rId314" ref="K68"/>
    <hyperlink r:id="rId315" ref="D69"/>
    <hyperlink r:id="rId316" ref="E69"/>
    <hyperlink r:id="rId317" ref="F69"/>
    <hyperlink r:id="rId318" ref="K69"/>
    <hyperlink r:id="rId319" ref="M69"/>
    <hyperlink r:id="rId320" ref="C70"/>
    <hyperlink r:id="rId321" ref="D70"/>
    <hyperlink r:id="rId322" ref="E70"/>
    <hyperlink r:id="rId323" ref="F70"/>
    <hyperlink r:id="rId324" ref="K70"/>
    <hyperlink r:id="rId325" ref="C71"/>
    <hyperlink r:id="rId326" ref="D71"/>
    <hyperlink r:id="rId327" ref="E71"/>
    <hyperlink r:id="rId328" ref="F71"/>
    <hyperlink r:id="rId329" ref="K71"/>
    <hyperlink r:id="rId330" ref="D72"/>
    <hyperlink r:id="rId331" ref="E72"/>
    <hyperlink r:id="rId332" ref="F72"/>
    <hyperlink r:id="rId333" ref="C73"/>
    <hyperlink r:id="rId334" ref="D73"/>
    <hyperlink r:id="rId335" ref="E73"/>
    <hyperlink r:id="rId336" ref="F73"/>
    <hyperlink r:id="rId337" ref="K73"/>
    <hyperlink r:id="rId338" ref="C74"/>
    <hyperlink r:id="rId339" ref="D74"/>
    <hyperlink r:id="rId340" ref="E74"/>
    <hyperlink r:id="rId341" ref="F74"/>
    <hyperlink r:id="rId342" ref="K74"/>
    <hyperlink r:id="rId343" ref="C75"/>
    <hyperlink r:id="rId344" ref="D75"/>
    <hyperlink r:id="rId345" ref="E75"/>
    <hyperlink r:id="rId346" ref="F75"/>
    <hyperlink r:id="rId347" ref="K75"/>
    <hyperlink r:id="rId348" ref="C76"/>
    <hyperlink r:id="rId349" ref="D76"/>
    <hyperlink r:id="rId350" ref="E76"/>
    <hyperlink r:id="rId351" ref="F76"/>
    <hyperlink r:id="rId352" ref="M76"/>
    <hyperlink r:id="rId353" ref="C77"/>
    <hyperlink r:id="rId354" ref="D77"/>
    <hyperlink r:id="rId355" ref="E77"/>
    <hyperlink r:id="rId356" ref="F77"/>
    <hyperlink r:id="rId357" ref="K77"/>
    <hyperlink r:id="rId358" ref="C78"/>
    <hyperlink r:id="rId359" ref="D78"/>
    <hyperlink r:id="rId360" ref="E78"/>
    <hyperlink r:id="rId361" ref="F78"/>
    <hyperlink r:id="rId362" ref="K78"/>
    <hyperlink r:id="rId363" ref="C79"/>
    <hyperlink r:id="rId364" ref="D79"/>
    <hyperlink r:id="rId365" ref="E79"/>
    <hyperlink r:id="rId366" ref="F79"/>
    <hyperlink r:id="rId367" ref="K79"/>
    <hyperlink r:id="rId368" ref="C80"/>
    <hyperlink r:id="rId369" ref="D80"/>
    <hyperlink r:id="rId370" ref="E80"/>
    <hyperlink r:id="rId371" ref="F80"/>
    <hyperlink r:id="rId372" ref="K80"/>
    <hyperlink r:id="rId373" ref="D81"/>
    <hyperlink r:id="rId374" ref="E81"/>
    <hyperlink r:id="rId375" ref="F81"/>
    <hyperlink r:id="rId376" ref="C82"/>
    <hyperlink r:id="rId377" ref="D82"/>
    <hyperlink r:id="rId378" ref="E82"/>
    <hyperlink r:id="rId379" ref="F82"/>
    <hyperlink r:id="rId380" ref="C83"/>
    <hyperlink r:id="rId381" ref="D83"/>
    <hyperlink r:id="rId382" ref="E83"/>
    <hyperlink r:id="rId383" ref="F83"/>
    <hyperlink r:id="rId384" ref="K83"/>
    <hyperlink r:id="rId385" ref="M83"/>
    <hyperlink r:id="rId386" ref="C84"/>
    <hyperlink r:id="rId387" ref="D84"/>
    <hyperlink r:id="rId388" ref="E84"/>
    <hyperlink r:id="rId389" ref="F84"/>
    <hyperlink r:id="rId390" ref="K84"/>
    <hyperlink r:id="rId391" ref="M84"/>
    <hyperlink r:id="rId392" ref="C85"/>
    <hyperlink r:id="rId393" ref="D85"/>
    <hyperlink r:id="rId394" ref="E85"/>
    <hyperlink r:id="rId395" ref="F85"/>
    <hyperlink r:id="rId396" ref="M85"/>
    <hyperlink r:id="rId397" ref="D86"/>
    <hyperlink r:id="rId398" ref="E86"/>
    <hyperlink r:id="rId399" ref="F86"/>
    <hyperlink r:id="rId400" ref="K86"/>
    <hyperlink r:id="rId401" ref="M86"/>
    <hyperlink r:id="rId402" ref="C87"/>
    <hyperlink r:id="rId403" ref="D87"/>
    <hyperlink r:id="rId404" ref="E87"/>
    <hyperlink r:id="rId405" ref="F87"/>
    <hyperlink r:id="rId406" ref="C88"/>
    <hyperlink r:id="rId407" ref="D88"/>
    <hyperlink r:id="rId408" ref="E88"/>
    <hyperlink r:id="rId409" ref="F88"/>
    <hyperlink r:id="rId410" ref="K88"/>
    <hyperlink r:id="rId411" ref="C89"/>
    <hyperlink r:id="rId412" ref="D89"/>
    <hyperlink r:id="rId413" ref="E89"/>
    <hyperlink r:id="rId414" ref="F89"/>
    <hyperlink r:id="rId415" ref="M89"/>
    <hyperlink r:id="rId416" ref="C90"/>
    <hyperlink r:id="rId417" ref="D90"/>
    <hyperlink r:id="rId418" ref="E90"/>
    <hyperlink r:id="rId419" ref="F90"/>
    <hyperlink r:id="rId420" ref="K90"/>
    <hyperlink r:id="rId421" ref="M90"/>
    <hyperlink r:id="rId422" ref="C91"/>
    <hyperlink r:id="rId423" ref="D91"/>
    <hyperlink r:id="rId424" ref="E91"/>
    <hyperlink r:id="rId425" ref="F91"/>
    <hyperlink r:id="rId426" ref="M91"/>
    <hyperlink r:id="rId427" ref="C92"/>
    <hyperlink r:id="rId428" ref="D92"/>
    <hyperlink r:id="rId429" ref="E92"/>
    <hyperlink r:id="rId430" ref="F92"/>
    <hyperlink r:id="rId431" ref="M92"/>
    <hyperlink r:id="rId432" ref="C93"/>
    <hyperlink r:id="rId433" ref="D93"/>
    <hyperlink r:id="rId434" ref="E93"/>
    <hyperlink r:id="rId435" ref="F93"/>
    <hyperlink r:id="rId436" ref="K93"/>
    <hyperlink r:id="rId437" ref="M93"/>
    <hyperlink r:id="rId438" ref="C94"/>
    <hyperlink r:id="rId439" ref="D94"/>
    <hyperlink r:id="rId440" ref="E94"/>
    <hyperlink r:id="rId441" ref="F94"/>
    <hyperlink r:id="rId442" ref="M94"/>
    <hyperlink r:id="rId443" ref="D95"/>
    <hyperlink r:id="rId444" ref="E95"/>
    <hyperlink r:id="rId445" ref="F95"/>
    <hyperlink r:id="rId446" ref="D96"/>
    <hyperlink r:id="rId447" ref="E96"/>
    <hyperlink r:id="rId448" ref="F96"/>
    <hyperlink r:id="rId449" ref="K96"/>
    <hyperlink r:id="rId450" ref="C97"/>
    <hyperlink r:id="rId451" ref="D97"/>
    <hyperlink r:id="rId452" ref="E97"/>
    <hyperlink r:id="rId453" ref="F97"/>
    <hyperlink r:id="rId454" ref="M97"/>
    <hyperlink r:id="rId455" ref="C98"/>
    <hyperlink r:id="rId456" ref="D98"/>
    <hyperlink r:id="rId457" ref="E98"/>
    <hyperlink r:id="rId458" ref="F98"/>
    <hyperlink r:id="rId459" ref="C99"/>
    <hyperlink r:id="rId460" ref="D99"/>
    <hyperlink r:id="rId461" ref="E99"/>
    <hyperlink r:id="rId462" ref="F99"/>
    <hyperlink r:id="rId463" ref="K99"/>
    <hyperlink r:id="rId464" ref="C100"/>
    <hyperlink r:id="rId465" ref="D100"/>
    <hyperlink r:id="rId466" ref="E100"/>
    <hyperlink r:id="rId467" ref="F100"/>
    <hyperlink r:id="rId468" ref="K100"/>
    <hyperlink r:id="rId469" ref="C101"/>
    <hyperlink r:id="rId470" ref="D101"/>
    <hyperlink r:id="rId471" ref="E101"/>
    <hyperlink r:id="rId472" ref="F101"/>
    <hyperlink r:id="rId473" ref="K101"/>
    <hyperlink r:id="rId474" ref="C102"/>
    <hyperlink r:id="rId475" ref="D102"/>
    <hyperlink r:id="rId476" ref="E102"/>
    <hyperlink r:id="rId477" ref="F102"/>
    <hyperlink r:id="rId478" ref="K102"/>
    <hyperlink r:id="rId479" ref="M102"/>
    <hyperlink r:id="rId480" ref="C103"/>
    <hyperlink r:id="rId481" ref="D103"/>
    <hyperlink r:id="rId482" ref="E103"/>
    <hyperlink r:id="rId483" ref="F103"/>
    <hyperlink r:id="rId484" ref="K103"/>
    <hyperlink r:id="rId485" ref="C104"/>
    <hyperlink r:id="rId486" ref="D104"/>
    <hyperlink r:id="rId487" ref="E104"/>
    <hyperlink r:id="rId488" ref="F104"/>
    <hyperlink r:id="rId489" ref="K104"/>
    <hyperlink r:id="rId490" ref="C105"/>
    <hyperlink r:id="rId491" ref="D105"/>
    <hyperlink r:id="rId492" ref="E105"/>
    <hyperlink r:id="rId493" ref="F105"/>
    <hyperlink r:id="rId494" ref="K105"/>
    <hyperlink r:id="rId495" ref="C106"/>
    <hyperlink r:id="rId496" ref="D106"/>
    <hyperlink r:id="rId497" ref="E106"/>
    <hyperlink r:id="rId498" ref="F106"/>
    <hyperlink r:id="rId499" ref="C107"/>
    <hyperlink r:id="rId500" ref="D107"/>
    <hyperlink r:id="rId501" ref="E107"/>
    <hyperlink r:id="rId502" ref="F107"/>
    <hyperlink r:id="rId503" ref="K107"/>
    <hyperlink r:id="rId504" ref="C108"/>
    <hyperlink r:id="rId505" ref="D108"/>
    <hyperlink r:id="rId506" ref="E108"/>
    <hyperlink r:id="rId507" ref="F108"/>
    <hyperlink r:id="rId508" ref="K108"/>
    <hyperlink r:id="rId509" ref="C109"/>
    <hyperlink r:id="rId510" ref="D109"/>
    <hyperlink r:id="rId511" ref="E109"/>
    <hyperlink r:id="rId512" ref="F109"/>
    <hyperlink r:id="rId513" ref="K109"/>
    <hyperlink r:id="rId514" ref="C110"/>
    <hyperlink r:id="rId515" ref="D110"/>
    <hyperlink r:id="rId516" ref="E110"/>
    <hyperlink r:id="rId517" ref="F110"/>
    <hyperlink r:id="rId518" ref="K110"/>
    <hyperlink r:id="rId519" ref="C111"/>
    <hyperlink r:id="rId520" ref="D111"/>
    <hyperlink r:id="rId521" ref="E111"/>
    <hyperlink r:id="rId522" ref="F111"/>
    <hyperlink r:id="rId523" ref="K111"/>
    <hyperlink r:id="rId524" ref="D112"/>
    <hyperlink r:id="rId525" ref="E112"/>
    <hyperlink r:id="rId526" ref="F112"/>
    <hyperlink r:id="rId527" ref="C113"/>
    <hyperlink r:id="rId528" ref="D113"/>
    <hyperlink r:id="rId529" ref="E113"/>
    <hyperlink r:id="rId530" ref="F113"/>
    <hyperlink r:id="rId531" ref="K113"/>
    <hyperlink r:id="rId532" ref="M113"/>
    <hyperlink r:id="rId533" ref="D114"/>
    <hyperlink r:id="rId534" ref="E114"/>
    <hyperlink r:id="rId535" ref="F114"/>
    <hyperlink r:id="rId536" ref="K114"/>
    <hyperlink r:id="rId537" ref="C115"/>
    <hyperlink r:id="rId538" ref="D115"/>
    <hyperlink r:id="rId539" ref="E115"/>
    <hyperlink r:id="rId540" ref="F115"/>
    <hyperlink r:id="rId541" ref="C116"/>
    <hyperlink r:id="rId542" ref="D116"/>
    <hyperlink r:id="rId543" ref="E116"/>
    <hyperlink r:id="rId544" ref="F116"/>
    <hyperlink r:id="rId545" ref="C117"/>
    <hyperlink r:id="rId546" ref="D117"/>
    <hyperlink r:id="rId547" ref="E117"/>
    <hyperlink r:id="rId548" ref="F117"/>
    <hyperlink r:id="rId549" ref="K117"/>
    <hyperlink r:id="rId550" ref="C118"/>
    <hyperlink r:id="rId551" ref="D118"/>
    <hyperlink r:id="rId552" ref="E118"/>
    <hyperlink r:id="rId553" ref="F118"/>
    <hyperlink r:id="rId554" ref="K118"/>
    <hyperlink r:id="rId555" ref="C119"/>
    <hyperlink r:id="rId556" ref="D119"/>
    <hyperlink r:id="rId557" ref="E119"/>
    <hyperlink r:id="rId558" ref="F119"/>
    <hyperlink r:id="rId559" ref="M119"/>
    <hyperlink r:id="rId560" ref="D120"/>
    <hyperlink r:id="rId561" ref="E120"/>
    <hyperlink r:id="rId562" ref="F120"/>
    <hyperlink r:id="rId563" ref="M120"/>
    <hyperlink r:id="rId564" ref="D121"/>
    <hyperlink r:id="rId565" ref="E121"/>
    <hyperlink r:id="rId566" ref="F121"/>
    <hyperlink r:id="rId567" ref="K121"/>
    <hyperlink r:id="rId568" ref="C122"/>
    <hyperlink r:id="rId569" ref="D122"/>
    <hyperlink r:id="rId570" ref="E122"/>
    <hyperlink r:id="rId571" ref="F122"/>
    <hyperlink r:id="rId572" ref="K122"/>
    <hyperlink r:id="rId573" ref="C123"/>
    <hyperlink r:id="rId574" ref="D123"/>
    <hyperlink r:id="rId575" ref="E123"/>
    <hyperlink r:id="rId576" ref="F123"/>
    <hyperlink r:id="rId577" ref="K123"/>
    <hyperlink r:id="rId578" ref="C124"/>
    <hyperlink r:id="rId579" ref="D124"/>
    <hyperlink r:id="rId580" ref="E124"/>
    <hyperlink r:id="rId581" ref="F124"/>
    <hyperlink r:id="rId582" ref="C125"/>
    <hyperlink r:id="rId583" ref="D125"/>
    <hyperlink r:id="rId584" ref="E125"/>
    <hyperlink r:id="rId585" ref="F125"/>
    <hyperlink r:id="rId586" ref="K125"/>
    <hyperlink r:id="rId587" ref="M125"/>
    <hyperlink r:id="rId588" ref="C126"/>
    <hyperlink r:id="rId589" ref="D126"/>
    <hyperlink r:id="rId590" ref="E126"/>
    <hyperlink r:id="rId591" ref="F126"/>
    <hyperlink r:id="rId592" ref="K126"/>
    <hyperlink r:id="rId593" ref="M126"/>
    <hyperlink r:id="rId594" ref="C127"/>
    <hyperlink r:id="rId595" ref="D127"/>
    <hyperlink r:id="rId596" ref="E127"/>
    <hyperlink r:id="rId597" ref="F127"/>
    <hyperlink r:id="rId598" ref="K127"/>
    <hyperlink r:id="rId599" ref="D128"/>
    <hyperlink r:id="rId600" ref="E128"/>
    <hyperlink r:id="rId601" ref="F128"/>
    <hyperlink r:id="rId602" ref="C129"/>
    <hyperlink r:id="rId603" ref="D129"/>
    <hyperlink r:id="rId604" ref="E129"/>
    <hyperlink r:id="rId605" ref="F129"/>
    <hyperlink r:id="rId606" ref="C130"/>
    <hyperlink r:id="rId607" ref="D130"/>
    <hyperlink r:id="rId608" ref="E130"/>
    <hyperlink r:id="rId609" ref="F130"/>
    <hyperlink r:id="rId610" ref="K130"/>
    <hyperlink r:id="rId611" ref="C131"/>
    <hyperlink r:id="rId612" ref="D131"/>
    <hyperlink r:id="rId613" ref="E131"/>
    <hyperlink r:id="rId614" ref="F131"/>
    <hyperlink r:id="rId615" ref="D132"/>
    <hyperlink r:id="rId616" ref="E132"/>
    <hyperlink r:id="rId617" ref="F132"/>
    <hyperlink r:id="rId618" ref="K132"/>
    <hyperlink r:id="rId619" ref="C133"/>
    <hyperlink r:id="rId620" ref="D133"/>
    <hyperlink r:id="rId621" ref="E133"/>
    <hyperlink r:id="rId622" ref="F133"/>
    <hyperlink r:id="rId623" ref="D134"/>
    <hyperlink r:id="rId624" ref="E134"/>
    <hyperlink r:id="rId625" ref="F134"/>
    <hyperlink r:id="rId626" ref="K134"/>
    <hyperlink r:id="rId627" ref="C135"/>
    <hyperlink r:id="rId628" ref="D135"/>
    <hyperlink r:id="rId629" ref="E135"/>
    <hyperlink r:id="rId630" ref="F135"/>
    <hyperlink r:id="rId631" ref="C136"/>
    <hyperlink r:id="rId632" ref="D136"/>
    <hyperlink r:id="rId633" ref="E136"/>
    <hyperlink r:id="rId634" ref="F136"/>
    <hyperlink r:id="rId635" ref="C137"/>
    <hyperlink r:id="rId636" ref="D137"/>
    <hyperlink r:id="rId637" ref="E137"/>
    <hyperlink r:id="rId638" ref="F137"/>
    <hyperlink r:id="rId639" ref="K137"/>
    <hyperlink r:id="rId640" ref="C138"/>
    <hyperlink r:id="rId641" ref="D138"/>
    <hyperlink r:id="rId642" ref="E138"/>
    <hyperlink r:id="rId643" ref="F138"/>
    <hyperlink r:id="rId644" ref="K138"/>
    <hyperlink r:id="rId645" ref="M138"/>
    <hyperlink r:id="rId646" ref="C139"/>
    <hyperlink r:id="rId647" ref="D139"/>
    <hyperlink r:id="rId648" ref="E139"/>
    <hyperlink r:id="rId649" ref="F139"/>
    <hyperlink r:id="rId650" ref="D140"/>
    <hyperlink r:id="rId651" ref="E140"/>
    <hyperlink r:id="rId652" ref="F140"/>
    <hyperlink r:id="rId653" ref="C141"/>
    <hyperlink r:id="rId654" ref="D141"/>
    <hyperlink r:id="rId655" ref="E141"/>
    <hyperlink r:id="rId656" ref="F141"/>
    <hyperlink r:id="rId657" ref="K141"/>
    <hyperlink r:id="rId658" ref="D142"/>
    <hyperlink r:id="rId659" ref="E142"/>
    <hyperlink r:id="rId660" ref="F142"/>
    <hyperlink r:id="rId661" ref="D143"/>
    <hyperlink r:id="rId662" ref="E143"/>
    <hyperlink r:id="rId663" ref="F143"/>
    <hyperlink r:id="rId664" ref="D144"/>
    <hyperlink r:id="rId665" ref="E144"/>
    <hyperlink r:id="rId666" ref="F144"/>
    <hyperlink r:id="rId667" ref="K144"/>
    <hyperlink r:id="rId668" ref="M144"/>
    <hyperlink r:id="rId669" ref="D145"/>
    <hyperlink r:id="rId670" ref="E145"/>
    <hyperlink r:id="rId671" ref="F145"/>
    <hyperlink r:id="rId672" ref="M145"/>
    <hyperlink r:id="rId673" ref="C146"/>
    <hyperlink r:id="rId674" ref="D146"/>
    <hyperlink r:id="rId675" ref="E146"/>
    <hyperlink r:id="rId676" ref="F146"/>
    <hyperlink r:id="rId677" ref="K146"/>
    <hyperlink r:id="rId678" ref="D147"/>
    <hyperlink r:id="rId679" ref="E147"/>
    <hyperlink r:id="rId680" ref="F147"/>
    <hyperlink r:id="rId681" ref="D148"/>
    <hyperlink r:id="rId682" ref="E148"/>
    <hyperlink r:id="rId683" ref="F148"/>
    <hyperlink r:id="rId684" ref="C149"/>
    <hyperlink r:id="rId685" ref="D149"/>
    <hyperlink r:id="rId686" ref="E149"/>
    <hyperlink r:id="rId687" ref="F149"/>
    <hyperlink r:id="rId688" ref="K149"/>
    <hyperlink r:id="rId689" ref="D150"/>
    <hyperlink r:id="rId690" ref="E150"/>
    <hyperlink r:id="rId691" ref="F150"/>
    <hyperlink r:id="rId692" ref="K150"/>
    <hyperlink r:id="rId693" ref="C151"/>
    <hyperlink r:id="rId694" ref="D151"/>
    <hyperlink r:id="rId695" ref="E151"/>
    <hyperlink r:id="rId696" ref="F151"/>
    <hyperlink r:id="rId697" ref="K151"/>
    <hyperlink r:id="rId698" ref="M151"/>
    <hyperlink r:id="rId699" ref="C152"/>
    <hyperlink r:id="rId700" ref="D152"/>
    <hyperlink r:id="rId701" ref="E152"/>
    <hyperlink r:id="rId702" ref="F152"/>
    <hyperlink r:id="rId703" ref="M152"/>
    <hyperlink r:id="rId704" ref="C153"/>
    <hyperlink r:id="rId705" ref="D153"/>
    <hyperlink r:id="rId706" ref="E153"/>
    <hyperlink r:id="rId707" ref="F153"/>
    <hyperlink r:id="rId708" ref="C154"/>
    <hyperlink r:id="rId709" ref="D154"/>
    <hyperlink r:id="rId710" ref="E154"/>
    <hyperlink r:id="rId711" ref="F154"/>
    <hyperlink r:id="rId712" ref="K154"/>
    <hyperlink r:id="rId713" ref="D155"/>
    <hyperlink r:id="rId714" ref="E155"/>
    <hyperlink r:id="rId715" ref="F155"/>
    <hyperlink r:id="rId716" ref="C156"/>
    <hyperlink r:id="rId717" ref="D156"/>
    <hyperlink r:id="rId718" ref="E156"/>
    <hyperlink r:id="rId719" ref="F156"/>
    <hyperlink r:id="rId720" ref="K156"/>
    <hyperlink r:id="rId721" ref="D157"/>
    <hyperlink r:id="rId722" ref="E157"/>
    <hyperlink r:id="rId723" ref="F157"/>
    <hyperlink r:id="rId724" ref="K157"/>
    <hyperlink r:id="rId725" ref="C158"/>
    <hyperlink r:id="rId726" ref="D158"/>
    <hyperlink r:id="rId727" ref="E158"/>
    <hyperlink r:id="rId728" ref="F158"/>
    <hyperlink r:id="rId729" ref="C159"/>
    <hyperlink r:id="rId730" ref="D159"/>
    <hyperlink r:id="rId731" ref="E159"/>
    <hyperlink r:id="rId732" ref="F159"/>
    <hyperlink r:id="rId733" ref="D160"/>
    <hyperlink r:id="rId734" ref="E160"/>
    <hyperlink r:id="rId735" ref="F160"/>
    <hyperlink r:id="rId736" ref="K160"/>
    <hyperlink r:id="rId737" ref="C161"/>
    <hyperlink r:id="rId738" ref="D161"/>
    <hyperlink r:id="rId739" ref="E161"/>
    <hyperlink r:id="rId740" ref="F161"/>
    <hyperlink r:id="rId741" ref="K161"/>
    <hyperlink r:id="rId742" ref="C162"/>
    <hyperlink r:id="rId743" ref="D162"/>
    <hyperlink r:id="rId744" ref="E162"/>
    <hyperlink r:id="rId745" ref="F162"/>
    <hyperlink r:id="rId746" ref="K162"/>
    <hyperlink r:id="rId747" ref="C163"/>
    <hyperlink r:id="rId748" ref="D163"/>
    <hyperlink r:id="rId749" ref="E163"/>
    <hyperlink r:id="rId750" ref="F163"/>
    <hyperlink r:id="rId751" ref="K163"/>
    <hyperlink r:id="rId752" ref="D164"/>
    <hyperlink r:id="rId753" ref="E164"/>
    <hyperlink r:id="rId754" ref="F164"/>
    <hyperlink r:id="rId755" ref="C165"/>
    <hyperlink r:id="rId756" ref="D165"/>
    <hyperlink r:id="rId757" ref="E165"/>
    <hyperlink r:id="rId758" ref="F165"/>
    <hyperlink r:id="rId759" ref="K165"/>
    <hyperlink r:id="rId760" ref="M165"/>
    <hyperlink r:id="rId761" ref="C166"/>
    <hyperlink r:id="rId762" ref="D166"/>
    <hyperlink r:id="rId763" ref="E166"/>
    <hyperlink r:id="rId764" ref="F166"/>
    <hyperlink r:id="rId765" ref="K166"/>
    <hyperlink r:id="rId766" ref="C167"/>
    <hyperlink r:id="rId767" ref="D167"/>
    <hyperlink r:id="rId768" ref="E167"/>
    <hyperlink r:id="rId769" ref="F167"/>
    <hyperlink r:id="rId770" ref="K167"/>
    <hyperlink r:id="rId771" ref="C168"/>
    <hyperlink r:id="rId772" ref="D168"/>
    <hyperlink r:id="rId773" ref="E168"/>
    <hyperlink r:id="rId774" ref="F168"/>
    <hyperlink r:id="rId775" ref="D169"/>
    <hyperlink r:id="rId776" ref="E169"/>
    <hyperlink r:id="rId777" ref="F169"/>
    <hyperlink r:id="rId778" ref="C170"/>
    <hyperlink r:id="rId779" ref="D170"/>
    <hyperlink r:id="rId780" ref="E170"/>
    <hyperlink r:id="rId781" ref="F170"/>
    <hyperlink r:id="rId782" ref="C171"/>
    <hyperlink r:id="rId783" ref="D171"/>
    <hyperlink r:id="rId784" ref="E171"/>
    <hyperlink r:id="rId785" ref="F171"/>
    <hyperlink r:id="rId786" ref="K171"/>
    <hyperlink r:id="rId787" ref="C172"/>
    <hyperlink r:id="rId788" ref="D172"/>
    <hyperlink r:id="rId789" ref="E172"/>
    <hyperlink r:id="rId790" ref="F172"/>
    <hyperlink r:id="rId791" ref="C173"/>
    <hyperlink r:id="rId792" ref="D173"/>
    <hyperlink r:id="rId793" ref="E173"/>
    <hyperlink r:id="rId794" ref="F173"/>
    <hyperlink r:id="rId795" ref="D174"/>
    <hyperlink r:id="rId796" ref="E174"/>
    <hyperlink r:id="rId797" ref="F174"/>
    <hyperlink r:id="rId798" ref="C175"/>
    <hyperlink r:id="rId799" ref="D175"/>
    <hyperlink r:id="rId800" ref="E175"/>
    <hyperlink r:id="rId801" ref="F175"/>
    <hyperlink r:id="rId802" ref="M175"/>
    <hyperlink r:id="rId803" ref="D176"/>
    <hyperlink r:id="rId804" ref="E176"/>
    <hyperlink r:id="rId805" ref="F176"/>
    <hyperlink r:id="rId806" ref="D177"/>
    <hyperlink r:id="rId807" ref="E177"/>
    <hyperlink r:id="rId808" ref="F177"/>
    <hyperlink r:id="rId809" ref="C178"/>
    <hyperlink r:id="rId810" ref="D178"/>
    <hyperlink r:id="rId811" ref="E178"/>
    <hyperlink r:id="rId812" ref="F178"/>
    <hyperlink r:id="rId813" ref="D179"/>
    <hyperlink r:id="rId814" ref="E179"/>
    <hyperlink r:id="rId815" ref="F179"/>
    <hyperlink r:id="rId816" ref="K179"/>
    <hyperlink r:id="rId817" ref="C180"/>
    <hyperlink r:id="rId818" ref="D180"/>
    <hyperlink r:id="rId819" ref="E180"/>
    <hyperlink r:id="rId820" ref="F180"/>
    <hyperlink r:id="rId821" ref="C181"/>
    <hyperlink r:id="rId822" ref="D181"/>
    <hyperlink r:id="rId823" ref="E181"/>
    <hyperlink r:id="rId824" ref="F181"/>
    <hyperlink r:id="rId825" ref="D182"/>
    <hyperlink r:id="rId826" ref="E182"/>
    <hyperlink r:id="rId827" ref="F182"/>
    <hyperlink r:id="rId828" ref="D183"/>
    <hyperlink r:id="rId829" ref="E183"/>
    <hyperlink r:id="rId830" ref="F183"/>
    <hyperlink r:id="rId831" ref="K183"/>
    <hyperlink r:id="rId832" ref="C184"/>
    <hyperlink r:id="rId833" ref="D184"/>
    <hyperlink r:id="rId834" ref="E184"/>
    <hyperlink r:id="rId835" ref="F184"/>
    <hyperlink r:id="rId836" ref="M184"/>
    <hyperlink r:id="rId837" ref="C185"/>
    <hyperlink r:id="rId838" ref="D185"/>
    <hyperlink r:id="rId839" ref="E185"/>
    <hyperlink r:id="rId840" ref="F185"/>
    <hyperlink r:id="rId841" ref="C186"/>
    <hyperlink r:id="rId842" ref="D186"/>
    <hyperlink r:id="rId843" ref="E186"/>
    <hyperlink r:id="rId844" ref="F186"/>
    <hyperlink r:id="rId845" ref="M186"/>
    <hyperlink r:id="rId846" ref="D187"/>
    <hyperlink r:id="rId847" ref="E187"/>
    <hyperlink r:id="rId848" ref="F187"/>
    <hyperlink r:id="rId849" ref="C188"/>
    <hyperlink r:id="rId850" ref="D188"/>
    <hyperlink r:id="rId851" ref="E188"/>
    <hyperlink r:id="rId852" ref="F188"/>
    <hyperlink r:id="rId853" ref="K188"/>
    <hyperlink r:id="rId854" ref="C189"/>
    <hyperlink r:id="rId855" ref="D189"/>
    <hyperlink r:id="rId856" ref="E189"/>
    <hyperlink r:id="rId857" ref="F189"/>
    <hyperlink r:id="rId858" ref="D190"/>
    <hyperlink r:id="rId859" ref="E190"/>
    <hyperlink r:id="rId860" ref="F190"/>
    <hyperlink r:id="rId861" ref="D191"/>
    <hyperlink r:id="rId862" ref="E191"/>
    <hyperlink r:id="rId863" ref="F191"/>
    <hyperlink r:id="rId864" ref="D192"/>
    <hyperlink r:id="rId865" ref="E192"/>
    <hyperlink r:id="rId866" ref="F192"/>
    <hyperlink r:id="rId867" ref="K192"/>
    <hyperlink r:id="rId868" ref="C193"/>
    <hyperlink r:id="rId869" ref="D193"/>
    <hyperlink r:id="rId870" ref="E193"/>
    <hyperlink r:id="rId871" ref="F193"/>
    <hyperlink r:id="rId872" ref="D194"/>
    <hyperlink r:id="rId873" ref="E194"/>
    <hyperlink r:id="rId874" ref="F194"/>
    <hyperlink r:id="rId875" ref="D195"/>
    <hyperlink r:id="rId876" ref="E195"/>
    <hyperlink r:id="rId877" ref="F195"/>
    <hyperlink r:id="rId878" ref="K195"/>
    <hyperlink r:id="rId879" ref="M195"/>
    <hyperlink r:id="rId880" ref="C196"/>
    <hyperlink r:id="rId881" ref="D196"/>
    <hyperlink r:id="rId882" ref="E196"/>
    <hyperlink r:id="rId883" ref="F196"/>
    <hyperlink r:id="rId884" ref="K196"/>
    <hyperlink r:id="rId885" ref="C197"/>
    <hyperlink r:id="rId886" ref="D197"/>
    <hyperlink r:id="rId887" ref="E197"/>
    <hyperlink r:id="rId888" ref="F197"/>
    <hyperlink r:id="rId889" ref="K197"/>
    <hyperlink r:id="rId890" ref="D198"/>
    <hyperlink r:id="rId891" ref="E198"/>
    <hyperlink r:id="rId892" ref="F198"/>
    <hyperlink r:id="rId893" ref="K198"/>
    <hyperlink r:id="rId894" ref="D199"/>
    <hyperlink r:id="rId895" ref="E199"/>
    <hyperlink r:id="rId896" ref="F199"/>
    <hyperlink r:id="rId897" ref="D200"/>
    <hyperlink r:id="rId898" ref="E200"/>
    <hyperlink r:id="rId899" ref="F200"/>
    <hyperlink r:id="rId900" ref="D201"/>
    <hyperlink r:id="rId901" ref="E201"/>
    <hyperlink r:id="rId902" ref="F201"/>
    <hyperlink r:id="rId903" ref="C202"/>
    <hyperlink r:id="rId904" ref="D202"/>
    <hyperlink r:id="rId905" ref="E202"/>
    <hyperlink r:id="rId906" ref="F202"/>
    <hyperlink r:id="rId907" ref="K202"/>
    <hyperlink r:id="rId908" ref="C203"/>
    <hyperlink r:id="rId909" ref="D203"/>
    <hyperlink r:id="rId910" ref="E203"/>
    <hyperlink r:id="rId911" ref="F203"/>
    <hyperlink r:id="rId912" ref="D204"/>
    <hyperlink r:id="rId913" ref="E204"/>
    <hyperlink r:id="rId914" ref="F204"/>
    <hyperlink r:id="rId915" ref="C205"/>
    <hyperlink r:id="rId916" ref="D205"/>
    <hyperlink r:id="rId917" ref="E205"/>
    <hyperlink r:id="rId918" ref="F205"/>
    <hyperlink r:id="rId919" ref="C206"/>
    <hyperlink r:id="rId920" ref="D206"/>
    <hyperlink r:id="rId921" ref="E206"/>
    <hyperlink r:id="rId922" ref="F206"/>
    <hyperlink r:id="rId923" ref="K206"/>
    <hyperlink r:id="rId924" ref="D207"/>
    <hyperlink r:id="rId925" ref="E207"/>
    <hyperlink r:id="rId926" ref="F207"/>
    <hyperlink r:id="rId927" ref="C208"/>
    <hyperlink r:id="rId928" ref="D208"/>
    <hyperlink r:id="rId929" ref="E208"/>
    <hyperlink r:id="rId930" ref="F208"/>
    <hyperlink r:id="rId931" ref="D209"/>
    <hyperlink r:id="rId932" ref="E209"/>
    <hyperlink r:id="rId933" ref="F209"/>
    <hyperlink r:id="rId934" ref="C210"/>
    <hyperlink r:id="rId935" ref="D210"/>
    <hyperlink r:id="rId936" ref="E210"/>
    <hyperlink r:id="rId937" ref="F210"/>
    <hyperlink r:id="rId938" ref="D211"/>
    <hyperlink r:id="rId939" ref="E211"/>
    <hyperlink r:id="rId940" ref="F211"/>
    <hyperlink r:id="rId941" ref="K211"/>
    <hyperlink r:id="rId942" ref="C212"/>
    <hyperlink r:id="rId943" ref="D212"/>
    <hyperlink r:id="rId944" ref="E212"/>
    <hyperlink r:id="rId945" ref="F212"/>
    <hyperlink r:id="rId946" ref="K212"/>
    <hyperlink r:id="rId947" ref="D213"/>
    <hyperlink r:id="rId948" ref="E213"/>
    <hyperlink r:id="rId949" ref="F213"/>
    <hyperlink r:id="rId950" ref="C214"/>
    <hyperlink r:id="rId951" ref="D214"/>
    <hyperlink r:id="rId952" ref="E214"/>
    <hyperlink r:id="rId953" ref="F214"/>
    <hyperlink r:id="rId954" ref="M214"/>
    <hyperlink r:id="rId955" ref="D215"/>
    <hyperlink r:id="rId956" ref="E215"/>
    <hyperlink r:id="rId957" ref="F215"/>
    <hyperlink r:id="rId958" ref="D216"/>
    <hyperlink r:id="rId959" ref="E216"/>
    <hyperlink r:id="rId960" ref="F216"/>
    <hyperlink r:id="rId961" ref="D217"/>
    <hyperlink r:id="rId962" ref="E217"/>
    <hyperlink r:id="rId963" ref="F217"/>
    <hyperlink r:id="rId964" ref="D218"/>
    <hyperlink r:id="rId965" ref="E218"/>
    <hyperlink r:id="rId966" ref="F218"/>
    <hyperlink r:id="rId967" ref="D219"/>
    <hyperlink r:id="rId968" ref="E219"/>
    <hyperlink r:id="rId969" ref="F219"/>
    <hyperlink r:id="rId970" ref="C220"/>
    <hyperlink r:id="rId971" ref="D220"/>
    <hyperlink r:id="rId972" ref="E220"/>
    <hyperlink r:id="rId973" ref="F220"/>
    <hyperlink r:id="rId974" ref="K220"/>
    <hyperlink r:id="rId975" ref="C221"/>
    <hyperlink r:id="rId976" ref="D221"/>
    <hyperlink r:id="rId977" ref="E221"/>
    <hyperlink r:id="rId978" ref="F221"/>
    <hyperlink r:id="rId979" ref="K221"/>
    <hyperlink r:id="rId980" ref="D222"/>
    <hyperlink r:id="rId981" ref="E222"/>
    <hyperlink r:id="rId982" ref="F222"/>
    <hyperlink r:id="rId983" ref="C223"/>
    <hyperlink r:id="rId984" ref="D223"/>
    <hyperlink r:id="rId985" ref="E223"/>
    <hyperlink r:id="rId986" ref="F223"/>
    <hyperlink r:id="rId987" ref="K223"/>
    <hyperlink r:id="rId988" ref="M223"/>
    <hyperlink r:id="rId989" ref="D224"/>
    <hyperlink r:id="rId990" ref="E224"/>
    <hyperlink r:id="rId991" ref="F224"/>
    <hyperlink r:id="rId992" ref="C225"/>
    <hyperlink r:id="rId993" ref="D225"/>
    <hyperlink r:id="rId994" ref="E225"/>
    <hyperlink r:id="rId995" ref="F225"/>
    <hyperlink r:id="rId996" ref="D226"/>
    <hyperlink r:id="rId997" ref="E226"/>
    <hyperlink r:id="rId998" ref="F226"/>
    <hyperlink r:id="rId999" ref="C227"/>
    <hyperlink r:id="rId1000" ref="D227"/>
    <hyperlink r:id="rId1001" ref="E227"/>
    <hyperlink r:id="rId1002" ref="F227"/>
    <hyperlink r:id="rId1003" ref="C228"/>
    <hyperlink r:id="rId1004" ref="D228"/>
    <hyperlink r:id="rId1005" ref="E228"/>
    <hyperlink r:id="rId1006" ref="F228"/>
    <hyperlink r:id="rId1007" ref="C229"/>
    <hyperlink r:id="rId1008" ref="D229"/>
    <hyperlink r:id="rId1009" ref="E229"/>
    <hyperlink r:id="rId1010" ref="F229"/>
    <hyperlink r:id="rId1011" ref="C230"/>
    <hyperlink r:id="rId1012" ref="D230"/>
    <hyperlink r:id="rId1013" ref="E230"/>
    <hyperlink r:id="rId1014" ref="F230"/>
    <hyperlink r:id="rId1015" ref="K230"/>
    <hyperlink r:id="rId1016" ref="D231"/>
    <hyperlink r:id="rId1017" ref="E231"/>
    <hyperlink r:id="rId1018" ref="F231"/>
    <hyperlink r:id="rId1019" ref="K231"/>
    <hyperlink r:id="rId1020" ref="M231"/>
    <hyperlink r:id="rId1021" ref="D232"/>
    <hyperlink r:id="rId1022" ref="E232"/>
    <hyperlink r:id="rId1023" ref="F232"/>
    <hyperlink r:id="rId1024" ref="D233"/>
    <hyperlink r:id="rId1025" ref="E233"/>
    <hyperlink r:id="rId1026" ref="F233"/>
    <hyperlink r:id="rId1027" ref="C234"/>
    <hyperlink r:id="rId1028" ref="D234"/>
    <hyperlink r:id="rId1029" ref="E234"/>
    <hyperlink r:id="rId1030" ref="F234"/>
    <hyperlink r:id="rId1031" ref="K234"/>
    <hyperlink r:id="rId1032" ref="C235"/>
    <hyperlink r:id="rId1033" ref="D235"/>
    <hyperlink r:id="rId1034" ref="E235"/>
    <hyperlink r:id="rId1035" ref="F235"/>
    <hyperlink r:id="rId1036" ref="M235"/>
    <hyperlink r:id="rId1037" ref="D236"/>
    <hyperlink r:id="rId1038" ref="E236"/>
    <hyperlink r:id="rId1039" ref="F236"/>
    <hyperlink r:id="rId1040" ref="C237"/>
    <hyperlink r:id="rId1041" ref="D237"/>
    <hyperlink r:id="rId1042" ref="E237"/>
    <hyperlink r:id="rId1043" ref="F237"/>
    <hyperlink r:id="rId1044" ref="K237"/>
    <hyperlink r:id="rId1045" ref="D238"/>
    <hyperlink r:id="rId1046" ref="E238"/>
    <hyperlink r:id="rId1047" ref="F238"/>
    <hyperlink r:id="rId1048" ref="D239"/>
    <hyperlink r:id="rId1049" ref="E239"/>
    <hyperlink r:id="rId1050" ref="F239"/>
    <hyperlink r:id="rId1051" ref="C240"/>
    <hyperlink r:id="rId1052" ref="D240"/>
    <hyperlink r:id="rId1053" ref="E240"/>
    <hyperlink r:id="rId1054" ref="F240"/>
    <hyperlink r:id="rId1055" ref="D241"/>
    <hyperlink r:id="rId1056" ref="E241"/>
    <hyperlink r:id="rId1057" ref="F241"/>
    <hyperlink r:id="rId1058" ref="C242"/>
    <hyperlink r:id="rId1059" ref="D242"/>
    <hyperlink r:id="rId1060" ref="E242"/>
    <hyperlink r:id="rId1061" ref="F242"/>
    <hyperlink r:id="rId1062" ref="K242"/>
    <hyperlink r:id="rId1063" ref="D243"/>
    <hyperlink r:id="rId1064" ref="E243"/>
    <hyperlink r:id="rId1065" ref="F243"/>
    <hyperlink r:id="rId1066" ref="C244"/>
    <hyperlink r:id="rId1067" ref="D244"/>
    <hyperlink r:id="rId1068" ref="E244"/>
    <hyperlink r:id="rId1069" ref="F244"/>
    <hyperlink r:id="rId1070" ref="D245"/>
    <hyperlink r:id="rId1071" ref="E245"/>
    <hyperlink r:id="rId1072" ref="F245"/>
    <hyperlink r:id="rId1073" ref="D246"/>
    <hyperlink r:id="rId1074" ref="E246"/>
    <hyperlink r:id="rId1075" ref="F246"/>
    <hyperlink r:id="rId1076" ref="K246"/>
    <hyperlink r:id="rId1077" ref="M246"/>
    <hyperlink r:id="rId1078" ref="D247"/>
    <hyperlink r:id="rId1079" ref="E247"/>
    <hyperlink r:id="rId1080" ref="F247"/>
    <hyperlink r:id="rId1081" ref="D248"/>
    <hyperlink r:id="rId1082" ref="E248"/>
    <hyperlink r:id="rId1083" ref="F248"/>
    <hyperlink r:id="rId1084" ref="D249"/>
    <hyperlink r:id="rId1085" ref="E249"/>
    <hyperlink r:id="rId1086" ref="F249"/>
    <hyperlink r:id="rId1087" ref="C250"/>
    <hyperlink r:id="rId1088" ref="D250"/>
    <hyperlink r:id="rId1089" ref="E250"/>
    <hyperlink r:id="rId1090" ref="F250"/>
    <hyperlink r:id="rId1091" ref="K250"/>
    <hyperlink r:id="rId1092" ref="D251"/>
    <hyperlink r:id="rId1093" ref="E251"/>
    <hyperlink r:id="rId1094" ref="F251"/>
    <hyperlink r:id="rId1095" ref="M251"/>
    <hyperlink r:id="rId1096" ref="C252"/>
    <hyperlink r:id="rId1097" ref="D252"/>
    <hyperlink r:id="rId1098" ref="E252"/>
    <hyperlink r:id="rId1099" ref="F252"/>
    <hyperlink r:id="rId1100" ref="C253"/>
    <hyperlink r:id="rId1101" ref="D253"/>
    <hyperlink r:id="rId1102" ref="E253"/>
    <hyperlink r:id="rId1103" ref="F253"/>
    <hyperlink r:id="rId1104" ref="C254"/>
    <hyperlink r:id="rId1105" ref="D254"/>
    <hyperlink r:id="rId1106" ref="E254"/>
    <hyperlink r:id="rId1107" ref="F254"/>
    <hyperlink r:id="rId1108" ref="K254"/>
    <hyperlink r:id="rId1109" ref="D255"/>
    <hyperlink r:id="rId1110" ref="E255"/>
    <hyperlink r:id="rId1111" ref="F255"/>
    <hyperlink r:id="rId1112" ref="D256"/>
    <hyperlink r:id="rId1113" ref="E256"/>
    <hyperlink r:id="rId1114" ref="F256"/>
    <hyperlink r:id="rId1115" ref="K256"/>
    <hyperlink r:id="rId1116" ref="D257"/>
    <hyperlink r:id="rId1117" ref="E257"/>
    <hyperlink r:id="rId1118" ref="F257"/>
    <hyperlink r:id="rId1119" ref="C258"/>
    <hyperlink r:id="rId1120" ref="D258"/>
    <hyperlink r:id="rId1121" ref="E258"/>
    <hyperlink r:id="rId1122" ref="F258"/>
    <hyperlink r:id="rId1123" ref="M258"/>
    <hyperlink r:id="rId1124" ref="D259"/>
    <hyperlink r:id="rId1125" ref="E259"/>
    <hyperlink r:id="rId1126" ref="F259"/>
    <hyperlink r:id="rId1127" ref="M259"/>
    <hyperlink r:id="rId1128" ref="D260"/>
    <hyperlink r:id="rId1129" ref="E260"/>
    <hyperlink r:id="rId1130" ref="F260"/>
    <hyperlink r:id="rId1131" ref="D261"/>
    <hyperlink r:id="rId1132" ref="E261"/>
    <hyperlink r:id="rId1133" ref="F261"/>
    <hyperlink r:id="rId1134" ref="K261"/>
    <hyperlink r:id="rId1135" ref="D262"/>
    <hyperlink r:id="rId1136" ref="E262"/>
    <hyperlink r:id="rId1137" ref="F262"/>
    <hyperlink r:id="rId1138" ref="M262"/>
    <hyperlink r:id="rId1139" ref="C263"/>
    <hyperlink r:id="rId1140" ref="D263"/>
    <hyperlink r:id="rId1141" ref="E263"/>
    <hyperlink r:id="rId1142" ref="F263"/>
    <hyperlink r:id="rId1143" ref="C264"/>
    <hyperlink r:id="rId1144" ref="D264"/>
    <hyperlink r:id="rId1145" ref="E264"/>
    <hyperlink r:id="rId1146" ref="F264"/>
    <hyperlink r:id="rId1147" ref="D265"/>
    <hyperlink r:id="rId1148" ref="E265"/>
    <hyperlink r:id="rId1149" ref="F265"/>
    <hyperlink r:id="rId1150" ref="D266"/>
    <hyperlink r:id="rId1151" ref="E266"/>
    <hyperlink r:id="rId1152" ref="F266"/>
    <hyperlink r:id="rId1153" ref="D267"/>
    <hyperlink r:id="rId1154" ref="E267"/>
    <hyperlink r:id="rId1155" ref="F267"/>
    <hyperlink r:id="rId1156" ref="C268"/>
    <hyperlink r:id="rId1157" ref="D268"/>
    <hyperlink r:id="rId1158" ref="E268"/>
    <hyperlink r:id="rId1159" ref="F268"/>
    <hyperlink r:id="rId1160" ref="K268"/>
    <hyperlink r:id="rId1161" ref="C269"/>
    <hyperlink r:id="rId1162" ref="D269"/>
    <hyperlink r:id="rId1163" ref="E269"/>
    <hyperlink r:id="rId1164" ref="F269"/>
    <hyperlink r:id="rId1165" ref="M269"/>
    <hyperlink r:id="rId1166" ref="D270"/>
    <hyperlink r:id="rId1167" ref="E270"/>
    <hyperlink r:id="rId1168" ref="F270"/>
    <hyperlink r:id="rId1169" ref="C271"/>
    <hyperlink r:id="rId1170" ref="D271"/>
    <hyperlink r:id="rId1171" ref="E271"/>
    <hyperlink r:id="rId1172" ref="F271"/>
    <hyperlink r:id="rId1173" ref="K271"/>
    <hyperlink r:id="rId1174" ref="D272"/>
    <hyperlink r:id="rId1175" ref="E272"/>
    <hyperlink r:id="rId1176" ref="F272"/>
    <hyperlink r:id="rId1177" ref="K272"/>
    <hyperlink r:id="rId1178" ref="D273"/>
    <hyperlink r:id="rId1179" ref="E273"/>
    <hyperlink r:id="rId1180" ref="F273"/>
    <hyperlink r:id="rId1181" ref="D274"/>
    <hyperlink r:id="rId1182" ref="E274"/>
    <hyperlink r:id="rId1183" ref="F274"/>
    <hyperlink r:id="rId1184" ref="D275"/>
    <hyperlink r:id="rId1185" ref="E275"/>
    <hyperlink r:id="rId1186" ref="F275"/>
    <hyperlink r:id="rId1187" ref="C276"/>
    <hyperlink r:id="rId1188" ref="D276"/>
    <hyperlink r:id="rId1189" ref="E276"/>
    <hyperlink r:id="rId1190" ref="F276"/>
    <hyperlink r:id="rId1191" ref="M276"/>
    <hyperlink r:id="rId1192" ref="C277"/>
    <hyperlink r:id="rId1193" ref="D277"/>
    <hyperlink r:id="rId1194" ref="E277"/>
    <hyperlink r:id="rId1195" ref="F277"/>
    <hyperlink r:id="rId1196" ref="M277"/>
    <hyperlink r:id="rId1197" ref="D278"/>
    <hyperlink r:id="rId1198" ref="E278"/>
    <hyperlink r:id="rId1199" ref="F278"/>
    <hyperlink r:id="rId1200" ref="M278"/>
    <hyperlink r:id="rId1201" ref="C279"/>
    <hyperlink r:id="rId1202" ref="D279"/>
    <hyperlink r:id="rId1203" ref="E279"/>
    <hyperlink r:id="rId1204" ref="F279"/>
    <hyperlink r:id="rId1205" ref="K279"/>
    <hyperlink r:id="rId1206" ref="D280"/>
    <hyperlink r:id="rId1207" ref="E280"/>
    <hyperlink r:id="rId1208" ref="F280"/>
    <hyperlink r:id="rId1209" ref="C281"/>
    <hyperlink r:id="rId1210" ref="D281"/>
    <hyperlink r:id="rId1211" ref="E281"/>
    <hyperlink r:id="rId1212" ref="F281"/>
    <hyperlink r:id="rId1213" ref="M281"/>
    <hyperlink r:id="rId1214" ref="D282"/>
    <hyperlink r:id="rId1215" ref="E282"/>
    <hyperlink r:id="rId1216" ref="F282"/>
    <hyperlink r:id="rId1217" ref="K282"/>
    <hyperlink r:id="rId1218" ref="D283"/>
    <hyperlink r:id="rId1219" ref="E283"/>
    <hyperlink r:id="rId1220" ref="F283"/>
    <hyperlink r:id="rId1221" ref="D284"/>
    <hyperlink r:id="rId1222" ref="E284"/>
    <hyperlink r:id="rId1223" ref="F284"/>
    <hyperlink r:id="rId1224" ref="D285"/>
    <hyperlink r:id="rId1225" ref="E285"/>
    <hyperlink r:id="rId1226" ref="F285"/>
    <hyperlink r:id="rId1227" ref="D286"/>
    <hyperlink r:id="rId1228" ref="E286"/>
    <hyperlink r:id="rId1229" ref="F286"/>
    <hyperlink r:id="rId1230" ref="C287"/>
    <hyperlink r:id="rId1231" ref="D287"/>
    <hyperlink r:id="rId1232" ref="E287"/>
    <hyperlink r:id="rId1233" ref="F287"/>
    <hyperlink r:id="rId1234" ref="K287"/>
    <hyperlink r:id="rId1235" ref="D288"/>
    <hyperlink r:id="rId1236" ref="E288"/>
    <hyperlink r:id="rId1237" ref="F288"/>
    <hyperlink r:id="rId1238" ref="D289"/>
    <hyperlink r:id="rId1239" ref="E289"/>
    <hyperlink r:id="rId1240" ref="F289"/>
    <hyperlink r:id="rId1241" ref="M289"/>
    <hyperlink r:id="rId1242" ref="D290"/>
    <hyperlink r:id="rId1243" ref="E290"/>
    <hyperlink r:id="rId1244" ref="F290"/>
    <hyperlink r:id="rId1245" ref="M290"/>
    <hyperlink r:id="rId1246" ref="D291"/>
    <hyperlink r:id="rId1247" ref="E291"/>
    <hyperlink r:id="rId1248" ref="F291"/>
    <hyperlink r:id="rId1249" ref="K291"/>
    <hyperlink r:id="rId1250" ref="M291"/>
    <hyperlink r:id="rId1251" ref="E292"/>
    <hyperlink r:id="rId1252" ref="F292"/>
    <hyperlink r:id="rId1253" ref="D293"/>
    <hyperlink r:id="rId1254" ref="E293"/>
    <hyperlink r:id="rId1255" ref="F293"/>
    <hyperlink r:id="rId1256" ref="C294"/>
    <hyperlink r:id="rId1257" ref="D294"/>
    <hyperlink r:id="rId1258" ref="E294"/>
    <hyperlink r:id="rId1259" ref="F294"/>
    <hyperlink r:id="rId1260" ref="D295"/>
    <hyperlink r:id="rId1261" ref="E295"/>
    <hyperlink r:id="rId1262" ref="F295"/>
    <hyperlink r:id="rId1263" ref="C296"/>
    <hyperlink r:id="rId1264" ref="D296"/>
    <hyperlink r:id="rId1265" ref="E296"/>
    <hyperlink r:id="rId1266" ref="F296"/>
    <hyperlink r:id="rId1267" ref="K296"/>
    <hyperlink r:id="rId1268" ref="C297"/>
    <hyperlink r:id="rId1269" ref="D297"/>
    <hyperlink r:id="rId1270" ref="E297"/>
    <hyperlink r:id="rId1271" ref="F297"/>
    <hyperlink r:id="rId1272" ref="D298"/>
    <hyperlink r:id="rId1273" ref="E298"/>
    <hyperlink r:id="rId1274" ref="F298"/>
    <hyperlink r:id="rId1275" ref="C299"/>
    <hyperlink r:id="rId1276" ref="D299"/>
    <hyperlink r:id="rId1277" ref="E299"/>
    <hyperlink r:id="rId1278" ref="F299"/>
    <hyperlink r:id="rId1279" ref="D300"/>
    <hyperlink r:id="rId1280" ref="E300"/>
    <hyperlink r:id="rId1281" ref="F300"/>
    <hyperlink r:id="rId1282" ref="D301"/>
    <hyperlink r:id="rId1283" ref="E301"/>
    <hyperlink r:id="rId1284" ref="F301"/>
    <hyperlink r:id="rId1285" ref="C302"/>
    <hyperlink r:id="rId1286" ref="D302"/>
    <hyperlink r:id="rId1287" ref="E302"/>
    <hyperlink r:id="rId1288" ref="F302"/>
    <hyperlink r:id="rId1289" ref="C303"/>
    <hyperlink r:id="rId1290" ref="D303"/>
    <hyperlink r:id="rId1291" ref="E303"/>
    <hyperlink r:id="rId1292" ref="F303"/>
    <hyperlink r:id="rId1293" ref="D304"/>
    <hyperlink r:id="rId1294" ref="E304"/>
    <hyperlink r:id="rId1295" ref="F304"/>
    <hyperlink r:id="rId1296" ref="D305"/>
    <hyperlink r:id="rId1297" ref="E305"/>
    <hyperlink r:id="rId1298" ref="F305"/>
    <hyperlink r:id="rId1299" ref="D306"/>
    <hyperlink r:id="rId1300" ref="E306"/>
    <hyperlink r:id="rId1301" ref="F306"/>
    <hyperlink r:id="rId1302" ref="D307"/>
    <hyperlink r:id="rId1303" ref="E307"/>
    <hyperlink r:id="rId1304" ref="F307"/>
    <hyperlink r:id="rId1305" ref="C308"/>
    <hyperlink r:id="rId1306" ref="D308"/>
    <hyperlink r:id="rId1307" ref="E308"/>
    <hyperlink r:id="rId1308" ref="F308"/>
    <hyperlink r:id="rId1309" ref="C309"/>
    <hyperlink r:id="rId1310" ref="D309"/>
    <hyperlink r:id="rId1311" ref="E309"/>
    <hyperlink r:id="rId1312" ref="F309"/>
    <hyperlink r:id="rId1313" ref="C310"/>
    <hyperlink r:id="rId1314" ref="D310"/>
    <hyperlink r:id="rId1315" ref="E310"/>
    <hyperlink r:id="rId1316" ref="F310"/>
    <hyperlink r:id="rId1317" ref="C311"/>
    <hyperlink r:id="rId1318" ref="D311"/>
    <hyperlink r:id="rId1319" ref="E311"/>
    <hyperlink r:id="rId1320" ref="F311"/>
    <hyperlink r:id="rId1321" ref="D312"/>
    <hyperlink r:id="rId1322" ref="E312"/>
    <hyperlink r:id="rId1323" ref="F312"/>
    <hyperlink r:id="rId1324" ref="D313"/>
    <hyperlink r:id="rId1325" ref="E313"/>
    <hyperlink r:id="rId1326" ref="F313"/>
    <hyperlink r:id="rId1327" ref="M313"/>
    <hyperlink r:id="rId1328" ref="D314"/>
    <hyperlink r:id="rId1329" ref="E314"/>
    <hyperlink r:id="rId1330" ref="F314"/>
    <hyperlink r:id="rId1331" ref="D315"/>
    <hyperlink r:id="rId1332" ref="E315"/>
    <hyperlink r:id="rId1333" ref="F315"/>
    <hyperlink r:id="rId1334" ref="D316"/>
    <hyperlink r:id="rId1335" ref="E316"/>
    <hyperlink r:id="rId1336" ref="F316"/>
    <hyperlink r:id="rId1337" ref="K316"/>
    <hyperlink r:id="rId1338" ref="D317"/>
    <hyperlink r:id="rId1339" ref="E317"/>
    <hyperlink r:id="rId1340" ref="F317"/>
    <hyperlink r:id="rId1341" ref="C318"/>
    <hyperlink r:id="rId1342" ref="D318"/>
    <hyperlink r:id="rId1343" ref="E318"/>
    <hyperlink r:id="rId1344" ref="F318"/>
    <hyperlink r:id="rId1345" ref="D319"/>
    <hyperlink r:id="rId1346" ref="E319"/>
    <hyperlink r:id="rId1347" ref="F319"/>
    <hyperlink r:id="rId1348" ref="D320"/>
    <hyperlink r:id="rId1349" ref="E320"/>
    <hyperlink r:id="rId1350" ref="F320"/>
    <hyperlink r:id="rId1351" ref="C321"/>
    <hyperlink r:id="rId1352" ref="D321"/>
    <hyperlink r:id="rId1353" ref="E321"/>
    <hyperlink r:id="rId1354" ref="F321"/>
    <hyperlink r:id="rId1355" ref="K321"/>
    <hyperlink r:id="rId1356" ref="D322"/>
    <hyperlink r:id="rId1357" ref="E322"/>
    <hyperlink r:id="rId1358" ref="F322"/>
    <hyperlink r:id="rId1359" ref="D323"/>
    <hyperlink r:id="rId1360" ref="E323"/>
    <hyperlink r:id="rId1361" ref="F323"/>
    <hyperlink r:id="rId1362" ref="D324"/>
    <hyperlink r:id="rId1363" ref="E324"/>
    <hyperlink r:id="rId1364" ref="F324"/>
    <hyperlink r:id="rId1365" ref="K324"/>
    <hyperlink r:id="rId1366" ref="D325"/>
    <hyperlink r:id="rId1367" ref="E325"/>
    <hyperlink r:id="rId1368" ref="F325"/>
    <hyperlink r:id="rId1369" ref="D326"/>
    <hyperlink r:id="rId1370" ref="E326"/>
    <hyperlink r:id="rId1371" ref="F326"/>
    <hyperlink r:id="rId1372" ref="K326"/>
    <hyperlink r:id="rId1373" ref="D327"/>
    <hyperlink r:id="rId1374" ref="E327"/>
    <hyperlink r:id="rId1375" ref="F327"/>
    <hyperlink r:id="rId1376" ref="D328"/>
    <hyperlink r:id="rId1377" ref="E328"/>
    <hyperlink r:id="rId1378" ref="F328"/>
    <hyperlink r:id="rId1379" ref="K328"/>
    <hyperlink r:id="rId1380" ref="C329"/>
    <hyperlink r:id="rId1381" ref="D329"/>
    <hyperlink r:id="rId1382" ref="E329"/>
    <hyperlink r:id="rId1383" ref="F329"/>
    <hyperlink r:id="rId1384" ref="K329"/>
    <hyperlink r:id="rId1385" ref="D330"/>
    <hyperlink r:id="rId1386" ref="E330"/>
    <hyperlink r:id="rId1387" ref="F330"/>
    <hyperlink r:id="rId1388" ref="K330"/>
    <hyperlink r:id="rId1389" ref="D331"/>
    <hyperlink r:id="rId1390" ref="E331"/>
    <hyperlink r:id="rId1391" ref="F331"/>
    <hyperlink r:id="rId1392" ref="K331"/>
    <hyperlink r:id="rId1393" ref="D332"/>
    <hyperlink r:id="rId1394" ref="E332"/>
    <hyperlink r:id="rId1395" ref="F332"/>
    <hyperlink r:id="rId1396" ref="C333"/>
    <hyperlink r:id="rId1397" ref="D333"/>
    <hyperlink r:id="rId1398" ref="E333"/>
    <hyperlink r:id="rId1399" ref="F333"/>
    <hyperlink r:id="rId1400" ref="D334"/>
    <hyperlink r:id="rId1401" ref="E334"/>
    <hyperlink r:id="rId1402" ref="F334"/>
    <hyperlink r:id="rId1403" ref="C335"/>
    <hyperlink r:id="rId1404" ref="D335"/>
    <hyperlink r:id="rId1405" ref="E335"/>
    <hyperlink r:id="rId1406" ref="F335"/>
    <hyperlink r:id="rId1407" ref="C336"/>
    <hyperlink r:id="rId1408" ref="D336"/>
    <hyperlink r:id="rId1409" ref="E336"/>
    <hyperlink r:id="rId1410" ref="F336"/>
    <hyperlink r:id="rId1411" ref="D337"/>
    <hyperlink r:id="rId1412" ref="E337"/>
    <hyperlink r:id="rId1413" ref="F337"/>
    <hyperlink r:id="rId1414" ref="C338"/>
    <hyperlink r:id="rId1415" ref="D338"/>
    <hyperlink r:id="rId1416" ref="E338"/>
    <hyperlink r:id="rId1417" ref="F338"/>
    <hyperlink r:id="rId1418" ref="D339"/>
    <hyperlink r:id="rId1419" ref="E339"/>
    <hyperlink r:id="rId1420" ref="F339"/>
    <hyperlink r:id="rId1421" ref="D340"/>
    <hyperlink r:id="rId1422" ref="E340"/>
    <hyperlink r:id="rId1423" ref="F340"/>
    <hyperlink r:id="rId1424" ref="K340"/>
    <hyperlink r:id="rId1425" ref="D341"/>
    <hyperlink r:id="rId1426" ref="E341"/>
    <hyperlink r:id="rId1427" ref="F341"/>
    <hyperlink r:id="rId1428" ref="C342"/>
    <hyperlink r:id="rId1429" ref="D342"/>
    <hyperlink r:id="rId1430" ref="E342"/>
    <hyperlink r:id="rId1431" ref="F342"/>
    <hyperlink r:id="rId1432" ref="D343"/>
    <hyperlink r:id="rId1433" ref="E343"/>
    <hyperlink r:id="rId1434" ref="F343"/>
    <hyperlink r:id="rId1435" ref="C344"/>
    <hyperlink r:id="rId1436" ref="D344"/>
    <hyperlink r:id="rId1437" ref="E344"/>
    <hyperlink r:id="rId1438" ref="F344"/>
    <hyperlink r:id="rId1439" ref="D345"/>
    <hyperlink r:id="rId1440" ref="E345"/>
    <hyperlink r:id="rId1441" ref="F345"/>
    <hyperlink r:id="rId1442" ref="K345"/>
    <hyperlink r:id="rId1443" ref="D346"/>
    <hyperlink r:id="rId1444" ref="E346"/>
    <hyperlink r:id="rId1445" ref="F346"/>
    <hyperlink r:id="rId1446" ref="K346"/>
    <hyperlink r:id="rId1447" ref="C347"/>
    <hyperlink r:id="rId1448" ref="D347"/>
    <hyperlink r:id="rId1449" ref="E347"/>
    <hyperlink r:id="rId1450" ref="F347"/>
    <hyperlink r:id="rId1451" ref="D348"/>
    <hyperlink r:id="rId1452" ref="E348"/>
    <hyperlink r:id="rId1453" ref="F348"/>
    <hyperlink r:id="rId1454" ref="D349"/>
    <hyperlink r:id="rId1455" ref="E349"/>
    <hyperlink r:id="rId1456" ref="F349"/>
    <hyperlink r:id="rId1457" ref="K349"/>
    <hyperlink r:id="rId1458" ref="D350"/>
    <hyperlink r:id="rId1459" ref="E350"/>
    <hyperlink r:id="rId1460" ref="F350"/>
    <hyperlink r:id="rId1461" ref="D351"/>
    <hyperlink r:id="rId1462" ref="E351"/>
    <hyperlink r:id="rId1463" ref="F351"/>
    <hyperlink r:id="rId1464" ref="D352"/>
    <hyperlink r:id="rId1465" ref="E352"/>
    <hyperlink r:id="rId1466" ref="F352"/>
    <hyperlink r:id="rId1467" ref="D353"/>
    <hyperlink r:id="rId1468" ref="E353"/>
    <hyperlink r:id="rId1469" ref="F353"/>
    <hyperlink r:id="rId1470" ref="M353"/>
    <hyperlink r:id="rId1471" ref="D354"/>
    <hyperlink r:id="rId1472" ref="E354"/>
    <hyperlink r:id="rId1473" ref="F354"/>
    <hyperlink r:id="rId1474" ref="M354"/>
    <hyperlink r:id="rId1475" ref="C355"/>
    <hyperlink r:id="rId1476" ref="D355"/>
    <hyperlink r:id="rId1477" ref="E355"/>
    <hyperlink r:id="rId1478" ref="F355"/>
    <hyperlink r:id="rId1479" ref="K355"/>
    <hyperlink r:id="rId1480" ref="D356"/>
    <hyperlink r:id="rId1481" ref="E356"/>
    <hyperlink r:id="rId1482" ref="F356"/>
    <hyperlink r:id="rId1483" ref="K356"/>
    <hyperlink r:id="rId1484" ref="D357"/>
    <hyperlink r:id="rId1485" ref="E357"/>
    <hyperlink r:id="rId1486" ref="F357"/>
    <hyperlink r:id="rId1487" ref="D358"/>
    <hyperlink r:id="rId1488" ref="E358"/>
    <hyperlink r:id="rId1489" ref="F358"/>
    <hyperlink r:id="rId1490" ref="C359"/>
    <hyperlink r:id="rId1491" ref="D359"/>
    <hyperlink r:id="rId1492" ref="E359"/>
    <hyperlink r:id="rId1493" ref="F359"/>
    <hyperlink r:id="rId1494" ref="K359"/>
    <hyperlink r:id="rId1495" ref="D360"/>
    <hyperlink r:id="rId1496" ref="E360"/>
    <hyperlink r:id="rId1497" ref="F360"/>
    <hyperlink r:id="rId1498" ref="C361"/>
    <hyperlink r:id="rId1499" ref="D361"/>
    <hyperlink r:id="rId1500" ref="E361"/>
    <hyperlink r:id="rId1501" ref="F361"/>
    <hyperlink r:id="rId1502" ref="D362"/>
    <hyperlink r:id="rId1503" ref="E362"/>
    <hyperlink r:id="rId1504" ref="F362"/>
    <hyperlink r:id="rId1505" ref="D363"/>
    <hyperlink r:id="rId1506" ref="E363"/>
    <hyperlink r:id="rId1507" ref="F363"/>
    <hyperlink r:id="rId1508" ref="K363"/>
    <hyperlink r:id="rId1509" ref="D364"/>
    <hyperlink r:id="rId1510" ref="E364"/>
    <hyperlink r:id="rId1511" ref="F364"/>
    <hyperlink r:id="rId1512" ref="M364"/>
    <hyperlink r:id="rId1513" ref="D365"/>
    <hyperlink r:id="rId1514" ref="E365"/>
    <hyperlink r:id="rId1515" ref="F365"/>
    <hyperlink r:id="rId1516" ref="D366"/>
    <hyperlink r:id="rId1517" ref="E366"/>
    <hyperlink r:id="rId1518" ref="F366"/>
    <hyperlink r:id="rId1519" ref="C367"/>
    <hyperlink r:id="rId1520" ref="D367"/>
    <hyperlink r:id="rId1521" ref="E367"/>
    <hyperlink r:id="rId1522" ref="F367"/>
    <hyperlink r:id="rId1523" ref="M367"/>
    <hyperlink r:id="rId1524" ref="E368"/>
    <hyperlink r:id="rId1525" ref="F368"/>
    <hyperlink r:id="rId1526" ref="K368"/>
    <hyperlink r:id="rId1527" ref="D369"/>
    <hyperlink r:id="rId1528" ref="E369"/>
    <hyperlink r:id="rId1529" ref="F369"/>
    <hyperlink r:id="rId1530" ref="D370"/>
    <hyperlink r:id="rId1531" ref="E370"/>
    <hyperlink r:id="rId1532" ref="F370"/>
    <hyperlink r:id="rId1533" ref="D371"/>
    <hyperlink r:id="rId1534" ref="E371"/>
    <hyperlink r:id="rId1535" ref="F371"/>
    <hyperlink r:id="rId1536" ref="D372"/>
    <hyperlink r:id="rId1537" ref="E372"/>
    <hyperlink r:id="rId1538" ref="F372"/>
    <hyperlink r:id="rId1539" ref="C373"/>
    <hyperlink r:id="rId1540" ref="D373"/>
    <hyperlink r:id="rId1541" ref="E373"/>
    <hyperlink r:id="rId1542" ref="F373"/>
    <hyperlink r:id="rId1543" ref="D374"/>
    <hyperlink r:id="rId1544" ref="E374"/>
    <hyperlink r:id="rId1545" ref="F374"/>
    <hyperlink r:id="rId1546" ref="D375"/>
    <hyperlink r:id="rId1547" ref="E375"/>
    <hyperlink r:id="rId1548" ref="F375"/>
    <hyperlink r:id="rId1549" ref="D376"/>
    <hyperlink r:id="rId1550" ref="E376"/>
    <hyperlink r:id="rId1551" ref="F376"/>
    <hyperlink r:id="rId1552" ref="D377"/>
    <hyperlink r:id="rId1553" ref="E377"/>
    <hyperlink r:id="rId1554" ref="F377"/>
    <hyperlink r:id="rId1555" ref="M377"/>
    <hyperlink r:id="rId1556" ref="D378"/>
    <hyperlink r:id="rId1557" ref="E378"/>
    <hyperlink r:id="rId1558" ref="F378"/>
    <hyperlink r:id="rId1559" ref="D379"/>
    <hyperlink r:id="rId1560" ref="E379"/>
    <hyperlink r:id="rId1561" ref="F379"/>
    <hyperlink r:id="rId1562" ref="D380"/>
    <hyperlink r:id="rId1563" ref="E380"/>
    <hyperlink r:id="rId1564" ref="F380"/>
    <hyperlink r:id="rId1565" ref="K380"/>
    <hyperlink r:id="rId1566" ref="D381"/>
    <hyperlink r:id="rId1567" ref="E381"/>
    <hyperlink r:id="rId1568" ref="F381"/>
    <hyperlink r:id="rId1569" ref="D382"/>
    <hyperlink r:id="rId1570" ref="E382"/>
    <hyperlink r:id="rId1571" ref="F382"/>
    <hyperlink r:id="rId1572" ref="D383"/>
    <hyperlink r:id="rId1573" ref="E383"/>
    <hyperlink r:id="rId1574" ref="F383"/>
    <hyperlink r:id="rId1575" ref="D384"/>
    <hyperlink r:id="rId1576" ref="E384"/>
    <hyperlink r:id="rId1577" ref="F384"/>
    <hyperlink r:id="rId1578" ref="D385"/>
    <hyperlink r:id="rId1579" ref="E385"/>
    <hyperlink r:id="rId1580" ref="F385"/>
    <hyperlink r:id="rId1581" ref="D386"/>
    <hyperlink r:id="rId1582" ref="E386"/>
    <hyperlink r:id="rId1583" ref="F386"/>
    <hyperlink r:id="rId1584" ref="D387"/>
    <hyperlink r:id="rId1585" ref="E387"/>
    <hyperlink r:id="rId1586" ref="F387"/>
    <hyperlink r:id="rId1587" ref="K387"/>
    <hyperlink r:id="rId1588" ref="D388"/>
    <hyperlink r:id="rId1589" ref="E388"/>
    <hyperlink r:id="rId1590" ref="F388"/>
    <hyperlink r:id="rId1591" ref="M388"/>
    <hyperlink r:id="rId1592" ref="D389"/>
    <hyperlink r:id="rId1593" ref="E389"/>
    <hyperlink r:id="rId1594" ref="F389"/>
    <hyperlink r:id="rId1595" ref="D390"/>
    <hyperlink r:id="rId1596" ref="E390"/>
    <hyperlink r:id="rId1597" ref="F390"/>
    <hyperlink r:id="rId1598" ref="M390"/>
    <hyperlink r:id="rId1599" ref="D391"/>
    <hyperlink r:id="rId1600" ref="E391"/>
    <hyperlink r:id="rId1601" ref="F391"/>
    <hyperlink r:id="rId1602" ref="D392"/>
    <hyperlink r:id="rId1603" ref="E392"/>
    <hyperlink r:id="rId1604" ref="F392"/>
    <hyperlink r:id="rId1605" ref="K392"/>
    <hyperlink r:id="rId1606" ref="D393"/>
    <hyperlink r:id="rId1607" ref="E393"/>
    <hyperlink r:id="rId1608" ref="F393"/>
    <hyperlink r:id="rId1609" ref="D394"/>
    <hyperlink r:id="rId1610" ref="E394"/>
    <hyperlink r:id="rId1611" ref="F394"/>
    <hyperlink r:id="rId1612" ref="K394"/>
    <hyperlink r:id="rId1613" ref="D395"/>
    <hyperlink r:id="rId1614" ref="E395"/>
    <hyperlink r:id="rId1615" ref="F395"/>
    <hyperlink r:id="rId1616" ref="D396"/>
    <hyperlink r:id="rId1617" ref="E396"/>
    <hyperlink r:id="rId1618" ref="F396"/>
    <hyperlink r:id="rId1619" ref="D397"/>
    <hyperlink r:id="rId1620" ref="E397"/>
    <hyperlink r:id="rId1621" ref="F397"/>
    <hyperlink r:id="rId1622" ref="D398"/>
    <hyperlink r:id="rId1623" ref="E398"/>
    <hyperlink r:id="rId1624" ref="F398"/>
    <hyperlink r:id="rId1625" ref="C399"/>
    <hyperlink r:id="rId1626" ref="D399"/>
    <hyperlink r:id="rId1627" ref="E399"/>
    <hyperlink r:id="rId1628" ref="F399"/>
    <hyperlink r:id="rId1629" ref="D400"/>
    <hyperlink r:id="rId1630" ref="E400"/>
    <hyperlink r:id="rId1631" ref="F400"/>
    <hyperlink r:id="rId1632" ref="D401"/>
    <hyperlink r:id="rId1633" ref="E401"/>
    <hyperlink r:id="rId1634" ref="F401"/>
    <hyperlink r:id="rId1635" ref="C402"/>
    <hyperlink r:id="rId1636" ref="D402"/>
    <hyperlink r:id="rId1637" ref="E402"/>
    <hyperlink r:id="rId1638" ref="F402"/>
    <hyperlink r:id="rId1639" ref="K402"/>
    <hyperlink r:id="rId1640" ref="M402"/>
    <hyperlink r:id="rId1641" ref="D403"/>
    <hyperlink r:id="rId1642" ref="E403"/>
    <hyperlink r:id="rId1643" ref="F403"/>
    <hyperlink r:id="rId1644" ref="K403"/>
    <hyperlink r:id="rId1645" ref="C404"/>
    <hyperlink r:id="rId1646" ref="D404"/>
    <hyperlink r:id="rId1647" ref="E404"/>
    <hyperlink r:id="rId1648" ref="F404"/>
    <hyperlink r:id="rId1649" ref="D405"/>
    <hyperlink r:id="rId1650" ref="E405"/>
    <hyperlink r:id="rId1651" ref="F405"/>
    <hyperlink r:id="rId1652" ref="D406"/>
    <hyperlink r:id="rId1653" ref="E406"/>
    <hyperlink r:id="rId1654" ref="F406"/>
    <hyperlink r:id="rId1655" ref="M406"/>
    <hyperlink r:id="rId1656" ref="D407"/>
    <hyperlink r:id="rId1657" ref="E407"/>
    <hyperlink r:id="rId1658" ref="F407"/>
    <hyperlink r:id="rId1659" ref="K407"/>
    <hyperlink r:id="rId1660" ref="M407"/>
    <hyperlink r:id="rId1661" ref="D408"/>
    <hyperlink r:id="rId1662" ref="E408"/>
    <hyperlink r:id="rId1663" ref="F408"/>
    <hyperlink r:id="rId1664" ref="K408"/>
    <hyperlink r:id="rId1665" ref="D409"/>
    <hyperlink r:id="rId1666" ref="E409"/>
    <hyperlink r:id="rId1667" ref="F409"/>
    <hyperlink r:id="rId1668" ref="D410"/>
    <hyperlink r:id="rId1669" ref="E410"/>
    <hyperlink r:id="rId1670" ref="F410"/>
    <hyperlink r:id="rId1671" ref="D411"/>
    <hyperlink r:id="rId1672" ref="E411"/>
    <hyperlink r:id="rId1673" ref="F411"/>
    <hyperlink r:id="rId1674" ref="D412"/>
    <hyperlink r:id="rId1675" ref="E412"/>
    <hyperlink r:id="rId1676" ref="F412"/>
    <hyperlink r:id="rId1677" ref="M412"/>
    <hyperlink r:id="rId1678" ref="D413"/>
    <hyperlink r:id="rId1679" ref="E413"/>
    <hyperlink r:id="rId1680" ref="F413"/>
    <hyperlink r:id="rId1681" ref="D414"/>
    <hyperlink r:id="rId1682" ref="E414"/>
    <hyperlink r:id="rId1683" ref="F414"/>
    <hyperlink r:id="rId1684" ref="C415"/>
    <hyperlink r:id="rId1685" ref="D415"/>
    <hyperlink r:id="rId1686" ref="E415"/>
    <hyperlink r:id="rId1687" ref="F415"/>
    <hyperlink r:id="rId1688" ref="M415"/>
    <hyperlink r:id="rId1689" ref="D416"/>
    <hyperlink r:id="rId1690" ref="E416"/>
    <hyperlink r:id="rId1691" ref="F416"/>
    <hyperlink r:id="rId1692" location="Club_sports" ref="K416"/>
    <hyperlink r:id="rId1693" ref="M416"/>
    <hyperlink r:id="rId1694" ref="D417"/>
    <hyperlink r:id="rId1695" ref="E417"/>
    <hyperlink r:id="rId1696" ref="F417"/>
    <hyperlink r:id="rId1697" ref="K417"/>
    <hyperlink r:id="rId1698" ref="C418"/>
    <hyperlink r:id="rId1699" ref="D418"/>
    <hyperlink r:id="rId1700" ref="E418"/>
    <hyperlink r:id="rId1701" ref="F418"/>
    <hyperlink r:id="rId1702" ref="K418"/>
    <hyperlink r:id="rId1703" ref="M418"/>
    <hyperlink r:id="rId1704" ref="D419"/>
    <hyperlink r:id="rId1705" ref="E419"/>
    <hyperlink r:id="rId1706" ref="F419"/>
    <hyperlink r:id="rId1707" ref="D420"/>
    <hyperlink r:id="rId1708" ref="E420"/>
    <hyperlink r:id="rId1709" ref="F420"/>
    <hyperlink r:id="rId1710" ref="D421"/>
    <hyperlink r:id="rId1711" ref="E421"/>
    <hyperlink r:id="rId1712" ref="F421"/>
    <hyperlink r:id="rId1713" ref="D422"/>
    <hyperlink r:id="rId1714" ref="E422"/>
    <hyperlink r:id="rId1715" ref="F422"/>
    <hyperlink r:id="rId1716" ref="D423"/>
    <hyperlink r:id="rId1717" ref="E423"/>
    <hyperlink r:id="rId1718" ref="F423"/>
    <hyperlink r:id="rId1719" ref="D424"/>
    <hyperlink r:id="rId1720" ref="E424"/>
    <hyperlink r:id="rId1721" ref="F424"/>
    <hyperlink r:id="rId1722" ref="D425"/>
    <hyperlink r:id="rId1723" ref="E425"/>
    <hyperlink r:id="rId1724" ref="F425"/>
    <hyperlink r:id="rId1725" ref="K425"/>
    <hyperlink r:id="rId1726" ref="C426"/>
    <hyperlink r:id="rId1727" ref="D426"/>
    <hyperlink r:id="rId1728" ref="E426"/>
    <hyperlink r:id="rId1729" ref="F426"/>
    <hyperlink r:id="rId1730" ref="D427"/>
    <hyperlink r:id="rId1731" ref="E427"/>
    <hyperlink r:id="rId1732" ref="F427"/>
    <hyperlink r:id="rId1733" ref="D428"/>
    <hyperlink r:id="rId1734" ref="E428"/>
    <hyperlink r:id="rId1735" ref="F428"/>
    <hyperlink r:id="rId1736" ref="D429"/>
    <hyperlink r:id="rId1737" ref="E429"/>
    <hyperlink r:id="rId1738" ref="F429"/>
    <hyperlink r:id="rId1739" ref="C430"/>
    <hyperlink r:id="rId1740" ref="D430"/>
    <hyperlink r:id="rId1741" ref="E430"/>
    <hyperlink r:id="rId1742" ref="F430"/>
    <hyperlink r:id="rId1743" ref="K430"/>
    <hyperlink r:id="rId1744" ref="D431"/>
    <hyperlink r:id="rId1745" ref="E431"/>
    <hyperlink r:id="rId1746" ref="F431"/>
    <hyperlink r:id="rId1747" ref="D432"/>
    <hyperlink r:id="rId1748" ref="E432"/>
    <hyperlink r:id="rId1749" ref="F432"/>
    <hyperlink r:id="rId1750" ref="D433"/>
    <hyperlink r:id="rId1751" ref="E433"/>
    <hyperlink r:id="rId1752" ref="F433"/>
    <hyperlink r:id="rId1753" ref="D434"/>
    <hyperlink r:id="rId1754" ref="E434"/>
    <hyperlink r:id="rId1755" ref="F434"/>
    <hyperlink r:id="rId1756" ref="D435"/>
    <hyperlink r:id="rId1757" ref="E435"/>
    <hyperlink r:id="rId1758" ref="F435"/>
    <hyperlink r:id="rId1759" ref="D436"/>
    <hyperlink r:id="rId1760" ref="E436"/>
    <hyperlink r:id="rId1761" ref="F436"/>
    <hyperlink r:id="rId1762" ref="D437"/>
    <hyperlink r:id="rId1763" ref="E437"/>
    <hyperlink r:id="rId1764" ref="F437"/>
    <hyperlink r:id="rId1765" ref="D438"/>
    <hyperlink r:id="rId1766" ref="E438"/>
    <hyperlink r:id="rId1767" ref="F438"/>
    <hyperlink r:id="rId1768" ref="K438"/>
    <hyperlink r:id="rId1769" ref="D439"/>
    <hyperlink r:id="rId1770" ref="E439"/>
    <hyperlink r:id="rId1771" ref="F439"/>
    <hyperlink r:id="rId1772" ref="C440"/>
    <hyperlink r:id="rId1773" ref="D440"/>
    <hyperlink r:id="rId1774" ref="E440"/>
    <hyperlink r:id="rId1775" ref="F440"/>
    <hyperlink r:id="rId1776" ref="K440"/>
    <hyperlink r:id="rId1777" ref="C441"/>
    <hyperlink r:id="rId1778" ref="D441"/>
    <hyperlink r:id="rId1779" ref="E441"/>
    <hyperlink r:id="rId1780" ref="F441"/>
    <hyperlink r:id="rId1781" ref="K441"/>
    <hyperlink r:id="rId1782" ref="M441"/>
    <hyperlink r:id="rId1783" ref="D442"/>
    <hyperlink r:id="rId1784" ref="E442"/>
    <hyperlink r:id="rId1785" ref="F442"/>
    <hyperlink r:id="rId1786" ref="D443"/>
    <hyperlink r:id="rId1787" ref="E443"/>
    <hyperlink r:id="rId1788" ref="F443"/>
    <hyperlink r:id="rId1789" ref="K443"/>
    <hyperlink r:id="rId1790" ref="M443"/>
    <hyperlink r:id="rId1791" ref="C444"/>
    <hyperlink r:id="rId1792" ref="D444"/>
    <hyperlink r:id="rId1793" ref="E444"/>
    <hyperlink r:id="rId1794" ref="F444"/>
    <hyperlink r:id="rId1795" ref="K444"/>
    <hyperlink r:id="rId1796" ref="M444"/>
    <hyperlink r:id="rId1797" ref="D445"/>
    <hyperlink r:id="rId1798" ref="E445"/>
    <hyperlink r:id="rId1799" ref="F445"/>
    <hyperlink r:id="rId1800" ref="M445"/>
    <hyperlink r:id="rId1801" ref="D446"/>
    <hyperlink r:id="rId1802" ref="E446"/>
    <hyperlink r:id="rId1803" ref="F446"/>
    <hyperlink r:id="rId1804" ref="D447"/>
    <hyperlink r:id="rId1805" ref="E447"/>
    <hyperlink r:id="rId1806" ref="F447"/>
    <hyperlink r:id="rId1807" ref="D448"/>
    <hyperlink r:id="rId1808" ref="E448"/>
    <hyperlink r:id="rId1809" ref="F448"/>
    <hyperlink r:id="rId1810" ref="M448"/>
    <hyperlink r:id="rId1811" ref="D449"/>
    <hyperlink r:id="rId1812" ref="E449"/>
    <hyperlink r:id="rId1813" ref="F449"/>
    <hyperlink r:id="rId1814" ref="C450"/>
    <hyperlink r:id="rId1815" ref="D450"/>
    <hyperlink r:id="rId1816" ref="E450"/>
    <hyperlink r:id="rId1817" ref="F450"/>
    <hyperlink r:id="rId1818" ref="K450"/>
    <hyperlink r:id="rId1819" ref="M450"/>
    <hyperlink r:id="rId1820" ref="C451"/>
    <hyperlink r:id="rId1821" ref="D451"/>
    <hyperlink r:id="rId1822" ref="E451"/>
    <hyperlink r:id="rId1823" ref="F451"/>
    <hyperlink r:id="rId1824" ref="K451"/>
    <hyperlink r:id="rId1825" ref="C452"/>
    <hyperlink r:id="rId1826" ref="D452"/>
    <hyperlink r:id="rId1827" ref="E452"/>
    <hyperlink r:id="rId1828" ref="F452"/>
    <hyperlink r:id="rId1829" ref="D453"/>
    <hyperlink r:id="rId1830" ref="E453"/>
    <hyperlink r:id="rId1831" ref="F453"/>
    <hyperlink r:id="rId1832" ref="K453"/>
    <hyperlink r:id="rId1833" ref="D454"/>
    <hyperlink r:id="rId1834" ref="E454"/>
    <hyperlink r:id="rId1835" ref="F454"/>
    <hyperlink r:id="rId1836" ref="K454"/>
    <hyperlink r:id="rId1837" ref="D455"/>
    <hyperlink r:id="rId1838" ref="E455"/>
    <hyperlink r:id="rId1839" ref="F455"/>
    <hyperlink r:id="rId1840" ref="D456"/>
    <hyperlink r:id="rId1841" ref="E456"/>
    <hyperlink r:id="rId1842" ref="F456"/>
    <hyperlink r:id="rId1843" ref="M456"/>
    <hyperlink r:id="rId1844" ref="D457"/>
    <hyperlink r:id="rId1845" ref="E457"/>
    <hyperlink r:id="rId1846" ref="F457"/>
    <hyperlink r:id="rId1847" ref="D458"/>
    <hyperlink r:id="rId1848" ref="E458"/>
    <hyperlink r:id="rId1849" ref="F458"/>
    <hyperlink r:id="rId1850" ref="K458"/>
    <hyperlink r:id="rId1851" ref="C459"/>
    <hyperlink r:id="rId1852" ref="D459"/>
    <hyperlink r:id="rId1853" ref="E459"/>
    <hyperlink r:id="rId1854" ref="F459"/>
    <hyperlink r:id="rId1855" ref="K459"/>
    <hyperlink r:id="rId1856" ref="M459"/>
    <hyperlink r:id="rId1857" ref="D460"/>
    <hyperlink r:id="rId1858" ref="E460"/>
    <hyperlink r:id="rId1859" ref="F460"/>
    <hyperlink r:id="rId1860" ref="C461"/>
    <hyperlink r:id="rId1861" ref="D461"/>
    <hyperlink r:id="rId1862" ref="E461"/>
    <hyperlink r:id="rId1863" ref="F461"/>
    <hyperlink r:id="rId1864" ref="K461"/>
    <hyperlink r:id="rId1865" ref="D462"/>
    <hyperlink r:id="rId1866" ref="E462"/>
    <hyperlink r:id="rId1867" ref="F462"/>
    <hyperlink r:id="rId1868" ref="D463"/>
    <hyperlink r:id="rId1869" ref="E463"/>
    <hyperlink r:id="rId1870" ref="F463"/>
    <hyperlink r:id="rId1871" ref="D464"/>
    <hyperlink r:id="rId1872" ref="E464"/>
    <hyperlink r:id="rId1873" ref="F464"/>
    <hyperlink r:id="rId1874" ref="K464"/>
    <hyperlink r:id="rId1875" ref="M464"/>
    <hyperlink r:id="rId1876" ref="D465"/>
    <hyperlink r:id="rId1877" ref="E465"/>
    <hyperlink r:id="rId1878" ref="F465"/>
    <hyperlink r:id="rId1879" ref="D466"/>
    <hyperlink r:id="rId1880" ref="E466"/>
    <hyperlink r:id="rId1881" ref="F466"/>
    <hyperlink r:id="rId1882" ref="C467"/>
    <hyperlink r:id="rId1883" ref="D467"/>
    <hyperlink r:id="rId1884" ref="E467"/>
    <hyperlink r:id="rId1885" ref="F467"/>
    <hyperlink r:id="rId1886" ref="K467"/>
    <hyperlink r:id="rId1887" ref="D468"/>
    <hyperlink r:id="rId1888" ref="E468"/>
    <hyperlink r:id="rId1889" ref="F468"/>
    <hyperlink r:id="rId1890" ref="D469"/>
    <hyperlink r:id="rId1891" ref="E469"/>
    <hyperlink r:id="rId1892" ref="F469"/>
    <hyperlink r:id="rId1893" ref="K469"/>
    <hyperlink r:id="rId1894" ref="D470"/>
    <hyperlink r:id="rId1895" ref="E470"/>
    <hyperlink r:id="rId1896" ref="F470"/>
    <hyperlink r:id="rId1897" ref="D471"/>
    <hyperlink r:id="rId1898" ref="E471"/>
    <hyperlink r:id="rId1899" ref="F471"/>
    <hyperlink r:id="rId1900" ref="D472"/>
    <hyperlink r:id="rId1901" ref="E472"/>
    <hyperlink r:id="rId1902" ref="F472"/>
    <hyperlink r:id="rId1903" ref="D473"/>
    <hyperlink r:id="rId1904" ref="E473"/>
    <hyperlink r:id="rId1905" ref="F473"/>
    <hyperlink r:id="rId1906" ref="D474"/>
    <hyperlink r:id="rId1907" ref="E474"/>
    <hyperlink r:id="rId1908" ref="F474"/>
    <hyperlink r:id="rId1909" ref="C475"/>
    <hyperlink r:id="rId1910" ref="D475"/>
    <hyperlink r:id="rId1911" ref="E475"/>
    <hyperlink r:id="rId1912" ref="F475"/>
    <hyperlink r:id="rId1913" ref="K475"/>
    <hyperlink r:id="rId1914" ref="D476"/>
    <hyperlink r:id="rId1915" ref="E476"/>
    <hyperlink r:id="rId1916" ref="F476"/>
    <hyperlink r:id="rId1917" ref="D477"/>
    <hyperlink r:id="rId1918" ref="E477"/>
    <hyperlink r:id="rId1919" ref="F477"/>
    <hyperlink r:id="rId1920" ref="D478"/>
    <hyperlink r:id="rId1921" ref="E478"/>
    <hyperlink r:id="rId1922" ref="F478"/>
    <hyperlink r:id="rId1923" ref="C479"/>
    <hyperlink r:id="rId1924" ref="D479"/>
    <hyperlink r:id="rId1925" ref="E479"/>
    <hyperlink r:id="rId1926" ref="F479"/>
    <hyperlink r:id="rId1927" ref="M479"/>
    <hyperlink r:id="rId1928" ref="D480"/>
    <hyperlink r:id="rId1929" ref="E480"/>
    <hyperlink r:id="rId1930" ref="F480"/>
    <hyperlink r:id="rId1931" ref="D481"/>
    <hyperlink r:id="rId1932" ref="E481"/>
    <hyperlink r:id="rId1933" ref="F481"/>
    <hyperlink r:id="rId1934" ref="D482"/>
    <hyperlink r:id="rId1935" ref="E482"/>
    <hyperlink r:id="rId1936" ref="F482"/>
    <hyperlink r:id="rId1937" ref="D483"/>
    <hyperlink r:id="rId1938" ref="E483"/>
    <hyperlink r:id="rId1939" ref="F483"/>
    <hyperlink r:id="rId1940" ref="D484"/>
    <hyperlink r:id="rId1941" ref="E484"/>
    <hyperlink r:id="rId1942" ref="F484"/>
    <hyperlink r:id="rId1943" ref="D485"/>
    <hyperlink r:id="rId1944" ref="E485"/>
    <hyperlink r:id="rId1945" ref="F485"/>
    <hyperlink r:id="rId1946" ref="D486"/>
    <hyperlink r:id="rId1947" ref="E486"/>
    <hyperlink r:id="rId1948" ref="F486"/>
    <hyperlink r:id="rId1949" ref="D487"/>
    <hyperlink r:id="rId1950" ref="E487"/>
    <hyperlink r:id="rId1951" ref="F487"/>
    <hyperlink r:id="rId1952" ref="D488"/>
    <hyperlink r:id="rId1953" ref="E488"/>
    <hyperlink r:id="rId1954" ref="F488"/>
    <hyperlink r:id="rId1955" ref="K488"/>
    <hyperlink r:id="rId1956" ref="D489"/>
    <hyperlink r:id="rId1957" ref="E489"/>
    <hyperlink r:id="rId1958" ref="F489"/>
    <hyperlink r:id="rId1959" ref="C490"/>
    <hyperlink r:id="rId1960" ref="D490"/>
    <hyperlink r:id="rId1961" ref="E490"/>
    <hyperlink r:id="rId1962" ref="F490"/>
    <hyperlink r:id="rId1963" ref="D491"/>
    <hyperlink r:id="rId1964" ref="E491"/>
    <hyperlink r:id="rId1965" ref="F491"/>
    <hyperlink r:id="rId1966" ref="D492"/>
    <hyperlink r:id="rId1967" ref="E492"/>
    <hyperlink r:id="rId1968" ref="F492"/>
    <hyperlink r:id="rId1969" ref="C493"/>
    <hyperlink r:id="rId1970" ref="D493"/>
    <hyperlink r:id="rId1971" ref="E493"/>
    <hyperlink r:id="rId1972" ref="F493"/>
    <hyperlink r:id="rId1973" ref="M493"/>
    <hyperlink r:id="rId1974" ref="D494"/>
    <hyperlink r:id="rId1975" ref="E494"/>
    <hyperlink r:id="rId1976" ref="F494"/>
    <hyperlink r:id="rId1977" ref="D495"/>
    <hyperlink r:id="rId1978" ref="E495"/>
    <hyperlink r:id="rId1979" ref="F495"/>
    <hyperlink r:id="rId1980" ref="C496"/>
    <hyperlink r:id="rId1981" ref="D496"/>
    <hyperlink r:id="rId1982" ref="E496"/>
    <hyperlink r:id="rId1983" ref="F496"/>
    <hyperlink r:id="rId1984" ref="K496"/>
    <hyperlink r:id="rId1985" ref="D497"/>
    <hyperlink r:id="rId1986" ref="E497"/>
    <hyperlink r:id="rId1987" ref="F497"/>
    <hyperlink r:id="rId1988" ref="D498"/>
    <hyperlink r:id="rId1989" ref="E498"/>
    <hyperlink r:id="rId1990" ref="F498"/>
    <hyperlink r:id="rId1991" ref="D499"/>
    <hyperlink r:id="rId1992" ref="E499"/>
    <hyperlink r:id="rId1993" ref="F499"/>
    <hyperlink r:id="rId1994" ref="D500"/>
    <hyperlink r:id="rId1995" ref="E500"/>
    <hyperlink r:id="rId1996" ref="F500"/>
    <hyperlink r:id="rId1997" ref="K500"/>
    <hyperlink r:id="rId1998" ref="D501"/>
    <hyperlink r:id="rId1999" ref="E501"/>
    <hyperlink r:id="rId2000" ref="F501"/>
    <hyperlink r:id="rId2001" ref="D502"/>
    <hyperlink r:id="rId2002" ref="E502"/>
    <hyperlink r:id="rId2003" ref="F502"/>
    <hyperlink r:id="rId2004" ref="D503"/>
    <hyperlink r:id="rId2005" ref="E503"/>
    <hyperlink r:id="rId2006" ref="F503"/>
    <hyperlink r:id="rId2007" ref="D504"/>
    <hyperlink r:id="rId2008" ref="E504"/>
    <hyperlink r:id="rId2009" ref="F504"/>
    <hyperlink r:id="rId2010" ref="D505"/>
    <hyperlink r:id="rId2011" ref="E505"/>
    <hyperlink r:id="rId2012" ref="F505"/>
    <hyperlink r:id="rId2013" ref="C506"/>
    <hyperlink r:id="rId2014" ref="D506"/>
    <hyperlink r:id="rId2015" ref="E506"/>
    <hyperlink r:id="rId2016" ref="F506"/>
    <hyperlink r:id="rId2017" location="Athletics" ref="K506"/>
    <hyperlink r:id="rId2018" ref="C507"/>
    <hyperlink r:id="rId2019" ref="D507"/>
    <hyperlink r:id="rId2020" ref="E507"/>
    <hyperlink r:id="rId2021" ref="F507"/>
    <hyperlink r:id="rId2022" ref="K507"/>
    <hyperlink r:id="rId2023" ref="M507"/>
    <hyperlink r:id="rId2024" ref="D508"/>
    <hyperlink r:id="rId2025" ref="E508"/>
    <hyperlink r:id="rId2026" ref="F508"/>
    <hyperlink r:id="rId2027" ref="D509"/>
    <hyperlink r:id="rId2028" ref="E509"/>
    <hyperlink r:id="rId2029" ref="F509"/>
    <hyperlink r:id="rId2030" ref="K509"/>
    <hyperlink r:id="rId2031" ref="C510"/>
    <hyperlink r:id="rId2032" ref="D510"/>
    <hyperlink r:id="rId2033" ref="E510"/>
    <hyperlink r:id="rId2034" ref="F510"/>
    <hyperlink r:id="rId2035" ref="K510"/>
    <hyperlink r:id="rId2036" ref="D511"/>
    <hyperlink r:id="rId2037" ref="E511"/>
    <hyperlink r:id="rId2038" ref="F511"/>
    <hyperlink r:id="rId2039" ref="D512"/>
    <hyperlink r:id="rId2040" ref="E512"/>
    <hyperlink r:id="rId2041" ref="F512"/>
    <hyperlink r:id="rId2042" ref="K512"/>
    <hyperlink r:id="rId2043" ref="M512"/>
    <hyperlink r:id="rId2044" ref="D513"/>
    <hyperlink r:id="rId2045" ref="E513"/>
    <hyperlink r:id="rId2046" ref="F513"/>
    <hyperlink r:id="rId2047" ref="K513"/>
    <hyperlink r:id="rId2048" ref="M513"/>
    <hyperlink r:id="rId2049" ref="D514"/>
    <hyperlink r:id="rId2050" ref="E514"/>
    <hyperlink r:id="rId2051" ref="F514"/>
    <hyperlink r:id="rId2052" ref="C515"/>
    <hyperlink r:id="rId2053" ref="D515"/>
    <hyperlink r:id="rId2054" ref="E515"/>
    <hyperlink r:id="rId2055" ref="F515"/>
    <hyperlink r:id="rId2056" ref="K515"/>
    <hyperlink r:id="rId2057" ref="C516"/>
    <hyperlink r:id="rId2058" ref="D516"/>
    <hyperlink r:id="rId2059" ref="E516"/>
    <hyperlink r:id="rId2060" ref="F516"/>
    <hyperlink r:id="rId2061" ref="K516"/>
    <hyperlink r:id="rId2062" ref="D517"/>
    <hyperlink r:id="rId2063" ref="E517"/>
    <hyperlink r:id="rId2064" ref="F517"/>
    <hyperlink r:id="rId2065" ref="D518"/>
    <hyperlink r:id="rId2066" ref="E518"/>
    <hyperlink r:id="rId2067" ref="F518"/>
    <hyperlink r:id="rId2068" ref="D519"/>
    <hyperlink r:id="rId2069" ref="E519"/>
    <hyperlink r:id="rId2070" ref="F519"/>
    <hyperlink r:id="rId2071" ref="D520"/>
    <hyperlink r:id="rId2072" ref="E520"/>
    <hyperlink r:id="rId2073" ref="F520"/>
    <hyperlink r:id="rId2074" ref="K520"/>
    <hyperlink r:id="rId2075" ref="D521"/>
    <hyperlink r:id="rId2076" ref="E521"/>
    <hyperlink r:id="rId2077" ref="F521"/>
    <hyperlink r:id="rId2078" ref="K521"/>
    <hyperlink r:id="rId2079" ref="D522"/>
    <hyperlink r:id="rId2080" ref="E522"/>
    <hyperlink r:id="rId2081" ref="F522"/>
    <hyperlink r:id="rId2082" ref="D523"/>
    <hyperlink r:id="rId2083" ref="E523"/>
    <hyperlink r:id="rId2084" ref="F523"/>
    <hyperlink r:id="rId2085" ref="K523"/>
    <hyperlink r:id="rId2086" ref="M523"/>
    <hyperlink r:id="rId2087" ref="D524"/>
    <hyperlink r:id="rId2088" ref="E524"/>
    <hyperlink r:id="rId2089" ref="F524"/>
    <hyperlink r:id="rId2090" ref="K524"/>
    <hyperlink r:id="rId2091" ref="M524"/>
    <hyperlink r:id="rId2092" ref="D525"/>
    <hyperlink r:id="rId2093" ref="E525"/>
    <hyperlink r:id="rId2094" ref="F525"/>
    <hyperlink r:id="rId2095" ref="M525"/>
    <hyperlink r:id="rId2096" ref="D526"/>
    <hyperlink r:id="rId2097" ref="E526"/>
    <hyperlink r:id="rId2098" ref="F526"/>
    <hyperlink r:id="rId2099" ref="D527"/>
    <hyperlink r:id="rId2100" ref="E527"/>
    <hyperlink r:id="rId2101" ref="F527"/>
    <hyperlink r:id="rId2102" ref="D528"/>
    <hyperlink r:id="rId2103" ref="E528"/>
    <hyperlink r:id="rId2104" ref="F528"/>
    <hyperlink r:id="rId2105" ref="C529"/>
    <hyperlink r:id="rId2106" ref="D529"/>
    <hyperlink r:id="rId2107" ref="E529"/>
    <hyperlink r:id="rId2108" ref="F529"/>
    <hyperlink r:id="rId2109" ref="M529"/>
    <hyperlink r:id="rId2110" ref="D530"/>
    <hyperlink r:id="rId2111" ref="E530"/>
    <hyperlink r:id="rId2112" ref="F530"/>
    <hyperlink r:id="rId2113" ref="D531"/>
    <hyperlink r:id="rId2114" ref="E531"/>
    <hyperlink r:id="rId2115" ref="F531"/>
    <hyperlink r:id="rId2116" ref="D532"/>
    <hyperlink r:id="rId2117" ref="E532"/>
    <hyperlink r:id="rId2118" ref="F532"/>
    <hyperlink r:id="rId2119" ref="D533"/>
    <hyperlink r:id="rId2120" ref="E533"/>
    <hyperlink r:id="rId2121" ref="F533"/>
    <hyperlink r:id="rId2122" location="Fieldhouse" ref="D534"/>
    <hyperlink r:id="rId2123" ref="E534"/>
    <hyperlink r:id="rId2124" ref="F534"/>
    <hyperlink r:id="rId2125" ref="K534"/>
    <hyperlink r:id="rId2126" ref="D535"/>
    <hyperlink r:id="rId2127" ref="E535"/>
    <hyperlink r:id="rId2128" ref="F535"/>
    <hyperlink r:id="rId2129" ref="D536"/>
    <hyperlink r:id="rId2130" ref="E536"/>
    <hyperlink r:id="rId2131" ref="F536"/>
    <hyperlink r:id="rId2132" ref="D537"/>
    <hyperlink r:id="rId2133" ref="E537"/>
    <hyperlink r:id="rId2134" ref="F537"/>
    <hyperlink r:id="rId2135" ref="K537"/>
    <hyperlink r:id="rId2136" ref="D538"/>
    <hyperlink r:id="rId2137" ref="E538"/>
    <hyperlink r:id="rId2138" ref="F538"/>
    <hyperlink r:id="rId2139" ref="D539"/>
    <hyperlink r:id="rId2140" ref="E539"/>
    <hyperlink r:id="rId2141" ref="F539"/>
    <hyperlink r:id="rId2142" ref="K539"/>
    <hyperlink r:id="rId2143" ref="D540"/>
    <hyperlink r:id="rId2144" ref="E540"/>
    <hyperlink r:id="rId2145" ref="F540"/>
    <hyperlink r:id="rId2146" ref="D541"/>
    <hyperlink r:id="rId2147" ref="E541"/>
    <hyperlink r:id="rId2148" ref="F541"/>
    <hyperlink r:id="rId2149" ref="C542"/>
    <hyperlink r:id="rId2150" ref="D542"/>
    <hyperlink r:id="rId2151" ref="E542"/>
    <hyperlink r:id="rId2152" ref="F542"/>
    <hyperlink r:id="rId2153" ref="K542"/>
    <hyperlink r:id="rId2154" ref="B554"/>
    <hyperlink r:id="rId2155" ref="B556"/>
    <hyperlink r:id="rId2156" ref="C556"/>
    <hyperlink r:id="rId2157" location="Club_sports" ref="D556"/>
    <hyperlink r:id="rId2158" ref="B557"/>
    <hyperlink r:id="rId2159" ref="C557"/>
    <hyperlink r:id="rId2160" ref="D557"/>
    <hyperlink r:id="rId2161" ref="B558"/>
    <hyperlink r:id="rId2162" ref="C558"/>
    <hyperlink r:id="rId2163" ref="D558"/>
    <hyperlink r:id="rId2164" ref="B559"/>
    <hyperlink r:id="rId2165" ref="C559"/>
    <hyperlink r:id="rId2166" ref="D559"/>
    <hyperlink r:id="rId2167" ref="B560"/>
    <hyperlink r:id="rId2168" ref="C560"/>
    <hyperlink r:id="rId2169" ref="B562"/>
    <hyperlink r:id="rId2170" ref="B566"/>
    <hyperlink r:id="rId2171" ref="B567"/>
    <hyperlink r:id="rId2172" ref="B568"/>
    <hyperlink r:id="rId2173" ref="B569"/>
    <hyperlink r:id="rId2174" ref="B570"/>
    <hyperlink r:id="rId2175" ref="B571"/>
    <hyperlink r:id="rId2176" ref="B572"/>
    <hyperlink r:id="rId2177" ref="B573"/>
    <hyperlink r:id="rId2178" ref="B574"/>
    <hyperlink r:id="rId2179" ref="B575"/>
    <hyperlink r:id="rId2180" ref="B576"/>
    <hyperlink r:id="rId2181" ref="B577"/>
    <hyperlink r:id="rId2182" ref="B578"/>
    <hyperlink r:id="rId2183" ref="B579"/>
    <hyperlink r:id="rId2184" ref="B580"/>
    <hyperlink r:id="rId2185" ref="B581"/>
    <hyperlink r:id="rId2186" ref="B582"/>
    <hyperlink r:id="rId2187" ref="B583"/>
    <hyperlink r:id="rId2188" ref="B584"/>
    <hyperlink r:id="rId2189" ref="B585"/>
    <hyperlink r:id="rId2190" ref="B586"/>
    <hyperlink r:id="rId2191" ref="B587"/>
    <hyperlink r:id="rId2192" ref="B588"/>
    <hyperlink r:id="rId2193" ref="B589"/>
    <hyperlink r:id="rId2194" ref="B590"/>
    <hyperlink r:id="rId2195" ref="B591"/>
    <hyperlink r:id="rId2196" ref="B592"/>
    <hyperlink r:id="rId2197" ref="B593"/>
    <hyperlink r:id="rId2198" ref="B594"/>
    <hyperlink r:id="rId2199" ref="B595"/>
    <hyperlink r:id="rId2200" ref="B596"/>
    <hyperlink r:id="rId2201" ref="B597"/>
    <hyperlink r:id="rId2202" ref="B598"/>
    <hyperlink r:id="rId2203" ref="B600"/>
    <hyperlink r:id="rId2204" ref="B601"/>
    <hyperlink r:id="rId2205" ref="B602"/>
    <hyperlink r:id="rId2206" ref="B603"/>
    <hyperlink r:id="rId2207" ref="B604"/>
    <hyperlink r:id="rId2208" ref="B605"/>
    <hyperlink r:id="rId2209" ref="B606"/>
    <hyperlink r:id="rId2210" ref="B607"/>
    <hyperlink r:id="rId2211" ref="B608"/>
    <hyperlink r:id="rId2212" ref="B609"/>
    <hyperlink r:id="rId2213" ref="B610"/>
    <hyperlink r:id="rId2214" ref="B611"/>
    <hyperlink r:id="rId2215" ref="B612"/>
    <hyperlink r:id="rId2216" ref="B613"/>
    <hyperlink r:id="rId2217" ref="B614"/>
    <hyperlink r:id="rId2218" ref="B615"/>
    <hyperlink r:id="rId2219" ref="B616"/>
    <hyperlink r:id="rId2220" ref="B617"/>
    <hyperlink r:id="rId2221" ref="B618"/>
    <hyperlink r:id="rId2222" ref="B619"/>
    <hyperlink r:id="rId2223" ref="B620"/>
    <hyperlink r:id="rId2224" ref="B621"/>
    <hyperlink r:id="rId2225" ref="B622"/>
    <hyperlink r:id="rId2226" ref="B623"/>
    <hyperlink r:id="rId2227" ref="B624"/>
    <hyperlink r:id="rId2228" ref="B626"/>
    <hyperlink r:id="rId2229" ref="B627"/>
    <hyperlink r:id="rId2230" ref="B628"/>
  </hyperlinks>
  <printOptions gridLines="1" horizontalCentered="1"/>
  <pageMargins bottom="0.20809792843691147" footer="0.0" header="0.0" left="0.256120527306968" right="0.24811676082862522" top="0.20809792843691147"/>
  <pageSetup fitToHeight="0" cellComments="atEnd" orientation="portrait" pageOrder="overThenDown"/>
  <drawing r:id="rId223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5.25"/>
    <col customWidth="1" min="2" max="2" width="6.0"/>
    <col customWidth="1" min="3" max="3" width="27.5"/>
    <col customWidth="1" min="4" max="4" width="14.63"/>
    <col customWidth="1" min="5" max="5" width="14.25"/>
    <col customWidth="1" min="8" max="8" width="9.0"/>
    <col customWidth="1" min="9" max="9" width="10.88"/>
    <col customWidth="1" min="10" max="10" width="30.63"/>
    <col customWidth="1" min="11" max="11" width="7.5"/>
  </cols>
  <sheetData>
    <row r="1">
      <c r="A1" s="36" t="s">
        <v>2303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</row>
    <row r="2">
      <c r="A2" s="36" t="s">
        <v>33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</row>
    <row r="4">
      <c r="A4" s="39"/>
      <c r="B4" s="88" t="s">
        <v>2304</v>
      </c>
      <c r="C4" s="34"/>
      <c r="D4" s="34"/>
      <c r="E4" s="34"/>
      <c r="F4" s="38"/>
      <c r="G4" s="34"/>
      <c r="H4" s="34"/>
      <c r="I4" s="34"/>
      <c r="J4" s="34"/>
      <c r="K4" s="34"/>
      <c r="L4" s="34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>
      <c r="A5" s="39"/>
      <c r="B5" s="88" t="s">
        <v>2305</v>
      </c>
      <c r="C5" s="34"/>
      <c r="D5" s="34"/>
      <c r="E5" s="34"/>
      <c r="F5" s="38"/>
      <c r="G5" s="34"/>
      <c r="H5" s="34"/>
      <c r="I5" s="34"/>
      <c r="J5" s="34"/>
      <c r="K5" s="34"/>
      <c r="L5" s="34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>
      <c r="A6" s="39"/>
      <c r="B6" s="88" t="s">
        <v>2306</v>
      </c>
      <c r="C6" s="34"/>
      <c r="D6" s="34"/>
      <c r="E6" s="34"/>
      <c r="F6" s="38"/>
      <c r="G6" s="34"/>
      <c r="H6" s="34"/>
      <c r="I6" s="34"/>
      <c r="J6" s="34"/>
      <c r="K6" s="34"/>
      <c r="L6" s="34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>
      <c r="A7" s="39"/>
      <c r="B7" s="67" t="s">
        <v>1180</v>
      </c>
      <c r="C7" s="34"/>
      <c r="D7" s="34"/>
      <c r="E7" s="34"/>
      <c r="F7" s="38"/>
      <c r="G7" s="34"/>
      <c r="H7" s="34"/>
      <c r="I7" s="34"/>
      <c r="J7" s="34"/>
      <c r="K7" s="34"/>
      <c r="L7" s="34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</row>
    <row r="8">
      <c r="A8" s="39"/>
      <c r="B8" s="83"/>
      <c r="C8" s="83"/>
      <c r="D8" s="83"/>
      <c r="E8" s="83"/>
      <c r="F8" s="84"/>
      <c r="G8" s="83"/>
      <c r="H8" s="83"/>
      <c r="I8" s="83"/>
      <c r="J8" s="83"/>
      <c r="K8" s="83"/>
      <c r="L8" s="34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>
      <c r="A9" s="39"/>
      <c r="B9" s="43" t="s">
        <v>1182</v>
      </c>
      <c r="C9" s="43" t="s">
        <v>1184</v>
      </c>
      <c r="D9" s="43" t="s">
        <v>41</v>
      </c>
      <c r="E9" s="43" t="s">
        <v>42</v>
      </c>
      <c r="F9" s="44" t="s">
        <v>1185</v>
      </c>
      <c r="G9" s="43" t="s">
        <v>1186</v>
      </c>
      <c r="H9" s="43" t="s">
        <v>1187</v>
      </c>
      <c r="I9" s="43" t="s">
        <v>2307</v>
      </c>
      <c r="J9" s="43" t="s">
        <v>1189</v>
      </c>
      <c r="K9" s="43" t="s">
        <v>1190</v>
      </c>
      <c r="L9" s="34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</row>
    <row r="10">
      <c r="A10" s="39"/>
      <c r="B10" s="50">
        <v>1.0</v>
      </c>
      <c r="C10" s="49" t="s">
        <v>375</v>
      </c>
      <c r="D10" s="49" t="s">
        <v>376</v>
      </c>
      <c r="E10" s="49" t="s">
        <v>163</v>
      </c>
      <c r="F10" s="48">
        <v>49207.0</v>
      </c>
      <c r="G10" s="48">
        <v>35642.0</v>
      </c>
      <c r="H10" s="76"/>
      <c r="I10" s="89">
        <f t="shared" ref="I10:I101" si="1">AVERAGE(F10:H10)</f>
        <v>42424.5</v>
      </c>
      <c r="J10" s="49" t="s">
        <v>2308</v>
      </c>
      <c r="K10" s="50">
        <v>1980.0</v>
      </c>
      <c r="L10" s="34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</row>
    <row r="11">
      <c r="A11" s="39"/>
      <c r="B11" s="50">
        <v>2.0</v>
      </c>
      <c r="C11" s="49" t="s">
        <v>2309</v>
      </c>
      <c r="D11" s="49" t="s">
        <v>358</v>
      </c>
      <c r="E11" s="49" t="s">
        <v>153</v>
      </c>
      <c r="F11" s="48">
        <v>21750.0</v>
      </c>
      <c r="G11" s="48">
        <v>21750.0</v>
      </c>
      <c r="H11" s="76"/>
      <c r="I11" s="89">
        <f t="shared" si="1"/>
        <v>21750</v>
      </c>
      <c r="J11" s="49" t="s">
        <v>2310</v>
      </c>
      <c r="K11" s="50">
        <v>1986.0</v>
      </c>
      <c r="L11" s="34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</row>
    <row r="12">
      <c r="A12" s="39"/>
      <c r="B12" s="50">
        <v>3.0</v>
      </c>
      <c r="C12" s="49" t="s">
        <v>2311</v>
      </c>
      <c r="D12" s="49" t="s">
        <v>68</v>
      </c>
      <c r="E12" s="49" t="s">
        <v>69</v>
      </c>
      <c r="F12" s="48">
        <v>21678.0</v>
      </c>
      <c r="G12" s="48">
        <v>21678.0</v>
      </c>
      <c r="H12" s="76"/>
      <c r="I12" s="89">
        <f t="shared" si="1"/>
        <v>21678</v>
      </c>
      <c r="J12" s="49" t="s">
        <v>2312</v>
      </c>
      <c r="K12" s="50">
        <v>1987.0</v>
      </c>
      <c r="L12" s="34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>
      <c r="A13" s="39"/>
      <c r="B13" s="50">
        <v>4.0</v>
      </c>
      <c r="C13" s="49" t="s">
        <v>2313</v>
      </c>
      <c r="D13" s="49" t="s">
        <v>1263</v>
      </c>
      <c r="E13" s="49" t="s">
        <v>232</v>
      </c>
      <c r="F13" s="48">
        <v>19522.0</v>
      </c>
      <c r="G13" s="48">
        <v>18500.0</v>
      </c>
      <c r="H13" s="48">
        <v>16606.0</v>
      </c>
      <c r="I13" s="89">
        <f t="shared" si="1"/>
        <v>18209.33333</v>
      </c>
      <c r="J13" s="49" t="s">
        <v>2314</v>
      </c>
      <c r="K13" s="50">
        <v>1983.0</v>
      </c>
      <c r="L13" s="34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</row>
    <row r="14">
      <c r="A14" s="39"/>
      <c r="B14" s="50">
        <v>5.0</v>
      </c>
      <c r="C14" s="49" t="s">
        <v>2315</v>
      </c>
      <c r="D14" s="49" t="s">
        <v>138</v>
      </c>
      <c r="E14" s="49" t="s">
        <v>139</v>
      </c>
      <c r="F14" s="48">
        <v>19368.0</v>
      </c>
      <c r="G14" s="48">
        <v>19368.0</v>
      </c>
      <c r="H14" s="76"/>
      <c r="I14" s="89">
        <f t="shared" si="1"/>
        <v>19368</v>
      </c>
      <c r="J14" s="49" t="s">
        <v>2316</v>
      </c>
      <c r="K14" s="50">
        <v>1993.0</v>
      </c>
      <c r="L14" s="34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</row>
    <row r="15">
      <c r="A15" s="39"/>
      <c r="B15" s="50">
        <v>6.0</v>
      </c>
      <c r="C15" s="49" t="s">
        <v>2317</v>
      </c>
      <c r="D15" s="49" t="s">
        <v>127</v>
      </c>
      <c r="E15" s="49" t="s">
        <v>106</v>
      </c>
      <c r="F15" s="48">
        <v>19000.0</v>
      </c>
      <c r="G15" s="48">
        <v>18000.0</v>
      </c>
      <c r="H15" s="76"/>
      <c r="I15" s="89">
        <f t="shared" si="1"/>
        <v>18500</v>
      </c>
      <c r="J15" s="49" t="s">
        <v>2318</v>
      </c>
      <c r="K15" s="50">
        <v>2002.0</v>
      </c>
      <c r="L15" s="34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</row>
    <row r="16">
      <c r="A16" s="39"/>
      <c r="B16" s="50">
        <v>7.0</v>
      </c>
      <c r="C16" s="49" t="s">
        <v>2319</v>
      </c>
      <c r="D16" s="49" t="s">
        <v>242</v>
      </c>
      <c r="E16" s="49" t="s">
        <v>243</v>
      </c>
      <c r="F16" s="48">
        <v>18987.0</v>
      </c>
      <c r="G16" s="48">
        <v>18987.0</v>
      </c>
      <c r="H16" s="76"/>
      <c r="I16" s="89">
        <f t="shared" si="1"/>
        <v>18987</v>
      </c>
      <c r="J16" s="49" t="s">
        <v>2320</v>
      </c>
      <c r="K16" s="50">
        <v>1971.0</v>
      </c>
      <c r="L16" s="34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</row>
    <row r="17">
      <c r="A17" s="39"/>
      <c r="B17" s="50">
        <v>8.0</v>
      </c>
      <c r="C17" s="49" t="s">
        <v>2321</v>
      </c>
      <c r="D17" s="49" t="s">
        <v>56</v>
      </c>
      <c r="E17" s="49" t="s">
        <v>57</v>
      </c>
      <c r="F17" s="48">
        <v>18809.0</v>
      </c>
      <c r="G17" s="48">
        <v>18809.0</v>
      </c>
      <c r="H17" s="48">
        <v>17500.0</v>
      </c>
      <c r="I17" s="89">
        <f t="shared" si="1"/>
        <v>18372.66667</v>
      </c>
      <c r="J17" s="49" t="s">
        <v>2322</v>
      </c>
      <c r="K17" s="50">
        <v>1998.0</v>
      </c>
      <c r="L17" s="34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</row>
    <row r="18">
      <c r="A18" s="39"/>
      <c r="B18" s="50">
        <v>9.0</v>
      </c>
      <c r="C18" s="49" t="s">
        <v>2323</v>
      </c>
      <c r="D18" s="49" t="s">
        <v>338</v>
      </c>
      <c r="E18" s="49" t="s">
        <v>173</v>
      </c>
      <c r="F18" s="48">
        <v>17950.0</v>
      </c>
      <c r="G18" s="48">
        <v>17950.0</v>
      </c>
      <c r="H18" s="76"/>
      <c r="I18" s="89">
        <f t="shared" si="1"/>
        <v>17950</v>
      </c>
      <c r="J18" s="49" t="s">
        <v>2324</v>
      </c>
      <c r="K18" s="50">
        <v>2002.0</v>
      </c>
      <c r="L18" s="34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</row>
    <row r="19">
      <c r="A19" s="39"/>
      <c r="B19" s="50">
        <v>10.0</v>
      </c>
      <c r="C19" s="49" t="s">
        <v>2325</v>
      </c>
      <c r="D19" s="49" t="s">
        <v>146</v>
      </c>
      <c r="E19" s="49" t="s">
        <v>110</v>
      </c>
      <c r="F19" s="48">
        <v>17230.0</v>
      </c>
      <c r="G19" s="48">
        <v>17230.0</v>
      </c>
      <c r="H19" s="48">
        <v>15359.0</v>
      </c>
      <c r="I19" s="89">
        <f t="shared" si="1"/>
        <v>16606.33333</v>
      </c>
      <c r="J19" s="49" t="s">
        <v>2326</v>
      </c>
      <c r="K19" s="50">
        <v>1998.0</v>
      </c>
      <c r="L19" s="34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</row>
    <row r="20">
      <c r="A20" s="39"/>
      <c r="B20" s="50">
        <v>11.0</v>
      </c>
      <c r="C20" s="49" t="s">
        <v>2327</v>
      </c>
      <c r="D20" s="49" t="s">
        <v>330</v>
      </c>
      <c r="E20" s="49" t="s">
        <v>124</v>
      </c>
      <c r="F20" s="48">
        <v>17222.0</v>
      </c>
      <c r="G20" s="48">
        <v>17222.0</v>
      </c>
      <c r="H20" s="76"/>
      <c r="I20" s="89">
        <f t="shared" si="1"/>
        <v>17222</v>
      </c>
      <c r="J20" s="49" t="s">
        <v>2328</v>
      </c>
      <c r="K20" s="50">
        <v>1971.0</v>
      </c>
      <c r="L20" s="34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>
      <c r="A21" s="39"/>
      <c r="B21" s="50">
        <v>12.0</v>
      </c>
      <c r="C21" s="49" t="s">
        <v>2329</v>
      </c>
      <c r="D21" s="49" t="s">
        <v>387</v>
      </c>
      <c r="E21" s="49" t="s">
        <v>369</v>
      </c>
      <c r="F21" s="48">
        <v>16300.0</v>
      </c>
      <c r="G21" s="48">
        <v>16300.0</v>
      </c>
      <c r="H21" s="76"/>
      <c r="I21" s="89">
        <f t="shared" si="1"/>
        <v>16300</v>
      </c>
      <c r="J21" s="49" t="s">
        <v>2330</v>
      </c>
      <c r="K21" s="50">
        <v>1955.0</v>
      </c>
      <c r="L21" s="34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</row>
    <row r="22">
      <c r="A22" s="39"/>
      <c r="B22" s="50">
        <v>13.0</v>
      </c>
      <c r="C22" s="49" t="s">
        <v>2331</v>
      </c>
      <c r="D22" s="49" t="s">
        <v>457</v>
      </c>
      <c r="E22" s="49" t="s">
        <v>84</v>
      </c>
      <c r="F22" s="48">
        <v>16182.0</v>
      </c>
      <c r="G22" s="48">
        <v>15544.0</v>
      </c>
      <c r="H22" s="48">
        <v>14224.0</v>
      </c>
      <c r="I22" s="89">
        <f t="shared" si="1"/>
        <v>15316.66667</v>
      </c>
      <c r="J22" s="49" t="s">
        <v>2332</v>
      </c>
      <c r="K22" s="50">
        <v>2003.0</v>
      </c>
      <c r="L22" s="34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</row>
    <row r="23">
      <c r="A23" s="39"/>
      <c r="B23" s="50">
        <v>14.0</v>
      </c>
      <c r="C23" s="49" t="s">
        <v>2333</v>
      </c>
      <c r="D23" s="49" t="s">
        <v>294</v>
      </c>
      <c r="E23" s="49" t="s">
        <v>262</v>
      </c>
      <c r="F23" s="48">
        <v>15500.0</v>
      </c>
      <c r="G23" s="48">
        <v>15500.0</v>
      </c>
      <c r="H23" s="76"/>
      <c r="I23" s="89">
        <f t="shared" si="1"/>
        <v>15500</v>
      </c>
      <c r="J23" s="49" t="s">
        <v>2334</v>
      </c>
      <c r="K23" s="50">
        <v>1963.0</v>
      </c>
      <c r="L23" s="34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</row>
    <row r="24">
      <c r="A24" s="39"/>
      <c r="B24" s="50">
        <v>15.0</v>
      </c>
      <c r="C24" s="49" t="s">
        <v>2335</v>
      </c>
      <c r="D24" s="49" t="s">
        <v>474</v>
      </c>
      <c r="E24" s="49" t="s">
        <v>475</v>
      </c>
      <c r="F24" s="48">
        <v>15411.0</v>
      </c>
      <c r="G24" s="48">
        <v>15411.0</v>
      </c>
      <c r="H24" s="76"/>
      <c r="I24" s="89">
        <f t="shared" si="1"/>
        <v>15411</v>
      </c>
      <c r="J24" s="49" t="s">
        <v>2336</v>
      </c>
      <c r="K24" s="50">
        <v>1966.0</v>
      </c>
      <c r="L24" s="34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</row>
    <row r="25">
      <c r="A25" s="39"/>
      <c r="B25" s="50">
        <v>16.0</v>
      </c>
      <c r="C25" s="49" t="s">
        <v>2337</v>
      </c>
      <c r="D25" s="49" t="s">
        <v>183</v>
      </c>
      <c r="E25" s="49" t="s">
        <v>184</v>
      </c>
      <c r="F25" s="48">
        <v>15400.0</v>
      </c>
      <c r="G25" s="48">
        <v>15500.0</v>
      </c>
      <c r="H25" s="76"/>
      <c r="I25" s="89">
        <f t="shared" si="1"/>
        <v>15450</v>
      </c>
      <c r="J25" s="49" t="s">
        <v>2338</v>
      </c>
      <c r="K25" s="50">
        <v>1983.0</v>
      </c>
      <c r="L25" s="34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>
      <c r="A26" s="39"/>
      <c r="B26" s="50">
        <v>17.0</v>
      </c>
      <c r="C26" s="49" t="s">
        <v>2339</v>
      </c>
      <c r="D26" s="49" t="s">
        <v>75</v>
      </c>
      <c r="E26" s="49" t="s">
        <v>76</v>
      </c>
      <c r="F26" s="48">
        <v>15383.0</v>
      </c>
      <c r="G26" s="48">
        <v>15383.0</v>
      </c>
      <c r="H26" s="76"/>
      <c r="I26" s="89">
        <f t="shared" si="1"/>
        <v>15383</v>
      </c>
      <c r="J26" s="49" t="s">
        <v>2340</v>
      </c>
      <c r="K26" s="50">
        <v>1968.0</v>
      </c>
      <c r="L26" s="34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</row>
    <row r="27">
      <c r="A27" s="39"/>
      <c r="B27" s="50">
        <v>18.0</v>
      </c>
      <c r="C27" s="49" t="s">
        <v>2341</v>
      </c>
      <c r="D27" s="49" t="s">
        <v>52</v>
      </c>
      <c r="E27" s="49" t="s">
        <v>53</v>
      </c>
      <c r="F27" s="48">
        <v>15261.0</v>
      </c>
      <c r="G27" s="48">
        <v>15261.0</v>
      </c>
      <c r="H27" s="76"/>
      <c r="I27" s="89">
        <f t="shared" si="1"/>
        <v>15261</v>
      </c>
      <c r="J27" s="49" t="s">
        <v>2342</v>
      </c>
      <c r="K27" s="50">
        <v>1996.0</v>
      </c>
      <c r="L27" s="34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</row>
    <row r="28">
      <c r="A28" s="39"/>
      <c r="B28" s="50">
        <v>19.0</v>
      </c>
      <c r="C28" s="49" t="s">
        <v>2343</v>
      </c>
      <c r="D28" s="49" t="s">
        <v>300</v>
      </c>
      <c r="E28" s="49" t="s">
        <v>61</v>
      </c>
      <c r="F28" s="48">
        <v>15098.0</v>
      </c>
      <c r="G28" s="48">
        <v>15098.0</v>
      </c>
      <c r="H28" s="76"/>
      <c r="I28" s="89">
        <f t="shared" si="1"/>
        <v>15098</v>
      </c>
      <c r="J28" s="49" t="s">
        <v>2344</v>
      </c>
      <c r="K28" s="50">
        <v>1999.0</v>
      </c>
      <c r="L28" s="34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</row>
    <row r="29">
      <c r="A29" s="39"/>
      <c r="B29" s="50">
        <v>20.0</v>
      </c>
      <c r="C29" s="49" t="s">
        <v>2345</v>
      </c>
      <c r="D29" s="49" t="s">
        <v>127</v>
      </c>
      <c r="E29" s="49" t="s">
        <v>135</v>
      </c>
      <c r="F29" s="48">
        <v>15061.0</v>
      </c>
      <c r="G29" s="48">
        <v>15061.0</v>
      </c>
      <c r="H29" s="76"/>
      <c r="I29" s="89">
        <f t="shared" si="1"/>
        <v>15061</v>
      </c>
      <c r="J29" s="49" t="s">
        <v>2346</v>
      </c>
      <c r="K29" s="50">
        <v>2004.0</v>
      </c>
      <c r="L29" s="34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</row>
    <row r="30">
      <c r="A30" s="39"/>
      <c r="B30" s="50">
        <v>21.0</v>
      </c>
      <c r="C30" s="49" t="s">
        <v>2347</v>
      </c>
      <c r="D30" s="49" t="s">
        <v>558</v>
      </c>
      <c r="E30" s="49" t="s">
        <v>559</v>
      </c>
      <c r="F30" s="48">
        <v>15028.0</v>
      </c>
      <c r="G30" s="48">
        <v>15028.0</v>
      </c>
      <c r="H30" s="76"/>
      <c r="I30" s="89">
        <f t="shared" si="1"/>
        <v>15028</v>
      </c>
      <c r="J30" s="49" t="s">
        <v>2348</v>
      </c>
      <c r="K30" s="50">
        <v>1982.0</v>
      </c>
      <c r="L30" s="34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</row>
    <row r="31">
      <c r="A31" s="39"/>
      <c r="B31" s="50">
        <v>22.0</v>
      </c>
      <c r="C31" s="49" t="s">
        <v>2349</v>
      </c>
      <c r="D31" s="49" t="s">
        <v>344</v>
      </c>
      <c r="E31" s="49" t="s">
        <v>243</v>
      </c>
      <c r="F31" s="48">
        <v>15000.0</v>
      </c>
      <c r="G31" s="48">
        <v>15000.0</v>
      </c>
      <c r="H31" s="76"/>
      <c r="I31" s="89">
        <f t="shared" si="1"/>
        <v>15000</v>
      </c>
      <c r="J31" s="49" t="s">
        <v>2350</v>
      </c>
      <c r="K31" s="50">
        <v>1969.0</v>
      </c>
      <c r="L31" s="34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</row>
    <row r="32">
      <c r="A32" s="39"/>
      <c r="B32" s="50">
        <v>23.0</v>
      </c>
      <c r="C32" s="49" t="s">
        <v>2351</v>
      </c>
      <c r="D32" s="49" t="s">
        <v>72</v>
      </c>
      <c r="E32" s="49" t="s">
        <v>61</v>
      </c>
      <c r="F32" s="48">
        <v>15000.0</v>
      </c>
      <c r="G32" s="48">
        <v>10763.0</v>
      </c>
      <c r="H32" s="76"/>
      <c r="I32" s="89">
        <f t="shared" si="1"/>
        <v>12881.5</v>
      </c>
      <c r="J32" s="49" t="s">
        <v>2352</v>
      </c>
      <c r="K32" s="50">
        <v>2022.0</v>
      </c>
      <c r="L32" s="34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</row>
    <row r="33">
      <c r="A33" s="39"/>
      <c r="B33" s="50">
        <v>24.0</v>
      </c>
      <c r="C33" s="49" t="s">
        <v>2353</v>
      </c>
      <c r="D33" s="49" t="s">
        <v>276</v>
      </c>
      <c r="E33" s="49" t="s">
        <v>124</v>
      </c>
      <c r="F33" s="48">
        <v>14804.0</v>
      </c>
      <c r="G33" s="48">
        <v>14804.0</v>
      </c>
      <c r="H33" s="76"/>
      <c r="I33" s="89">
        <f t="shared" si="1"/>
        <v>14804</v>
      </c>
      <c r="J33" s="49" t="s">
        <v>2354</v>
      </c>
      <c r="K33" s="50">
        <v>1967.0</v>
      </c>
      <c r="L33" s="34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>
      <c r="A34" s="39"/>
      <c r="B34" s="50">
        <v>25.0</v>
      </c>
      <c r="C34" s="49" t="s">
        <v>2355</v>
      </c>
      <c r="D34" s="49" t="s">
        <v>149</v>
      </c>
      <c r="E34" s="49" t="s">
        <v>48</v>
      </c>
      <c r="F34" s="48">
        <v>14759.0</v>
      </c>
      <c r="G34" s="48">
        <v>14759.0</v>
      </c>
      <c r="H34" s="76"/>
      <c r="I34" s="89">
        <f t="shared" si="1"/>
        <v>14759</v>
      </c>
      <c r="J34" s="49" t="s">
        <v>2356</v>
      </c>
      <c r="K34" s="50">
        <v>1989.0</v>
      </c>
      <c r="L34" s="34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>
      <c r="A35" s="39"/>
      <c r="B35" s="50">
        <v>26.0</v>
      </c>
      <c r="C35" s="49" t="s">
        <v>2357</v>
      </c>
      <c r="D35" s="49" t="s">
        <v>528</v>
      </c>
      <c r="E35" s="49" t="s">
        <v>153</v>
      </c>
      <c r="F35" s="48">
        <v>14665.0</v>
      </c>
      <c r="G35" s="48">
        <v>14665.0</v>
      </c>
      <c r="H35" s="48">
        <v>14571.0</v>
      </c>
      <c r="I35" s="89">
        <f t="shared" si="1"/>
        <v>14633.66667</v>
      </c>
      <c r="J35" s="49" t="s">
        <v>2358</v>
      </c>
      <c r="K35" s="50">
        <v>1989.0</v>
      </c>
      <c r="L35" s="34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>
      <c r="A36" s="39"/>
      <c r="B36" s="50">
        <v>27.0</v>
      </c>
      <c r="C36" s="49" t="s">
        <v>2359</v>
      </c>
      <c r="D36" s="49" t="s">
        <v>355</v>
      </c>
      <c r="E36" s="49" t="s">
        <v>247</v>
      </c>
      <c r="F36" s="48">
        <v>14644.0</v>
      </c>
      <c r="G36" s="48">
        <v>14644.0</v>
      </c>
      <c r="H36" s="76"/>
      <c r="I36" s="89">
        <f t="shared" si="1"/>
        <v>14644</v>
      </c>
      <c r="J36" s="49" t="s">
        <v>2360</v>
      </c>
      <c r="K36" s="50">
        <v>1973.0</v>
      </c>
      <c r="L36" s="34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>
      <c r="A37" s="39"/>
      <c r="B37" s="50">
        <v>28.0</v>
      </c>
      <c r="C37" s="49" t="s">
        <v>2361</v>
      </c>
      <c r="D37" s="49" t="s">
        <v>213</v>
      </c>
      <c r="E37" s="49" t="s">
        <v>214</v>
      </c>
      <c r="F37" s="48">
        <v>14625.0</v>
      </c>
      <c r="G37" s="48">
        <v>14625.0</v>
      </c>
      <c r="H37" s="76"/>
      <c r="I37" s="89">
        <f t="shared" si="1"/>
        <v>14625</v>
      </c>
      <c r="J37" s="49" t="s">
        <v>2362</v>
      </c>
      <c r="K37" s="50">
        <v>1928.0</v>
      </c>
      <c r="L37" s="34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>
      <c r="A38" s="39"/>
      <c r="B38" s="50">
        <v>29.0</v>
      </c>
      <c r="C38" s="49" t="s">
        <v>2363</v>
      </c>
      <c r="D38" s="49" t="s">
        <v>266</v>
      </c>
      <c r="E38" s="49" t="s">
        <v>222</v>
      </c>
      <c r="F38" s="48">
        <v>14593.0</v>
      </c>
      <c r="G38" s="48">
        <v>14593.0</v>
      </c>
      <c r="H38" s="76"/>
      <c r="I38" s="89">
        <f t="shared" si="1"/>
        <v>14593</v>
      </c>
      <c r="J38" s="49" t="s">
        <v>2364</v>
      </c>
      <c r="K38" s="50">
        <v>2006.0</v>
      </c>
      <c r="L38" s="34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>
      <c r="A39" s="39"/>
      <c r="B39" s="50">
        <v>30.0</v>
      </c>
      <c r="C39" s="49" t="s">
        <v>2365</v>
      </c>
      <c r="D39" s="49" t="s">
        <v>269</v>
      </c>
      <c r="E39" s="49" t="s">
        <v>184</v>
      </c>
      <c r="F39" s="48">
        <v>14384.0</v>
      </c>
      <c r="G39" s="48">
        <v>14384.0</v>
      </c>
      <c r="H39" s="76"/>
      <c r="I39" s="89">
        <f t="shared" si="1"/>
        <v>14384</v>
      </c>
      <c r="J39" s="49" t="s">
        <v>2366</v>
      </c>
      <c r="K39" s="50">
        <v>1971.0</v>
      </c>
      <c r="L39" s="34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>
      <c r="A40" s="39"/>
      <c r="B40" s="50">
        <v>31.0</v>
      </c>
      <c r="C40" s="49" t="s">
        <v>2367</v>
      </c>
      <c r="D40" s="49" t="s">
        <v>190</v>
      </c>
      <c r="E40" s="49" t="s">
        <v>69</v>
      </c>
      <c r="F40" s="48">
        <v>14316.0</v>
      </c>
      <c r="G40" s="48">
        <v>14316.0</v>
      </c>
      <c r="H40" s="76"/>
      <c r="I40" s="89">
        <f t="shared" si="1"/>
        <v>14316</v>
      </c>
      <c r="J40" s="49" t="s">
        <v>2368</v>
      </c>
      <c r="K40" s="50">
        <v>1952.0</v>
      </c>
      <c r="L40" s="34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>
      <c r="A41" s="39"/>
      <c r="B41" s="50">
        <v>32.0</v>
      </c>
      <c r="C41" s="49" t="s">
        <v>2369</v>
      </c>
      <c r="D41" s="49" t="s">
        <v>303</v>
      </c>
      <c r="E41" s="49" t="s">
        <v>304</v>
      </c>
      <c r="F41" s="48">
        <v>14000.0</v>
      </c>
      <c r="G41" s="48">
        <v>14000.0</v>
      </c>
      <c r="H41" s="76"/>
      <c r="I41" s="89">
        <f t="shared" si="1"/>
        <v>14000</v>
      </c>
      <c r="J41" s="49" t="s">
        <v>2370</v>
      </c>
      <c r="K41" s="50">
        <v>1970.0</v>
      </c>
      <c r="L41" s="34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>
      <c r="A42" s="39"/>
      <c r="B42" s="50">
        <v>33.0</v>
      </c>
      <c r="C42" s="49" t="s">
        <v>2371</v>
      </c>
      <c r="D42" s="49" t="s">
        <v>130</v>
      </c>
      <c r="E42" s="49" t="s">
        <v>84</v>
      </c>
      <c r="F42" s="48">
        <v>13800.0</v>
      </c>
      <c r="G42" s="48">
        <v>13800.0</v>
      </c>
      <c r="H42" s="76"/>
      <c r="I42" s="89">
        <f t="shared" si="1"/>
        <v>13800</v>
      </c>
      <c r="J42" s="49" t="s">
        <v>2372</v>
      </c>
      <c r="K42" s="50">
        <v>1965.0</v>
      </c>
      <c r="L42" s="34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>
      <c r="A43" s="39"/>
      <c r="B43" s="50">
        <v>34.0</v>
      </c>
      <c r="C43" s="49" t="s">
        <v>2373</v>
      </c>
      <c r="D43" s="49" t="s">
        <v>316</v>
      </c>
      <c r="E43" s="49" t="s">
        <v>114</v>
      </c>
      <c r="F43" s="48">
        <v>13611.0</v>
      </c>
      <c r="G43" s="48">
        <v>13611.0</v>
      </c>
      <c r="H43" s="76"/>
      <c r="I43" s="89">
        <f t="shared" si="1"/>
        <v>13611</v>
      </c>
      <c r="J43" s="49" t="s">
        <v>2374</v>
      </c>
      <c r="K43" s="50">
        <v>1938.0</v>
      </c>
      <c r="L43" s="34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>
      <c r="A44" s="39"/>
      <c r="B44" s="50">
        <v>35.0</v>
      </c>
      <c r="C44" s="49" t="s">
        <v>2375</v>
      </c>
      <c r="D44" s="49" t="s">
        <v>127</v>
      </c>
      <c r="E44" s="49" t="s">
        <v>135</v>
      </c>
      <c r="F44" s="48">
        <v>13611.0</v>
      </c>
      <c r="G44" s="48">
        <v>13611.0</v>
      </c>
      <c r="H44" s="76"/>
      <c r="I44" s="89">
        <f t="shared" si="1"/>
        <v>13611</v>
      </c>
      <c r="J44" s="49" t="s">
        <v>2346</v>
      </c>
      <c r="K44" s="50">
        <v>1972.0</v>
      </c>
      <c r="L44" s="34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>
      <c r="A45" s="39"/>
      <c r="B45" s="50">
        <v>36.0</v>
      </c>
      <c r="C45" s="49" t="s">
        <v>2376</v>
      </c>
      <c r="D45" s="49" t="s">
        <v>207</v>
      </c>
      <c r="E45" s="49" t="s">
        <v>57</v>
      </c>
      <c r="F45" s="48">
        <v>13610.0</v>
      </c>
      <c r="G45" s="48">
        <v>13610.0</v>
      </c>
      <c r="H45" s="76"/>
      <c r="I45" s="89">
        <f t="shared" si="1"/>
        <v>13610</v>
      </c>
      <c r="J45" s="49" t="s">
        <v>2377</v>
      </c>
      <c r="K45" s="50">
        <v>1991.0</v>
      </c>
      <c r="L45" s="34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>
      <c r="A46" s="39"/>
      <c r="B46" s="50">
        <v>37.0</v>
      </c>
      <c r="C46" s="49" t="s">
        <v>2378</v>
      </c>
      <c r="D46" s="49" t="s">
        <v>447</v>
      </c>
      <c r="E46" s="49" t="s">
        <v>65</v>
      </c>
      <c r="F46" s="48">
        <v>13500.0</v>
      </c>
      <c r="G46" s="48">
        <v>12800.0</v>
      </c>
      <c r="H46" s="48">
        <v>10340.0</v>
      </c>
      <c r="I46" s="89">
        <f t="shared" si="1"/>
        <v>12213.33333</v>
      </c>
      <c r="J46" s="49" t="s">
        <v>2379</v>
      </c>
      <c r="K46" s="50">
        <v>1985.0</v>
      </c>
      <c r="L46" s="34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>
      <c r="A47" s="39"/>
      <c r="B47" s="50">
        <v>38.0</v>
      </c>
      <c r="C47" s="49" t="s">
        <v>2380</v>
      </c>
      <c r="D47" s="49" t="s">
        <v>1037</v>
      </c>
      <c r="E47" s="49" t="s">
        <v>57</v>
      </c>
      <c r="F47" s="48">
        <v>13435.0</v>
      </c>
      <c r="G47" s="48">
        <v>13435.0</v>
      </c>
      <c r="H47" s="76"/>
      <c r="I47" s="89">
        <f t="shared" si="1"/>
        <v>13435</v>
      </c>
      <c r="J47" s="49" t="s">
        <v>2381</v>
      </c>
      <c r="K47" s="50">
        <v>1969.0</v>
      </c>
      <c r="L47" s="34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>
      <c r="A48" s="39"/>
      <c r="B48" s="50">
        <v>39.0</v>
      </c>
      <c r="C48" s="49" t="s">
        <v>2382</v>
      </c>
      <c r="D48" s="49" t="s">
        <v>503</v>
      </c>
      <c r="E48" s="49" t="s">
        <v>504</v>
      </c>
      <c r="F48" s="48">
        <v>13390.0</v>
      </c>
      <c r="G48" s="48">
        <v>13390.0</v>
      </c>
      <c r="H48" s="76"/>
      <c r="I48" s="89">
        <f t="shared" si="1"/>
        <v>13390</v>
      </c>
      <c r="J48" s="49" t="s">
        <v>2383</v>
      </c>
      <c r="K48" s="50">
        <v>1982.0</v>
      </c>
      <c r="L48" s="34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>
      <c r="A49" s="39"/>
      <c r="B49" s="50">
        <v>40.0</v>
      </c>
      <c r="C49" s="49" t="s">
        <v>2384</v>
      </c>
      <c r="D49" s="49" t="s">
        <v>64</v>
      </c>
      <c r="E49" s="49" t="s">
        <v>65</v>
      </c>
      <c r="F49" s="48">
        <v>13215.0</v>
      </c>
      <c r="G49" s="48">
        <v>13215.0</v>
      </c>
      <c r="H49" s="76"/>
      <c r="I49" s="89">
        <f t="shared" si="1"/>
        <v>13215</v>
      </c>
      <c r="J49" s="49" t="s">
        <v>2385</v>
      </c>
      <c r="K49" s="50">
        <v>1972.0</v>
      </c>
      <c r="L49" s="34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>
      <c r="A50" s="39"/>
      <c r="B50" s="50">
        <v>41.0</v>
      </c>
      <c r="C50" s="49" t="s">
        <v>2386</v>
      </c>
      <c r="D50" s="49" t="s">
        <v>225</v>
      </c>
      <c r="E50" s="49" t="s">
        <v>57</v>
      </c>
      <c r="F50" s="48">
        <v>13176.0</v>
      </c>
      <c r="G50" s="48">
        <v>13176.0</v>
      </c>
      <c r="H50" s="76"/>
      <c r="I50" s="89">
        <f t="shared" si="1"/>
        <v>13176</v>
      </c>
      <c r="J50" s="49" t="s">
        <v>2387</v>
      </c>
      <c r="K50" s="50">
        <v>1989.0</v>
      </c>
      <c r="L50" s="34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>
      <c r="A51" s="39"/>
      <c r="B51" s="50">
        <v>42.0</v>
      </c>
      <c r="C51" s="49" t="s">
        <v>2388</v>
      </c>
      <c r="D51" s="49" t="s">
        <v>79</v>
      </c>
      <c r="E51" s="49" t="s">
        <v>57</v>
      </c>
      <c r="F51" s="48">
        <v>13080.0</v>
      </c>
      <c r="G51" s="48">
        <v>13080.0</v>
      </c>
      <c r="H51" s="76"/>
      <c r="I51" s="89">
        <f t="shared" si="1"/>
        <v>13080</v>
      </c>
      <c r="J51" s="49" t="s">
        <v>2389</v>
      </c>
      <c r="K51" s="50">
        <v>1968.0</v>
      </c>
      <c r="L51" s="34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>
      <c r="A52" s="39"/>
      <c r="B52" s="50">
        <v>43.0</v>
      </c>
      <c r="C52" s="49" t="s">
        <v>2390</v>
      </c>
      <c r="D52" s="49" t="s">
        <v>60</v>
      </c>
      <c r="E52" s="49" t="s">
        <v>61</v>
      </c>
      <c r="F52" s="48">
        <v>12989.0</v>
      </c>
      <c r="G52" s="48">
        <v>12989.0</v>
      </c>
      <c r="H52" s="76"/>
      <c r="I52" s="89">
        <f t="shared" si="1"/>
        <v>12989</v>
      </c>
      <c r="J52" s="49" t="s">
        <v>2391</v>
      </c>
      <c r="K52" s="50">
        <v>1998.0</v>
      </c>
      <c r="L52" s="34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>
      <c r="A53" s="39"/>
      <c r="B53" s="50">
        <v>44.0</v>
      </c>
      <c r="C53" s="49" t="s">
        <v>2392</v>
      </c>
      <c r="D53" s="49" t="s">
        <v>47</v>
      </c>
      <c r="E53" s="49" t="s">
        <v>48</v>
      </c>
      <c r="F53" s="48">
        <v>12707.0</v>
      </c>
      <c r="G53" s="48">
        <v>12707.0</v>
      </c>
      <c r="H53" s="76"/>
      <c r="I53" s="89">
        <f t="shared" si="1"/>
        <v>12707</v>
      </c>
      <c r="J53" s="49" t="s">
        <v>2393</v>
      </c>
      <c r="K53" s="50">
        <v>1967.0</v>
      </c>
      <c r="L53" s="34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>
      <c r="A54" s="39"/>
      <c r="B54" s="50">
        <v>45.0</v>
      </c>
      <c r="C54" s="49" t="s">
        <v>2394</v>
      </c>
      <c r="D54" s="49" t="s">
        <v>368</v>
      </c>
      <c r="E54" s="49" t="s">
        <v>369</v>
      </c>
      <c r="F54" s="48">
        <v>12528.0</v>
      </c>
      <c r="G54" s="48">
        <v>12528.0</v>
      </c>
      <c r="H54" s="76"/>
      <c r="I54" s="89">
        <f t="shared" si="1"/>
        <v>12528</v>
      </c>
      <c r="J54" s="49" t="s">
        <v>2395</v>
      </c>
      <c r="K54" s="50">
        <v>1988.0</v>
      </c>
      <c r="L54" s="34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>
      <c r="A55" s="39"/>
      <c r="B55" s="50">
        <v>46.0</v>
      </c>
      <c r="C55" s="49" t="s">
        <v>2396</v>
      </c>
      <c r="D55" s="49" t="s">
        <v>198</v>
      </c>
      <c r="E55" s="49" t="s">
        <v>53</v>
      </c>
      <c r="F55" s="48">
        <v>12508.0</v>
      </c>
      <c r="G55" s="48">
        <v>12508.0</v>
      </c>
      <c r="H55" s="76"/>
      <c r="I55" s="89">
        <f t="shared" si="1"/>
        <v>12508</v>
      </c>
      <c r="J55" s="49" t="s">
        <v>2397</v>
      </c>
      <c r="K55" s="50">
        <v>2002.0</v>
      </c>
      <c r="L55" s="34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>
      <c r="A56" s="39"/>
      <c r="B56" s="50">
        <v>47.0</v>
      </c>
      <c r="C56" s="49" t="s">
        <v>2398</v>
      </c>
      <c r="D56" s="49" t="s">
        <v>120</v>
      </c>
      <c r="E56" s="49" t="s">
        <v>91</v>
      </c>
      <c r="F56" s="48">
        <v>12500.0</v>
      </c>
      <c r="G56" s="48">
        <v>12500.0</v>
      </c>
      <c r="H56" s="48">
        <v>9450.0</v>
      </c>
      <c r="I56" s="89">
        <f t="shared" si="1"/>
        <v>11483.33333</v>
      </c>
      <c r="J56" s="49" t="s">
        <v>2399</v>
      </c>
      <c r="K56" s="50">
        <v>1981.0</v>
      </c>
      <c r="L56" s="34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>
      <c r="A57" s="39"/>
      <c r="B57" s="50">
        <v>48.0</v>
      </c>
      <c r="C57" s="49" t="s">
        <v>2400</v>
      </c>
      <c r="D57" s="49" t="s">
        <v>585</v>
      </c>
      <c r="E57" s="49" t="s">
        <v>475</v>
      </c>
      <c r="F57" s="48">
        <v>12482.0</v>
      </c>
      <c r="G57" s="48">
        <v>12482.0</v>
      </c>
      <c r="H57" s="76"/>
      <c r="I57" s="89">
        <f t="shared" si="1"/>
        <v>12482</v>
      </c>
      <c r="J57" s="49" t="s">
        <v>2401</v>
      </c>
      <c r="K57" s="50">
        <v>1968.0</v>
      </c>
      <c r="L57" s="34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>
      <c r="A58" s="39"/>
      <c r="B58" s="50">
        <v>49.0</v>
      </c>
      <c r="C58" s="49" t="s">
        <v>2402</v>
      </c>
      <c r="D58" s="49" t="s">
        <v>466</v>
      </c>
      <c r="E58" s="49" t="s">
        <v>84</v>
      </c>
      <c r="F58" s="48">
        <v>12414.0</v>
      </c>
      <c r="G58" s="48">
        <v>12414.0</v>
      </c>
      <c r="H58" s="76"/>
      <c r="I58" s="89">
        <f t="shared" si="1"/>
        <v>12414</v>
      </c>
      <c r="J58" s="49" t="s">
        <v>2403</v>
      </c>
      <c r="K58" s="50">
        <v>1997.0</v>
      </c>
      <c r="L58" s="34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>
      <c r="A59" s="39"/>
      <c r="B59" s="50">
        <v>50.0</v>
      </c>
      <c r="C59" s="49" t="s">
        <v>2404</v>
      </c>
      <c r="D59" s="49" t="s">
        <v>324</v>
      </c>
      <c r="E59" s="49" t="s">
        <v>325</v>
      </c>
      <c r="F59" s="48">
        <v>12364.0</v>
      </c>
      <c r="G59" s="48">
        <v>12364.0</v>
      </c>
      <c r="H59" s="76"/>
      <c r="I59" s="89">
        <f t="shared" si="1"/>
        <v>12364</v>
      </c>
      <c r="J59" s="49" t="s">
        <v>2405</v>
      </c>
      <c r="K59" s="50">
        <v>2011.0</v>
      </c>
      <c r="L59" s="34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>
      <c r="A60" s="39"/>
      <c r="B60" s="50">
        <v>51.0</v>
      </c>
      <c r="C60" s="49" t="s">
        <v>2406</v>
      </c>
      <c r="D60" s="49" t="s">
        <v>341</v>
      </c>
      <c r="E60" s="49" t="s">
        <v>61</v>
      </c>
      <c r="F60" s="48">
        <v>12364.0</v>
      </c>
      <c r="G60" s="48">
        <v>12364.0</v>
      </c>
      <c r="H60" s="76"/>
      <c r="I60" s="89">
        <f t="shared" si="1"/>
        <v>12364</v>
      </c>
      <c r="J60" s="49" t="s">
        <v>2407</v>
      </c>
      <c r="K60" s="50">
        <v>1976.0</v>
      </c>
      <c r="L60" s="34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>
      <c r="A61" s="39"/>
      <c r="B61" s="50">
        <v>52.0</v>
      </c>
      <c r="C61" s="49" t="s">
        <v>2386</v>
      </c>
      <c r="D61" s="49" t="s">
        <v>225</v>
      </c>
      <c r="E61" s="49" t="s">
        <v>57</v>
      </c>
      <c r="F61" s="48">
        <v>12012.0</v>
      </c>
      <c r="G61" s="48">
        <v>12012.0</v>
      </c>
      <c r="H61" s="76"/>
      <c r="I61" s="89">
        <f t="shared" si="1"/>
        <v>12012</v>
      </c>
      <c r="J61" s="49" t="s">
        <v>2387</v>
      </c>
      <c r="K61" s="50">
        <v>1989.0</v>
      </c>
      <c r="L61" s="34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>
      <c r="A62" s="39"/>
      <c r="B62" s="50">
        <v>53.0</v>
      </c>
      <c r="C62" s="49" t="s">
        <v>2408</v>
      </c>
      <c r="D62" s="49" t="s">
        <v>250</v>
      </c>
      <c r="E62" s="49" t="s">
        <v>84</v>
      </c>
      <c r="F62" s="48">
        <v>11877.0</v>
      </c>
      <c r="G62" s="48">
        <v>11877.0</v>
      </c>
      <c r="H62" s="76"/>
      <c r="I62" s="89">
        <f t="shared" si="1"/>
        <v>11877</v>
      </c>
      <c r="J62" s="49" t="s">
        <v>2409</v>
      </c>
      <c r="K62" s="50">
        <v>1933.0</v>
      </c>
      <c r="L62" s="34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>
      <c r="A63" s="39"/>
      <c r="B63" s="50">
        <v>54.0</v>
      </c>
      <c r="C63" s="49" t="s">
        <v>2410</v>
      </c>
      <c r="D63" s="49" t="s">
        <v>523</v>
      </c>
      <c r="E63" s="49" t="s">
        <v>180</v>
      </c>
      <c r="F63" s="48">
        <v>11671.0</v>
      </c>
      <c r="G63" s="48">
        <v>11671.0</v>
      </c>
      <c r="H63" s="76"/>
      <c r="I63" s="89">
        <f t="shared" si="1"/>
        <v>11671</v>
      </c>
      <c r="J63" s="49" t="s">
        <v>2411</v>
      </c>
      <c r="K63" s="50">
        <v>1973.0</v>
      </c>
      <c r="L63" s="34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9"/>
      <c r="B64" s="50">
        <v>55.0</v>
      </c>
      <c r="C64" s="49" t="s">
        <v>2412</v>
      </c>
      <c r="D64" s="49" t="s">
        <v>957</v>
      </c>
      <c r="E64" s="49" t="s">
        <v>787</v>
      </c>
      <c r="F64" s="48">
        <v>11640.0</v>
      </c>
      <c r="G64" s="76"/>
      <c r="H64" s="48">
        <v>11640.0</v>
      </c>
      <c r="I64" s="89">
        <f t="shared" si="1"/>
        <v>11640</v>
      </c>
      <c r="J64" s="49" t="s">
        <v>2413</v>
      </c>
      <c r="K64" s="50">
        <v>2001.0</v>
      </c>
      <c r="L64" s="34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9"/>
      <c r="B65" s="50">
        <v>56.0</v>
      </c>
      <c r="C65" s="49" t="s">
        <v>2414</v>
      </c>
      <c r="D65" s="49" t="s">
        <v>597</v>
      </c>
      <c r="E65" s="49" t="s">
        <v>232</v>
      </c>
      <c r="F65" s="48">
        <v>11536.0</v>
      </c>
      <c r="G65" s="48">
        <v>11536.0</v>
      </c>
      <c r="H65" s="76"/>
      <c r="I65" s="89">
        <f t="shared" si="1"/>
        <v>11536</v>
      </c>
      <c r="J65" s="49" t="s">
        <v>2415</v>
      </c>
      <c r="K65" s="50">
        <v>1983.0</v>
      </c>
      <c r="L65" s="34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9"/>
      <c r="B66" s="50">
        <v>57.0</v>
      </c>
      <c r="C66" s="49" t="s">
        <v>2416</v>
      </c>
      <c r="D66" s="49" t="s">
        <v>113</v>
      </c>
      <c r="E66" s="49" t="s">
        <v>114</v>
      </c>
      <c r="F66" s="48">
        <v>11528.0</v>
      </c>
      <c r="G66" s="48">
        <v>11528.0</v>
      </c>
      <c r="H66" s="76"/>
      <c r="I66" s="89">
        <f t="shared" si="1"/>
        <v>11528</v>
      </c>
      <c r="J66" s="49" t="s">
        <v>2417</v>
      </c>
      <c r="K66" s="50">
        <v>1973.0</v>
      </c>
      <c r="L66" s="34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9"/>
      <c r="B67" s="50">
        <v>58.0</v>
      </c>
      <c r="C67" s="49" t="s">
        <v>2418</v>
      </c>
      <c r="D67" s="49" t="s">
        <v>534</v>
      </c>
      <c r="E67" s="49" t="s">
        <v>69</v>
      </c>
      <c r="F67" s="48">
        <v>11520.0</v>
      </c>
      <c r="G67" s="48">
        <v>11520.0</v>
      </c>
      <c r="H67" s="76"/>
      <c r="I67" s="89">
        <f t="shared" si="1"/>
        <v>11520</v>
      </c>
      <c r="J67" s="49" t="s">
        <v>2419</v>
      </c>
      <c r="K67" s="50">
        <v>1972.0</v>
      </c>
      <c r="L67" s="34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9"/>
      <c r="B68" s="50">
        <v>59.0</v>
      </c>
      <c r="C68" s="49" t="s">
        <v>2420</v>
      </c>
      <c r="D68" s="49" t="s">
        <v>816</v>
      </c>
      <c r="E68" s="49" t="s">
        <v>243</v>
      </c>
      <c r="F68" s="48">
        <v>11500.0</v>
      </c>
      <c r="G68" s="48">
        <v>11500.0</v>
      </c>
      <c r="H68" s="76"/>
      <c r="I68" s="89">
        <f t="shared" si="1"/>
        <v>11500</v>
      </c>
      <c r="J68" s="49" t="s">
        <v>2421</v>
      </c>
      <c r="K68" s="50">
        <v>1977.0</v>
      </c>
      <c r="L68" s="34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9"/>
      <c r="B69" s="50">
        <v>60.0</v>
      </c>
      <c r="C69" s="49" t="s">
        <v>2422</v>
      </c>
      <c r="D69" s="49" t="s">
        <v>684</v>
      </c>
      <c r="E69" s="49" t="s">
        <v>124</v>
      </c>
      <c r="F69" s="48">
        <v>11500.0</v>
      </c>
      <c r="G69" s="48">
        <v>11500.0</v>
      </c>
      <c r="H69" s="76"/>
      <c r="I69" s="89">
        <f t="shared" si="1"/>
        <v>11500</v>
      </c>
      <c r="J69" s="49" t="s">
        <v>2423</v>
      </c>
      <c r="K69" s="50">
        <v>1991.0</v>
      </c>
      <c r="L69" s="34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9"/>
      <c r="B70" s="50">
        <v>61.0</v>
      </c>
      <c r="C70" s="49" t="s">
        <v>2424</v>
      </c>
      <c r="D70" s="49" t="s">
        <v>937</v>
      </c>
      <c r="E70" s="49" t="s">
        <v>222</v>
      </c>
      <c r="F70" s="48">
        <v>11300.0</v>
      </c>
      <c r="G70" s="48">
        <v>11300.0</v>
      </c>
      <c r="H70" s="76"/>
      <c r="I70" s="89">
        <f t="shared" si="1"/>
        <v>11300</v>
      </c>
      <c r="J70" s="49" t="s">
        <v>2425</v>
      </c>
      <c r="K70" s="50">
        <v>1971.0</v>
      </c>
      <c r="L70" s="34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9"/>
      <c r="B71" s="50">
        <v>62.0</v>
      </c>
      <c r="C71" s="49" t="s">
        <v>1014</v>
      </c>
      <c r="D71" s="49" t="s">
        <v>1015</v>
      </c>
      <c r="E71" s="49" t="s">
        <v>247</v>
      </c>
      <c r="F71" s="48">
        <v>11230.0</v>
      </c>
      <c r="G71" s="48">
        <v>11230.0</v>
      </c>
      <c r="H71" s="76"/>
      <c r="I71" s="89">
        <f t="shared" si="1"/>
        <v>11230</v>
      </c>
      <c r="J71" s="49" t="s">
        <v>2426</v>
      </c>
      <c r="K71" s="50">
        <v>1977.0</v>
      </c>
      <c r="L71" s="34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9"/>
      <c r="B72" s="50">
        <v>63.0</v>
      </c>
      <c r="C72" s="49" t="s">
        <v>2427</v>
      </c>
      <c r="D72" s="49" t="s">
        <v>365</v>
      </c>
      <c r="E72" s="49" t="s">
        <v>143</v>
      </c>
      <c r="F72" s="48">
        <v>11064.0</v>
      </c>
      <c r="G72" s="48">
        <v>11064.0</v>
      </c>
      <c r="H72" s="76"/>
      <c r="I72" s="89">
        <f t="shared" si="1"/>
        <v>11064</v>
      </c>
      <c r="J72" s="49" t="s">
        <v>2428</v>
      </c>
      <c r="K72" s="50">
        <v>1979.0</v>
      </c>
      <c r="L72" s="34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9"/>
      <c r="B73" s="50">
        <v>64.0</v>
      </c>
      <c r="C73" s="49" t="s">
        <v>2429</v>
      </c>
      <c r="D73" s="49" t="s">
        <v>813</v>
      </c>
      <c r="E73" s="49" t="s">
        <v>135</v>
      </c>
      <c r="F73" s="48">
        <v>11000.0</v>
      </c>
      <c r="G73" s="48">
        <v>11000.0</v>
      </c>
      <c r="H73" s="76"/>
      <c r="I73" s="89">
        <f t="shared" si="1"/>
        <v>11000</v>
      </c>
      <c r="J73" s="49" t="s">
        <v>2430</v>
      </c>
      <c r="K73" s="50">
        <v>2008.0</v>
      </c>
      <c r="L73" s="34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39"/>
      <c r="B74" s="50">
        <v>65.0</v>
      </c>
      <c r="C74" s="49" t="s">
        <v>2431</v>
      </c>
      <c r="D74" s="49" t="s">
        <v>739</v>
      </c>
      <c r="E74" s="49" t="s">
        <v>69</v>
      </c>
      <c r="F74" s="48">
        <v>10928.0</v>
      </c>
      <c r="G74" s="48">
        <v>10928.0</v>
      </c>
      <c r="H74" s="76"/>
      <c r="I74" s="89">
        <f t="shared" si="1"/>
        <v>10928</v>
      </c>
      <c r="J74" s="49" t="s">
        <v>2432</v>
      </c>
      <c r="K74" s="50">
        <v>1982.0</v>
      </c>
      <c r="L74" s="34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</row>
    <row r="75">
      <c r="A75" s="39"/>
      <c r="B75" s="50">
        <v>66.0</v>
      </c>
      <c r="C75" s="49" t="s">
        <v>2433</v>
      </c>
      <c r="D75" s="49" t="s">
        <v>849</v>
      </c>
      <c r="E75" s="49" t="s">
        <v>61</v>
      </c>
      <c r="F75" s="48">
        <v>10746.0</v>
      </c>
      <c r="G75" s="48">
        <v>10746.0</v>
      </c>
      <c r="H75" s="76"/>
      <c r="I75" s="89">
        <f t="shared" si="1"/>
        <v>10746</v>
      </c>
      <c r="J75" s="49" t="s">
        <v>2434</v>
      </c>
      <c r="K75" s="50">
        <v>1984.0</v>
      </c>
      <c r="L75" s="34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</row>
    <row r="76">
      <c r="A76" s="39"/>
      <c r="B76" s="50">
        <v>67.0</v>
      </c>
      <c r="C76" s="49" t="s">
        <v>2435</v>
      </c>
      <c r="D76" s="49" t="s">
        <v>210</v>
      </c>
      <c r="E76" s="49" t="s">
        <v>135</v>
      </c>
      <c r="F76" s="48">
        <v>10600.0</v>
      </c>
      <c r="G76" s="48">
        <v>10600.0</v>
      </c>
      <c r="H76" s="76"/>
      <c r="I76" s="89">
        <f t="shared" si="1"/>
        <v>10600</v>
      </c>
      <c r="J76" s="49" t="s">
        <v>2436</v>
      </c>
      <c r="K76" s="50">
        <v>2008.0</v>
      </c>
      <c r="L76" s="34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</row>
    <row r="77">
      <c r="A77" s="39"/>
      <c r="B77" s="50">
        <v>68.0</v>
      </c>
      <c r="C77" s="49" t="s">
        <v>2437</v>
      </c>
      <c r="D77" s="49" t="s">
        <v>282</v>
      </c>
      <c r="E77" s="49" t="s">
        <v>236</v>
      </c>
      <c r="F77" s="48">
        <v>10575.0</v>
      </c>
      <c r="G77" s="48">
        <v>10575.0</v>
      </c>
      <c r="H77" s="76"/>
      <c r="I77" s="89">
        <f t="shared" si="1"/>
        <v>10575</v>
      </c>
      <c r="J77" s="49" t="s">
        <v>2438</v>
      </c>
      <c r="K77" s="50">
        <v>1975.0</v>
      </c>
      <c r="L77" s="34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</row>
    <row r="78">
      <c r="A78" s="39"/>
      <c r="B78" s="50">
        <v>69.0</v>
      </c>
      <c r="C78" s="49" t="s">
        <v>2439</v>
      </c>
      <c r="D78" s="49" t="s">
        <v>543</v>
      </c>
      <c r="E78" s="49" t="s">
        <v>139</v>
      </c>
      <c r="F78" s="48">
        <v>10563.0</v>
      </c>
      <c r="G78" s="48">
        <v>10563.0</v>
      </c>
      <c r="H78" s="76"/>
      <c r="I78" s="89">
        <f t="shared" si="1"/>
        <v>10563</v>
      </c>
      <c r="J78" s="49" t="s">
        <v>2440</v>
      </c>
      <c r="K78" s="50">
        <v>1987.0</v>
      </c>
      <c r="L78" s="34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</row>
    <row r="79">
      <c r="A79" s="39"/>
      <c r="B79" s="50">
        <v>70.0</v>
      </c>
      <c r="C79" s="49" t="s">
        <v>2441</v>
      </c>
      <c r="D79" s="49" t="s">
        <v>565</v>
      </c>
      <c r="E79" s="49" t="s">
        <v>114</v>
      </c>
      <c r="F79" s="48">
        <v>10554.0</v>
      </c>
      <c r="G79" s="48">
        <v>10554.0</v>
      </c>
      <c r="H79" s="76"/>
      <c r="I79" s="89">
        <f t="shared" si="1"/>
        <v>10554</v>
      </c>
      <c r="J79" s="49" t="s">
        <v>2442</v>
      </c>
      <c r="K79" s="50">
        <v>1972.0</v>
      </c>
      <c r="L79" s="34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>
      <c r="A80" s="39"/>
      <c r="B80" s="50">
        <v>71.0</v>
      </c>
      <c r="C80" s="49" t="s">
        <v>2443</v>
      </c>
      <c r="D80" s="49" t="s">
        <v>79</v>
      </c>
      <c r="E80" s="49" t="s">
        <v>80</v>
      </c>
      <c r="F80" s="48">
        <v>10523.0</v>
      </c>
      <c r="G80" s="48">
        <v>10523.0</v>
      </c>
      <c r="H80" s="76"/>
      <c r="I80" s="89">
        <f t="shared" si="1"/>
        <v>10523</v>
      </c>
      <c r="J80" s="49" t="s">
        <v>2444</v>
      </c>
      <c r="K80" s="50">
        <v>1964.0</v>
      </c>
      <c r="L80" s="34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</row>
    <row r="81">
      <c r="A81" s="39"/>
      <c r="B81" s="50">
        <v>72.0</v>
      </c>
      <c r="C81" s="49" t="s">
        <v>2445</v>
      </c>
      <c r="D81" s="49" t="s">
        <v>1088</v>
      </c>
      <c r="E81" s="49" t="s">
        <v>369</v>
      </c>
      <c r="F81" s="48">
        <v>10506.0</v>
      </c>
      <c r="G81" s="48">
        <v>10506.0</v>
      </c>
      <c r="H81" s="76"/>
      <c r="I81" s="89">
        <f t="shared" si="1"/>
        <v>10506</v>
      </c>
      <c r="J81" s="49" t="s">
        <v>2446</v>
      </c>
      <c r="K81" s="50">
        <v>1955.0</v>
      </c>
      <c r="L81" s="34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</row>
    <row r="82">
      <c r="A82" s="39"/>
      <c r="B82" s="50">
        <v>73.0</v>
      </c>
      <c r="C82" s="49" t="s">
        <v>2447</v>
      </c>
      <c r="D82" s="49" t="s">
        <v>190</v>
      </c>
      <c r="E82" s="49" t="s">
        <v>69</v>
      </c>
      <c r="F82" s="48">
        <v>10500.0</v>
      </c>
      <c r="G82" s="48">
        <v>10500.0</v>
      </c>
      <c r="H82" s="76"/>
      <c r="I82" s="89">
        <f t="shared" si="1"/>
        <v>10500</v>
      </c>
      <c r="J82" s="49" t="s">
        <v>2448</v>
      </c>
      <c r="K82" s="50">
        <v>1980.0</v>
      </c>
      <c r="L82" s="34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</row>
    <row r="83">
      <c r="A83" s="39"/>
      <c r="B83" s="50">
        <v>74.0</v>
      </c>
      <c r="C83" s="49" t="s">
        <v>2449</v>
      </c>
      <c r="D83" s="49" t="s">
        <v>90</v>
      </c>
      <c r="E83" s="49" t="s">
        <v>91</v>
      </c>
      <c r="F83" s="48">
        <v>10500.0</v>
      </c>
      <c r="G83" s="48">
        <v>10500.0</v>
      </c>
      <c r="H83" s="76"/>
      <c r="I83" s="89">
        <f t="shared" si="1"/>
        <v>10500</v>
      </c>
      <c r="J83" s="49" t="s">
        <v>2450</v>
      </c>
      <c r="K83" s="50">
        <v>1980.0</v>
      </c>
      <c r="L83" s="34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</row>
    <row r="84">
      <c r="A84" s="39"/>
      <c r="B84" s="50">
        <v>75.0</v>
      </c>
      <c r="C84" s="49" t="s">
        <v>2451</v>
      </c>
      <c r="D84" s="49" t="s">
        <v>187</v>
      </c>
      <c r="E84" s="49" t="s">
        <v>91</v>
      </c>
      <c r="F84" s="48">
        <v>10411.0</v>
      </c>
      <c r="G84" s="48">
        <v>10411.0</v>
      </c>
      <c r="H84" s="76"/>
      <c r="I84" s="89">
        <f t="shared" si="1"/>
        <v>10411</v>
      </c>
      <c r="J84" s="49" t="s">
        <v>2452</v>
      </c>
      <c r="K84" s="50">
        <v>1980.0</v>
      </c>
      <c r="L84" s="34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</row>
    <row r="85">
      <c r="A85" s="39"/>
      <c r="B85" s="50">
        <v>76.0</v>
      </c>
      <c r="C85" s="49" t="s">
        <v>2453</v>
      </c>
      <c r="D85" s="49" t="s">
        <v>416</v>
      </c>
      <c r="E85" s="49" t="s">
        <v>61</v>
      </c>
      <c r="F85" s="48">
        <v>10347.0</v>
      </c>
      <c r="G85" s="48">
        <v>10347.0</v>
      </c>
      <c r="H85" s="76"/>
      <c r="I85" s="89">
        <f t="shared" si="1"/>
        <v>10347</v>
      </c>
      <c r="J85" s="49" t="s">
        <v>2454</v>
      </c>
      <c r="K85" s="50">
        <v>1988.0</v>
      </c>
      <c r="L85" s="34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</row>
    <row r="86">
      <c r="A86" s="39"/>
      <c r="B86" s="50">
        <v>77.0</v>
      </c>
      <c r="C86" s="49" t="s">
        <v>2455</v>
      </c>
      <c r="D86" s="49" t="s">
        <v>372</v>
      </c>
      <c r="E86" s="49" t="s">
        <v>760</v>
      </c>
      <c r="F86" s="48">
        <v>10300.0</v>
      </c>
      <c r="G86" s="48">
        <v>10300.0</v>
      </c>
      <c r="H86" s="76"/>
      <c r="I86" s="89">
        <f t="shared" si="1"/>
        <v>10300</v>
      </c>
      <c r="J86" s="49" t="s">
        <v>2456</v>
      </c>
      <c r="K86" s="50">
        <v>1994.0</v>
      </c>
      <c r="L86" s="34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</row>
    <row r="87">
      <c r="A87" s="39"/>
      <c r="B87" s="50">
        <v>78.0</v>
      </c>
      <c r="C87" s="49" t="s">
        <v>2457</v>
      </c>
      <c r="D87" s="49" t="s">
        <v>630</v>
      </c>
      <c r="E87" s="49" t="s">
        <v>243</v>
      </c>
      <c r="F87" s="48">
        <v>10270.0</v>
      </c>
      <c r="G87" s="48">
        <v>10270.0</v>
      </c>
      <c r="H87" s="76"/>
      <c r="I87" s="89">
        <f t="shared" si="1"/>
        <v>10270</v>
      </c>
      <c r="J87" s="49" t="s">
        <v>2458</v>
      </c>
      <c r="K87" s="50">
        <v>1968.0</v>
      </c>
      <c r="L87" s="34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</row>
    <row r="88">
      <c r="A88" s="39"/>
      <c r="B88" s="50">
        <v>79.0</v>
      </c>
      <c r="C88" s="49" t="s">
        <v>2459</v>
      </c>
      <c r="D88" s="49" t="s">
        <v>130</v>
      </c>
      <c r="E88" s="49" t="s">
        <v>84</v>
      </c>
      <c r="F88" s="48">
        <v>10258.0</v>
      </c>
      <c r="G88" s="48">
        <v>10258.0</v>
      </c>
      <c r="H88" s="76"/>
      <c r="I88" s="89">
        <f t="shared" si="1"/>
        <v>10258</v>
      </c>
      <c r="J88" s="49" t="s">
        <v>2460</v>
      </c>
      <c r="K88" s="50">
        <v>2006.0</v>
      </c>
      <c r="L88" s="34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</row>
    <row r="89">
      <c r="A89" s="39"/>
      <c r="B89" s="50">
        <v>80.0</v>
      </c>
      <c r="C89" s="49" t="s">
        <v>2461</v>
      </c>
      <c r="D89" s="49" t="s">
        <v>225</v>
      </c>
      <c r="E89" s="49" t="s">
        <v>57</v>
      </c>
      <c r="F89" s="48">
        <v>10250.0</v>
      </c>
      <c r="G89" s="48">
        <v>10250.0</v>
      </c>
      <c r="H89" s="76"/>
      <c r="I89" s="89">
        <f t="shared" si="1"/>
        <v>10250</v>
      </c>
      <c r="J89" s="49" t="s">
        <v>2462</v>
      </c>
      <c r="K89" s="50">
        <v>2000.0</v>
      </c>
      <c r="L89" s="34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</row>
    <row r="90">
      <c r="A90" s="39"/>
      <c r="B90" s="50">
        <v>81.0</v>
      </c>
      <c r="C90" s="49" t="s">
        <v>2463</v>
      </c>
      <c r="D90" s="49" t="s">
        <v>918</v>
      </c>
      <c r="E90" s="49" t="s">
        <v>262</v>
      </c>
      <c r="F90" s="48">
        <v>10205.0</v>
      </c>
      <c r="G90" s="48">
        <v>10200.0</v>
      </c>
      <c r="H90" s="76"/>
      <c r="I90" s="89">
        <f t="shared" si="1"/>
        <v>10202.5</v>
      </c>
      <c r="J90" s="49" t="s">
        <v>2464</v>
      </c>
      <c r="K90" s="50">
        <v>1989.0</v>
      </c>
      <c r="L90" s="34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</row>
    <row r="91">
      <c r="A91" s="39"/>
      <c r="B91" s="50">
        <v>82.0</v>
      </c>
      <c r="C91" s="49" t="s">
        <v>2465</v>
      </c>
      <c r="D91" s="49" t="s">
        <v>204</v>
      </c>
      <c r="E91" s="49" t="s">
        <v>53</v>
      </c>
      <c r="F91" s="48">
        <v>10205.0</v>
      </c>
      <c r="G91" s="48">
        <v>10205.0</v>
      </c>
      <c r="H91" s="76"/>
      <c r="I91" s="89">
        <f t="shared" si="1"/>
        <v>10205</v>
      </c>
      <c r="J91" s="49" t="s">
        <v>2466</v>
      </c>
      <c r="K91" s="50">
        <v>1997.0</v>
      </c>
      <c r="L91" s="34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</row>
    <row r="92">
      <c r="A92" s="39"/>
      <c r="B92" s="50">
        <v>83.0</v>
      </c>
      <c r="C92" s="49" t="s">
        <v>2467</v>
      </c>
      <c r="D92" s="49" t="s">
        <v>933</v>
      </c>
      <c r="E92" s="49" t="s">
        <v>124</v>
      </c>
      <c r="F92" s="48">
        <v>10200.0</v>
      </c>
      <c r="G92" s="48">
        <v>10200.0</v>
      </c>
      <c r="H92" s="76"/>
      <c r="I92" s="89">
        <f t="shared" si="1"/>
        <v>10200</v>
      </c>
      <c r="J92" s="49" t="s">
        <v>2468</v>
      </c>
      <c r="K92" s="50">
        <v>1973.0</v>
      </c>
      <c r="L92" s="34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</row>
    <row r="93">
      <c r="A93" s="39"/>
      <c r="B93" s="50">
        <v>84.0</v>
      </c>
      <c r="C93" s="49" t="s">
        <v>2469</v>
      </c>
      <c r="D93" s="49" t="s">
        <v>2470</v>
      </c>
      <c r="E93" s="49" t="s">
        <v>273</v>
      </c>
      <c r="F93" s="48">
        <v>10167.0</v>
      </c>
      <c r="G93" s="48">
        <v>10167.0</v>
      </c>
      <c r="H93" s="76"/>
      <c r="I93" s="89">
        <f t="shared" si="1"/>
        <v>10167</v>
      </c>
      <c r="J93" s="49" t="s">
        <v>2471</v>
      </c>
      <c r="K93" s="50">
        <v>1990.0</v>
      </c>
      <c r="L93" s="34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</row>
    <row r="94">
      <c r="A94" s="39"/>
      <c r="B94" s="50">
        <v>85.0</v>
      </c>
      <c r="C94" s="49" t="s">
        <v>2472</v>
      </c>
      <c r="D94" s="49" t="s">
        <v>221</v>
      </c>
      <c r="E94" s="49" t="s">
        <v>222</v>
      </c>
      <c r="F94" s="48">
        <v>10052.0</v>
      </c>
      <c r="G94" s="48">
        <v>10052.0</v>
      </c>
      <c r="H94" s="76"/>
      <c r="I94" s="89">
        <f t="shared" si="1"/>
        <v>10052</v>
      </c>
      <c r="J94" s="49" t="s">
        <v>2473</v>
      </c>
      <c r="K94" s="50">
        <v>1962.0</v>
      </c>
      <c r="L94" s="34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</row>
    <row r="95">
      <c r="A95" s="39"/>
      <c r="B95" s="50">
        <v>86.0</v>
      </c>
      <c r="C95" s="49" t="s">
        <v>2474</v>
      </c>
      <c r="D95" s="49" t="s">
        <v>469</v>
      </c>
      <c r="E95" s="49" t="s">
        <v>76</v>
      </c>
      <c r="F95" s="48">
        <v>10041.0</v>
      </c>
      <c r="G95" s="48">
        <v>10041.0</v>
      </c>
      <c r="H95" s="76"/>
      <c r="I95" s="89">
        <f t="shared" si="1"/>
        <v>10041</v>
      </c>
      <c r="J95" s="49" t="s">
        <v>2475</v>
      </c>
      <c r="K95" s="50">
        <v>1998.0</v>
      </c>
      <c r="L95" s="34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</row>
    <row r="96">
      <c r="A96" s="39"/>
      <c r="B96" s="50">
        <v>87.0</v>
      </c>
      <c r="C96" s="49" t="s">
        <v>2476</v>
      </c>
      <c r="D96" s="49" t="s">
        <v>179</v>
      </c>
      <c r="E96" s="49" t="s">
        <v>180</v>
      </c>
      <c r="F96" s="48">
        <v>10000.0</v>
      </c>
      <c r="G96" s="48">
        <v>10000.0</v>
      </c>
      <c r="H96" s="76"/>
      <c r="I96" s="89">
        <f t="shared" si="1"/>
        <v>10000</v>
      </c>
      <c r="J96" s="49" t="s">
        <v>2477</v>
      </c>
      <c r="K96" s="50">
        <v>1927.0</v>
      </c>
      <c r="L96" s="34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</row>
    <row r="97">
      <c r="A97" s="39"/>
      <c r="B97" s="50">
        <v>88.0</v>
      </c>
      <c r="C97" s="49" t="s">
        <v>2478</v>
      </c>
      <c r="D97" s="49" t="s">
        <v>562</v>
      </c>
      <c r="E97" s="49" t="s">
        <v>61</v>
      </c>
      <c r="F97" s="48">
        <v>10000.0</v>
      </c>
      <c r="G97" s="48">
        <v>10000.0</v>
      </c>
      <c r="H97" s="76"/>
      <c r="I97" s="89">
        <f t="shared" si="1"/>
        <v>10000</v>
      </c>
      <c r="J97" s="49" t="s">
        <v>2479</v>
      </c>
      <c r="K97" s="50">
        <v>1982.0</v>
      </c>
      <c r="L97" s="34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</row>
    <row r="98">
      <c r="A98" s="39"/>
      <c r="B98" s="50">
        <v>89.0</v>
      </c>
      <c r="C98" s="49" t="s">
        <v>2480</v>
      </c>
      <c r="D98" s="49" t="s">
        <v>2481</v>
      </c>
      <c r="E98" s="49" t="s">
        <v>222</v>
      </c>
      <c r="F98" s="48">
        <v>10000.0</v>
      </c>
      <c r="G98" s="48">
        <v>10000.0</v>
      </c>
      <c r="H98" s="76"/>
      <c r="I98" s="89">
        <f t="shared" si="1"/>
        <v>10000</v>
      </c>
      <c r="J98" s="49" t="s">
        <v>2482</v>
      </c>
      <c r="K98" s="50">
        <v>1985.0</v>
      </c>
      <c r="L98" s="34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</row>
    <row r="99">
      <c r="A99" s="39"/>
      <c r="B99" s="50">
        <v>90.0</v>
      </c>
      <c r="C99" s="49" t="s">
        <v>2483</v>
      </c>
      <c r="D99" s="49" t="s">
        <v>213</v>
      </c>
      <c r="E99" s="49" t="s">
        <v>214</v>
      </c>
      <c r="F99" s="48">
        <v>10000.0</v>
      </c>
      <c r="G99" s="76"/>
      <c r="H99" s="48">
        <v>10000.0</v>
      </c>
      <c r="I99" s="89">
        <f t="shared" si="1"/>
        <v>10000</v>
      </c>
      <c r="J99" s="49" t="s">
        <v>2362</v>
      </c>
      <c r="K99" s="50">
        <v>1993.0</v>
      </c>
      <c r="L99" s="34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</row>
    <row r="100">
      <c r="A100" s="39"/>
      <c r="B100" s="50">
        <v>91.0</v>
      </c>
      <c r="C100" s="49" t="s">
        <v>2388</v>
      </c>
      <c r="D100" s="49" t="s">
        <v>664</v>
      </c>
      <c r="E100" s="49" t="s">
        <v>262</v>
      </c>
      <c r="F100" s="48">
        <v>10000.0</v>
      </c>
      <c r="G100" s="48">
        <v>10000.0</v>
      </c>
      <c r="H100" s="76"/>
      <c r="I100" s="89">
        <f t="shared" si="1"/>
        <v>10000</v>
      </c>
      <c r="J100" s="49" t="s">
        <v>2484</v>
      </c>
      <c r="K100" s="50">
        <v>2002.0</v>
      </c>
      <c r="L100" s="34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</row>
    <row r="101">
      <c r="A101" s="39"/>
      <c r="B101" s="50">
        <v>92.0</v>
      </c>
      <c r="C101" s="49" t="s">
        <v>2485</v>
      </c>
      <c r="D101" s="49" t="s">
        <v>1896</v>
      </c>
      <c r="E101" s="49" t="s">
        <v>787</v>
      </c>
      <c r="F101" s="48">
        <v>10000.0</v>
      </c>
      <c r="G101" s="48">
        <v>10000.0</v>
      </c>
      <c r="H101" s="76"/>
      <c r="I101" s="89">
        <f t="shared" si="1"/>
        <v>10000</v>
      </c>
      <c r="J101" s="49" t="s">
        <v>2486</v>
      </c>
      <c r="K101" s="50">
        <v>1981.0</v>
      </c>
      <c r="L101" s="34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>
      <c r="A102" s="39"/>
      <c r="B102" s="86"/>
      <c r="C102" s="34"/>
      <c r="D102" s="34"/>
      <c r="E102" s="34"/>
      <c r="F102" s="38"/>
      <c r="G102" s="34"/>
      <c r="H102" s="34"/>
      <c r="I102" s="34"/>
      <c r="J102" s="34"/>
      <c r="K102" s="34"/>
      <c r="L102" s="34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>
      <c r="A103" s="39"/>
      <c r="B103" s="86"/>
      <c r="C103" s="34"/>
      <c r="D103" s="34"/>
      <c r="E103" s="34"/>
      <c r="F103" s="79" t="s">
        <v>13</v>
      </c>
      <c r="G103" s="34"/>
      <c r="I103" s="59">
        <f>SUM(I10:I101)</f>
        <v>1226573.833</v>
      </c>
      <c r="J103" s="34"/>
      <c r="K103" s="34"/>
      <c r="L103" s="34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>
      <c r="A104" s="39"/>
      <c r="B104" s="55"/>
      <c r="C104" s="34"/>
      <c r="D104" s="34"/>
      <c r="E104" s="34"/>
      <c r="F104" s="80" t="s">
        <v>22</v>
      </c>
      <c r="G104" s="34"/>
      <c r="I104" s="60">
        <f>(0.5+0.75)/2</f>
        <v>0.625</v>
      </c>
      <c r="J104" s="34"/>
      <c r="K104" s="34"/>
      <c r="L104" s="34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>
      <c r="A105" s="39"/>
      <c r="B105" s="39"/>
      <c r="C105" s="39"/>
      <c r="D105" s="39"/>
      <c r="E105" s="39"/>
      <c r="F105" s="80" t="s">
        <v>16</v>
      </c>
      <c r="G105" s="39"/>
      <c r="I105" s="61">
        <f>(0.05+0.3)/2</f>
        <v>0.175</v>
      </c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>
      <c r="A106" s="39"/>
      <c r="B106" s="39"/>
      <c r="C106" s="39"/>
      <c r="D106" s="39"/>
      <c r="E106" s="39"/>
      <c r="F106" s="79" t="s">
        <v>17</v>
      </c>
      <c r="G106" s="39"/>
      <c r="I106" s="28">
        <f>I103*I104*I105</f>
        <v>134156.513</v>
      </c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</row>
    <row r="107">
      <c r="A107" s="39"/>
      <c r="B107" s="39"/>
      <c r="C107" s="39"/>
      <c r="D107" s="39"/>
      <c r="E107" s="39"/>
      <c r="F107" s="80" t="s">
        <v>18</v>
      </c>
      <c r="G107" s="39"/>
      <c r="I107" s="29">
        <v>4.0</v>
      </c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</row>
    <row r="108">
      <c r="A108" s="39"/>
      <c r="B108" s="39"/>
      <c r="C108" s="39"/>
      <c r="D108" s="39"/>
      <c r="E108" s="39"/>
      <c r="F108" s="79" t="s">
        <v>2487</v>
      </c>
      <c r="G108" s="39"/>
      <c r="I108" s="62">
        <f>I106*I107</f>
        <v>536626.0521</v>
      </c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>
      <c r="A109" s="39"/>
      <c r="B109" s="39"/>
      <c r="C109" s="39"/>
      <c r="D109" s="39"/>
      <c r="E109" s="39"/>
      <c r="F109" s="79" t="s">
        <v>2488</v>
      </c>
      <c r="G109" s="39"/>
      <c r="I109" s="31">
        <f>I108*12</f>
        <v>6439512.625</v>
      </c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>
      <c r="A110" s="39"/>
      <c r="B110" s="39"/>
      <c r="C110" s="39"/>
      <c r="D110" s="39"/>
      <c r="E110" s="39"/>
      <c r="F110" s="39"/>
      <c r="G110" s="39"/>
      <c r="H110" s="81"/>
      <c r="I110" s="63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>
      <c r="A111" s="39"/>
      <c r="B111" s="39"/>
      <c r="C111" s="39"/>
      <c r="D111" s="39"/>
      <c r="E111" s="39"/>
      <c r="F111" s="39"/>
      <c r="G111" s="39"/>
      <c r="H111" s="34"/>
      <c r="I111" s="34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</row>
  </sheetData>
  <hyperlinks>
    <hyperlink r:id="rId1" ref="B4"/>
    <hyperlink r:id="rId2" ref="B5"/>
    <hyperlink r:id="rId3" ref="B6"/>
    <hyperlink r:id="rId4" ref="B7"/>
    <hyperlink r:id="rId5" ref="C10"/>
    <hyperlink r:id="rId6" ref="D10"/>
    <hyperlink r:id="rId7" ref="E10"/>
    <hyperlink r:id="rId8" ref="J10"/>
    <hyperlink r:id="rId9" ref="C11"/>
    <hyperlink r:id="rId10" ref="D11"/>
    <hyperlink r:id="rId11" ref="E11"/>
    <hyperlink r:id="rId12" ref="J11"/>
    <hyperlink r:id="rId13" ref="C12"/>
    <hyperlink r:id="rId14" ref="D12"/>
    <hyperlink r:id="rId15" ref="E12"/>
    <hyperlink r:id="rId16" ref="J12"/>
    <hyperlink r:id="rId17" ref="C13"/>
    <hyperlink r:id="rId18" ref="D13"/>
    <hyperlink r:id="rId19" ref="E13"/>
    <hyperlink r:id="rId20" ref="J13"/>
    <hyperlink r:id="rId21" ref="C14"/>
    <hyperlink r:id="rId22" ref="D14"/>
    <hyperlink r:id="rId23" ref="E14"/>
    <hyperlink r:id="rId24" ref="J14"/>
    <hyperlink r:id="rId25" ref="C15"/>
    <hyperlink r:id="rId26" ref="D15"/>
    <hyperlink r:id="rId27" ref="E15"/>
    <hyperlink r:id="rId28" ref="J15"/>
    <hyperlink r:id="rId29" ref="C16"/>
    <hyperlink r:id="rId30" ref="D16"/>
    <hyperlink r:id="rId31" ref="E16"/>
    <hyperlink r:id="rId32" ref="J16"/>
    <hyperlink r:id="rId33" ref="C17"/>
    <hyperlink r:id="rId34" ref="D17"/>
    <hyperlink r:id="rId35" ref="E17"/>
    <hyperlink r:id="rId36" ref="J17"/>
    <hyperlink r:id="rId37" ref="C18"/>
    <hyperlink r:id="rId38" ref="D18"/>
    <hyperlink r:id="rId39" ref="E18"/>
    <hyperlink r:id="rId40" ref="J18"/>
    <hyperlink r:id="rId41" ref="C19"/>
    <hyperlink r:id="rId42" ref="D19"/>
    <hyperlink r:id="rId43" ref="E19"/>
    <hyperlink r:id="rId44" ref="J19"/>
    <hyperlink r:id="rId45" ref="C20"/>
    <hyperlink r:id="rId46" ref="D20"/>
    <hyperlink r:id="rId47" ref="E20"/>
    <hyperlink r:id="rId48" ref="J20"/>
    <hyperlink r:id="rId49" ref="C21"/>
    <hyperlink r:id="rId50" ref="D21"/>
    <hyperlink r:id="rId51" ref="E21"/>
    <hyperlink r:id="rId52" ref="J21"/>
    <hyperlink r:id="rId53" ref="C22"/>
    <hyperlink r:id="rId54" ref="D22"/>
    <hyperlink r:id="rId55" ref="E22"/>
    <hyperlink r:id="rId56" ref="J22"/>
    <hyperlink r:id="rId57" ref="C23"/>
    <hyperlink r:id="rId58" ref="D23"/>
    <hyperlink r:id="rId59" ref="E23"/>
    <hyperlink r:id="rId60" ref="J23"/>
    <hyperlink r:id="rId61" ref="C24"/>
    <hyperlink r:id="rId62" ref="D24"/>
    <hyperlink r:id="rId63" ref="E24"/>
    <hyperlink r:id="rId64" ref="J24"/>
    <hyperlink r:id="rId65" ref="C25"/>
    <hyperlink r:id="rId66" ref="D25"/>
    <hyperlink r:id="rId67" ref="E25"/>
    <hyperlink r:id="rId68" ref="J25"/>
    <hyperlink r:id="rId69" ref="C26"/>
    <hyperlink r:id="rId70" ref="D26"/>
    <hyperlink r:id="rId71" ref="E26"/>
    <hyperlink r:id="rId72" ref="J26"/>
    <hyperlink r:id="rId73" ref="C27"/>
    <hyperlink r:id="rId74" ref="D27"/>
    <hyperlink r:id="rId75" ref="E27"/>
    <hyperlink r:id="rId76" ref="J27"/>
    <hyperlink r:id="rId77" ref="C28"/>
    <hyperlink r:id="rId78" ref="D28"/>
    <hyperlink r:id="rId79" ref="E28"/>
    <hyperlink r:id="rId80" ref="J28"/>
    <hyperlink r:id="rId81" ref="C29"/>
    <hyperlink r:id="rId82" ref="D29"/>
    <hyperlink r:id="rId83" ref="E29"/>
    <hyperlink r:id="rId84" ref="J29"/>
    <hyperlink r:id="rId85" ref="C30"/>
    <hyperlink r:id="rId86" ref="D30"/>
    <hyperlink r:id="rId87" ref="E30"/>
    <hyperlink r:id="rId88" ref="J30"/>
    <hyperlink r:id="rId89" ref="C31"/>
    <hyperlink r:id="rId90" ref="D31"/>
    <hyperlink r:id="rId91" ref="E31"/>
    <hyperlink r:id="rId92" ref="J31"/>
    <hyperlink r:id="rId93" ref="C32"/>
    <hyperlink r:id="rId94" ref="D32"/>
    <hyperlink r:id="rId95" ref="E32"/>
    <hyperlink r:id="rId96" ref="J32"/>
    <hyperlink r:id="rId97" ref="C33"/>
    <hyperlink r:id="rId98" ref="D33"/>
    <hyperlink r:id="rId99" ref="E33"/>
    <hyperlink r:id="rId100" ref="J33"/>
    <hyperlink r:id="rId101" ref="C34"/>
    <hyperlink r:id="rId102" ref="D34"/>
    <hyperlink r:id="rId103" ref="E34"/>
    <hyperlink r:id="rId104" ref="J34"/>
    <hyperlink r:id="rId105" ref="C35"/>
    <hyperlink r:id="rId106" ref="D35"/>
    <hyperlink r:id="rId107" ref="E35"/>
    <hyperlink r:id="rId108" ref="J35"/>
    <hyperlink r:id="rId109" ref="C36"/>
    <hyperlink r:id="rId110" ref="D36"/>
    <hyperlink r:id="rId111" ref="E36"/>
    <hyperlink r:id="rId112" ref="J36"/>
    <hyperlink r:id="rId113" ref="C37"/>
    <hyperlink r:id="rId114" ref="D37"/>
    <hyperlink r:id="rId115" ref="E37"/>
    <hyperlink r:id="rId116" ref="J37"/>
    <hyperlink r:id="rId117" ref="C38"/>
    <hyperlink r:id="rId118" ref="D38"/>
    <hyperlink r:id="rId119" ref="E38"/>
    <hyperlink r:id="rId120" ref="J38"/>
    <hyperlink r:id="rId121" ref="C39"/>
    <hyperlink r:id="rId122" ref="D39"/>
    <hyperlink r:id="rId123" ref="E39"/>
    <hyperlink r:id="rId124" ref="J39"/>
    <hyperlink r:id="rId125" ref="C40"/>
    <hyperlink r:id="rId126" ref="D40"/>
    <hyperlink r:id="rId127" ref="E40"/>
    <hyperlink r:id="rId128" ref="J40"/>
    <hyperlink r:id="rId129" ref="C41"/>
    <hyperlink r:id="rId130" ref="D41"/>
    <hyperlink r:id="rId131" ref="E41"/>
    <hyperlink r:id="rId132" ref="J41"/>
    <hyperlink r:id="rId133" ref="C42"/>
    <hyperlink r:id="rId134" ref="D42"/>
    <hyperlink r:id="rId135" ref="E42"/>
    <hyperlink r:id="rId136" ref="J42"/>
    <hyperlink r:id="rId137" ref="C43"/>
    <hyperlink r:id="rId138" ref="D43"/>
    <hyperlink r:id="rId139" ref="E43"/>
    <hyperlink r:id="rId140" ref="J43"/>
    <hyperlink r:id="rId141" ref="C44"/>
    <hyperlink r:id="rId142" ref="D44"/>
    <hyperlink r:id="rId143" ref="E44"/>
    <hyperlink r:id="rId144" ref="J44"/>
    <hyperlink r:id="rId145" ref="C45"/>
    <hyperlink r:id="rId146" ref="D45"/>
    <hyperlink r:id="rId147" ref="E45"/>
    <hyperlink r:id="rId148" ref="J45"/>
    <hyperlink r:id="rId149" ref="C46"/>
    <hyperlink r:id="rId150" ref="D46"/>
    <hyperlink r:id="rId151" ref="E46"/>
    <hyperlink r:id="rId152" ref="J46"/>
    <hyperlink r:id="rId153" ref="C47"/>
    <hyperlink r:id="rId154" ref="D47"/>
    <hyperlink r:id="rId155" ref="E47"/>
    <hyperlink r:id="rId156" ref="J47"/>
    <hyperlink r:id="rId157" ref="C48"/>
    <hyperlink r:id="rId158" ref="D48"/>
    <hyperlink r:id="rId159" ref="E48"/>
    <hyperlink r:id="rId160" ref="J48"/>
    <hyperlink r:id="rId161" ref="C49"/>
    <hyperlink r:id="rId162" ref="D49"/>
    <hyperlink r:id="rId163" ref="E49"/>
    <hyperlink r:id="rId164" ref="J49"/>
    <hyperlink r:id="rId165" ref="C50"/>
    <hyperlink r:id="rId166" ref="D50"/>
    <hyperlink r:id="rId167" ref="E50"/>
    <hyperlink r:id="rId168" ref="J50"/>
    <hyperlink r:id="rId169" ref="C51"/>
    <hyperlink r:id="rId170" ref="D51"/>
    <hyperlink r:id="rId171" ref="E51"/>
    <hyperlink r:id="rId172" ref="J51"/>
    <hyperlink r:id="rId173" ref="C52"/>
    <hyperlink r:id="rId174" ref="D52"/>
    <hyperlink r:id="rId175" ref="E52"/>
    <hyperlink r:id="rId176" ref="J52"/>
    <hyperlink r:id="rId177" ref="C53"/>
    <hyperlink r:id="rId178" ref="D53"/>
    <hyperlink r:id="rId179" ref="E53"/>
    <hyperlink r:id="rId180" ref="J53"/>
    <hyperlink r:id="rId181" ref="C54"/>
    <hyperlink r:id="rId182" ref="D54"/>
    <hyperlink r:id="rId183" ref="E54"/>
    <hyperlink r:id="rId184" ref="J54"/>
    <hyperlink r:id="rId185" ref="C55"/>
    <hyperlink r:id="rId186" ref="D55"/>
    <hyperlink r:id="rId187" ref="E55"/>
    <hyperlink r:id="rId188" ref="J55"/>
    <hyperlink r:id="rId189" ref="C56"/>
    <hyperlink r:id="rId190" ref="D56"/>
    <hyperlink r:id="rId191" ref="E56"/>
    <hyperlink r:id="rId192" ref="J56"/>
    <hyperlink r:id="rId193" ref="C57"/>
    <hyperlink r:id="rId194" ref="D57"/>
    <hyperlink r:id="rId195" ref="E57"/>
    <hyperlink r:id="rId196" ref="J57"/>
    <hyperlink r:id="rId197" ref="C58"/>
    <hyperlink r:id="rId198" ref="D58"/>
    <hyperlink r:id="rId199" ref="E58"/>
    <hyperlink r:id="rId200" ref="J58"/>
    <hyperlink r:id="rId201" ref="C59"/>
    <hyperlink r:id="rId202" ref="D59"/>
    <hyperlink r:id="rId203" ref="E59"/>
    <hyperlink r:id="rId204" ref="J59"/>
    <hyperlink r:id="rId205" ref="C60"/>
    <hyperlink r:id="rId206" ref="D60"/>
    <hyperlink r:id="rId207" ref="E60"/>
    <hyperlink r:id="rId208" ref="J60"/>
    <hyperlink r:id="rId209" ref="C61"/>
    <hyperlink r:id="rId210" ref="D61"/>
    <hyperlink r:id="rId211" ref="E61"/>
    <hyperlink r:id="rId212" ref="J61"/>
    <hyperlink r:id="rId213" ref="C62"/>
    <hyperlink r:id="rId214" ref="D62"/>
    <hyperlink r:id="rId215" ref="E62"/>
    <hyperlink r:id="rId216" ref="J62"/>
    <hyperlink r:id="rId217" ref="C63"/>
    <hyperlink r:id="rId218" ref="D63"/>
    <hyperlink r:id="rId219" ref="E63"/>
    <hyperlink r:id="rId220" ref="J63"/>
    <hyperlink r:id="rId221" ref="C64"/>
    <hyperlink r:id="rId222" ref="D64"/>
    <hyperlink r:id="rId223" ref="E64"/>
    <hyperlink r:id="rId224" ref="J64"/>
    <hyperlink r:id="rId225" ref="C65"/>
    <hyperlink r:id="rId226" ref="D65"/>
    <hyperlink r:id="rId227" ref="E65"/>
    <hyperlink r:id="rId228" ref="J65"/>
    <hyperlink r:id="rId229" ref="C66"/>
    <hyperlink r:id="rId230" ref="D66"/>
    <hyperlink r:id="rId231" ref="E66"/>
    <hyperlink r:id="rId232" ref="J66"/>
    <hyperlink r:id="rId233" ref="C67"/>
    <hyperlink r:id="rId234" ref="D67"/>
    <hyperlink r:id="rId235" ref="E67"/>
    <hyperlink r:id="rId236" ref="J67"/>
    <hyperlink r:id="rId237" ref="C68"/>
    <hyperlink r:id="rId238" ref="D68"/>
    <hyperlink r:id="rId239" ref="E68"/>
    <hyperlink r:id="rId240" ref="J68"/>
    <hyperlink r:id="rId241" ref="C69"/>
    <hyperlink r:id="rId242" ref="D69"/>
    <hyperlink r:id="rId243" ref="E69"/>
    <hyperlink r:id="rId244" ref="J69"/>
    <hyperlink r:id="rId245" ref="C70"/>
    <hyperlink r:id="rId246" ref="D70"/>
    <hyperlink r:id="rId247" ref="E70"/>
    <hyperlink r:id="rId248" ref="J70"/>
    <hyperlink r:id="rId249" ref="C71"/>
    <hyperlink r:id="rId250" ref="D71"/>
    <hyperlink r:id="rId251" ref="E71"/>
    <hyperlink r:id="rId252" ref="J71"/>
    <hyperlink r:id="rId253" ref="C72"/>
    <hyperlink r:id="rId254" ref="D72"/>
    <hyperlink r:id="rId255" ref="E72"/>
    <hyperlink r:id="rId256" ref="J72"/>
    <hyperlink r:id="rId257" ref="C73"/>
    <hyperlink r:id="rId258" ref="D73"/>
    <hyperlink r:id="rId259" ref="E73"/>
    <hyperlink r:id="rId260" ref="J73"/>
    <hyperlink r:id="rId261" ref="C74"/>
    <hyperlink r:id="rId262" ref="D74"/>
    <hyperlink r:id="rId263" ref="E74"/>
    <hyperlink r:id="rId264" ref="J74"/>
    <hyperlink r:id="rId265" ref="C75"/>
    <hyperlink r:id="rId266" ref="D75"/>
    <hyperlink r:id="rId267" ref="E75"/>
    <hyperlink r:id="rId268" ref="J75"/>
    <hyperlink r:id="rId269" ref="C76"/>
    <hyperlink r:id="rId270" ref="D76"/>
    <hyperlink r:id="rId271" ref="E76"/>
    <hyperlink r:id="rId272" ref="J76"/>
    <hyperlink r:id="rId273" ref="C77"/>
    <hyperlink r:id="rId274" ref="D77"/>
    <hyperlink r:id="rId275" ref="E77"/>
    <hyperlink r:id="rId276" ref="J77"/>
    <hyperlink r:id="rId277" ref="C78"/>
    <hyperlink r:id="rId278" ref="D78"/>
    <hyperlink r:id="rId279" ref="E78"/>
    <hyperlink r:id="rId280" ref="J78"/>
    <hyperlink r:id="rId281" ref="C79"/>
    <hyperlink r:id="rId282" ref="D79"/>
    <hyperlink r:id="rId283" ref="E79"/>
    <hyperlink r:id="rId284" ref="J79"/>
    <hyperlink r:id="rId285" ref="C80"/>
    <hyperlink r:id="rId286" ref="D80"/>
    <hyperlink r:id="rId287" ref="E80"/>
    <hyperlink r:id="rId288" ref="J80"/>
    <hyperlink r:id="rId289" ref="C81"/>
    <hyperlink r:id="rId290" ref="D81"/>
    <hyperlink r:id="rId291" ref="E81"/>
    <hyperlink r:id="rId292" ref="J81"/>
    <hyperlink r:id="rId293" ref="C82"/>
    <hyperlink r:id="rId294" ref="D82"/>
    <hyperlink r:id="rId295" ref="E82"/>
    <hyperlink r:id="rId296" ref="J82"/>
    <hyperlink r:id="rId297" ref="C83"/>
    <hyperlink r:id="rId298" ref="D83"/>
    <hyperlink r:id="rId299" ref="E83"/>
    <hyperlink r:id="rId300" ref="J83"/>
    <hyperlink r:id="rId301" ref="C84"/>
    <hyperlink r:id="rId302" ref="D84"/>
    <hyperlink r:id="rId303" ref="E84"/>
    <hyperlink r:id="rId304" ref="J84"/>
    <hyperlink r:id="rId305" ref="C85"/>
    <hyperlink r:id="rId306" ref="D85"/>
    <hyperlink r:id="rId307" ref="E85"/>
    <hyperlink r:id="rId308" ref="J85"/>
    <hyperlink r:id="rId309" ref="C86"/>
    <hyperlink r:id="rId310" ref="D86"/>
    <hyperlink r:id="rId311" ref="E86"/>
    <hyperlink r:id="rId312" ref="J86"/>
    <hyperlink r:id="rId313" ref="C87"/>
    <hyperlink r:id="rId314" ref="D87"/>
    <hyperlink r:id="rId315" ref="E87"/>
    <hyperlink r:id="rId316" ref="J87"/>
    <hyperlink r:id="rId317" ref="C88"/>
    <hyperlink r:id="rId318" ref="D88"/>
    <hyperlink r:id="rId319" ref="E88"/>
    <hyperlink r:id="rId320" ref="J88"/>
    <hyperlink r:id="rId321" ref="C89"/>
    <hyperlink r:id="rId322" ref="D89"/>
    <hyperlink r:id="rId323" ref="E89"/>
    <hyperlink r:id="rId324" ref="J89"/>
    <hyperlink r:id="rId325" ref="C90"/>
    <hyperlink r:id="rId326" ref="D90"/>
    <hyperlink r:id="rId327" ref="E90"/>
    <hyperlink r:id="rId328" ref="J90"/>
    <hyperlink r:id="rId329" ref="C91"/>
    <hyperlink r:id="rId330" ref="D91"/>
    <hyperlink r:id="rId331" ref="E91"/>
    <hyperlink r:id="rId332" ref="J91"/>
    <hyperlink r:id="rId333" ref="C92"/>
    <hyperlink r:id="rId334" ref="D92"/>
    <hyperlink r:id="rId335" ref="E92"/>
    <hyperlink r:id="rId336" ref="J92"/>
    <hyperlink r:id="rId337" ref="C93"/>
    <hyperlink r:id="rId338" ref="D93"/>
    <hyperlink r:id="rId339" ref="E93"/>
    <hyperlink r:id="rId340" ref="J93"/>
    <hyperlink r:id="rId341" ref="C94"/>
    <hyperlink r:id="rId342" ref="D94"/>
    <hyperlink r:id="rId343" ref="E94"/>
    <hyperlink r:id="rId344" ref="J94"/>
    <hyperlink r:id="rId345" ref="C95"/>
    <hyperlink r:id="rId346" ref="D95"/>
    <hyperlink r:id="rId347" ref="E95"/>
    <hyperlink r:id="rId348" ref="J95"/>
    <hyperlink r:id="rId349" ref="C96"/>
    <hyperlink r:id="rId350" ref="D96"/>
    <hyperlink r:id="rId351" ref="E96"/>
    <hyperlink r:id="rId352" ref="J96"/>
    <hyperlink r:id="rId353" ref="C97"/>
    <hyperlink r:id="rId354" ref="D97"/>
    <hyperlink r:id="rId355" ref="E97"/>
    <hyperlink r:id="rId356" ref="J97"/>
    <hyperlink r:id="rId357" ref="C98"/>
    <hyperlink r:id="rId358" ref="D98"/>
    <hyperlink r:id="rId359" ref="E98"/>
    <hyperlink r:id="rId360" ref="J98"/>
    <hyperlink r:id="rId361" ref="C99"/>
    <hyperlink r:id="rId362" ref="D99"/>
    <hyperlink r:id="rId363" ref="E99"/>
    <hyperlink r:id="rId364" ref="J99"/>
    <hyperlink r:id="rId365" ref="C100"/>
    <hyperlink r:id="rId366" ref="D100"/>
    <hyperlink r:id="rId367" ref="E100"/>
    <hyperlink r:id="rId368" ref="J100"/>
    <hyperlink r:id="rId369" ref="C101"/>
    <hyperlink r:id="rId370" ref="D101"/>
    <hyperlink r:id="rId371" ref="E101"/>
    <hyperlink r:id="rId372" ref="J101"/>
  </hyperlinks>
  <printOptions gridLines="1" horizontalCentered="1"/>
  <pageMargins bottom="0.20809792843691147" footer="0.0" header="0.0" left="0.256120527306968" right="0.24811676082862522" top="0.20809792843691147"/>
  <pageSetup fitToHeight="0" cellComments="atEnd" orientation="portrait" pageOrder="overThenDown"/>
  <drawing r:id="rId37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1.5"/>
    <col customWidth="1" min="2" max="2" width="4.88"/>
    <col customWidth="1" min="3" max="3" width="6.0"/>
    <col customWidth="1" min="4" max="4" width="26.25"/>
    <col customWidth="1" min="5" max="5" width="16.5"/>
    <col customWidth="1" min="6" max="6" width="15.25"/>
    <col customWidth="1" min="7" max="7" width="18.0"/>
    <col customWidth="1" min="8" max="8" width="12.88"/>
    <col customWidth="1" min="9" max="9" width="10.0"/>
    <col customWidth="1" min="10" max="10" width="8.0"/>
  </cols>
  <sheetData>
    <row r="1">
      <c r="A1" s="90" t="s">
        <v>2303</v>
      </c>
      <c r="B1" s="34"/>
      <c r="C1" s="34"/>
      <c r="D1" s="34"/>
      <c r="E1" s="34"/>
      <c r="F1" s="34"/>
      <c r="G1" s="34"/>
      <c r="H1" s="34"/>
      <c r="I1" s="38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>
      <c r="A2" s="90" t="s">
        <v>2489</v>
      </c>
      <c r="B2" s="34"/>
      <c r="C2" s="34"/>
      <c r="D2" s="34"/>
      <c r="E2" s="34"/>
      <c r="F2" s="34"/>
      <c r="G2" s="34"/>
      <c r="H2" s="34"/>
      <c r="I2" s="38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>
      <c r="A3" s="34"/>
      <c r="B3" s="34"/>
      <c r="C3" s="34"/>
      <c r="D3" s="34"/>
      <c r="E3" s="34"/>
      <c r="F3" s="34"/>
      <c r="G3" s="34"/>
      <c r="H3" s="34"/>
      <c r="I3" s="38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</row>
    <row r="4">
      <c r="A4" s="34"/>
      <c r="B4" s="91" t="s">
        <v>2490</v>
      </c>
      <c r="D4" s="34"/>
      <c r="E4" s="34"/>
      <c r="F4" s="34"/>
      <c r="G4" s="34"/>
      <c r="H4" s="38"/>
      <c r="I4" s="38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</row>
    <row r="5">
      <c r="A5" s="34"/>
      <c r="B5" s="91" t="s">
        <v>2491</v>
      </c>
      <c r="D5" s="34"/>
      <c r="E5" s="34"/>
      <c r="F5" s="34"/>
      <c r="G5" s="34"/>
      <c r="H5" s="38"/>
      <c r="I5" s="38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>
      <c r="A6" s="34"/>
      <c r="B6" s="67" t="s">
        <v>1180</v>
      </c>
      <c r="D6" s="34"/>
      <c r="E6" s="34"/>
      <c r="F6" s="34"/>
      <c r="G6" s="34"/>
      <c r="H6" s="38"/>
      <c r="I6" s="38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>
      <c r="A7" s="34"/>
      <c r="B7" s="55"/>
      <c r="C7" s="55"/>
      <c r="D7" s="34"/>
      <c r="E7" s="34"/>
      <c r="F7" s="34"/>
      <c r="G7" s="34"/>
      <c r="H7" s="38"/>
      <c r="I7" s="38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>
      <c r="A8" s="34"/>
      <c r="B8" s="43"/>
      <c r="C8" s="43" t="s">
        <v>1183</v>
      </c>
      <c r="D8" s="43" t="s">
        <v>2492</v>
      </c>
      <c r="E8" s="43" t="s">
        <v>41</v>
      </c>
      <c r="F8" s="43" t="s">
        <v>42</v>
      </c>
      <c r="G8" s="43" t="s">
        <v>2493</v>
      </c>
      <c r="H8" s="44" t="s">
        <v>2494</v>
      </c>
      <c r="I8" s="44" t="s">
        <v>7</v>
      </c>
      <c r="J8" s="43" t="s">
        <v>2495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>
      <c r="A9" s="34"/>
      <c r="B9" s="24">
        <v>1.0</v>
      </c>
      <c r="C9" s="71"/>
      <c r="D9" s="49" t="s">
        <v>2496</v>
      </c>
      <c r="E9" s="49" t="s">
        <v>120</v>
      </c>
      <c r="F9" s="49" t="s">
        <v>91</v>
      </c>
      <c r="G9" s="49" t="s">
        <v>2497</v>
      </c>
      <c r="H9" s="92" t="s">
        <v>2498</v>
      </c>
      <c r="I9" s="48">
        <v>9639.0</v>
      </c>
      <c r="J9" s="50">
        <v>2009.0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>
      <c r="A10" s="34"/>
      <c r="B10" s="34">
        <f t="shared" ref="B10:B179" si="1">B9+1</f>
        <v>2</v>
      </c>
      <c r="C10" s="71"/>
      <c r="D10" s="49" t="s">
        <v>2499</v>
      </c>
      <c r="E10" s="49" t="s">
        <v>510</v>
      </c>
      <c r="F10" s="49" t="s">
        <v>325</v>
      </c>
      <c r="G10" s="49" t="s">
        <v>2500</v>
      </c>
      <c r="H10" s="92" t="s">
        <v>2501</v>
      </c>
      <c r="I10" s="48">
        <v>9604.0</v>
      </c>
      <c r="J10" s="50">
        <v>1949.0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>
      <c r="A11" s="34"/>
      <c r="B11" s="34">
        <f t="shared" si="1"/>
        <v>3</v>
      </c>
      <c r="C11" s="71"/>
      <c r="D11" s="49" t="s">
        <v>2502</v>
      </c>
      <c r="E11" s="49" t="s">
        <v>235</v>
      </c>
      <c r="F11" s="49" t="s">
        <v>236</v>
      </c>
      <c r="G11" s="49" t="s">
        <v>2503</v>
      </c>
      <c r="H11" s="92" t="s">
        <v>2504</v>
      </c>
      <c r="I11" s="48">
        <v>9500.0</v>
      </c>
      <c r="J11" s="50">
        <v>2016.0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>
      <c r="A12" s="34"/>
      <c r="B12" s="34">
        <f t="shared" si="1"/>
        <v>4</v>
      </c>
      <c r="C12" s="71"/>
      <c r="D12" s="49" t="s">
        <v>2505</v>
      </c>
      <c r="E12" s="49" t="s">
        <v>633</v>
      </c>
      <c r="F12" s="49" t="s">
        <v>218</v>
      </c>
      <c r="G12" s="49" t="s">
        <v>218</v>
      </c>
      <c r="H12" s="92" t="s">
        <v>2506</v>
      </c>
      <c r="I12" s="48">
        <v>9493.0</v>
      </c>
      <c r="J12" s="50">
        <v>1993.0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>
      <c r="A13" s="34"/>
      <c r="B13" s="34">
        <f t="shared" si="1"/>
        <v>5</v>
      </c>
      <c r="C13" s="71"/>
      <c r="D13" s="49" t="s">
        <v>2507</v>
      </c>
      <c r="E13" s="49" t="s">
        <v>289</v>
      </c>
      <c r="F13" s="49" t="s">
        <v>91</v>
      </c>
      <c r="G13" s="49" t="s">
        <v>2508</v>
      </c>
      <c r="H13" s="93" t="s">
        <v>2509</v>
      </c>
      <c r="I13" s="48">
        <v>9465.0</v>
      </c>
      <c r="J13" s="50">
        <v>2007.0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>
      <c r="A14" s="34"/>
      <c r="B14" s="34">
        <f t="shared" si="1"/>
        <v>6</v>
      </c>
      <c r="C14" s="71"/>
      <c r="D14" s="49" t="s">
        <v>2510</v>
      </c>
      <c r="E14" s="49" t="s">
        <v>2511</v>
      </c>
      <c r="F14" s="49" t="s">
        <v>286</v>
      </c>
      <c r="G14" s="49" t="s">
        <v>2512</v>
      </c>
      <c r="H14" s="92" t="s">
        <v>2513</v>
      </c>
      <c r="I14" s="48">
        <v>9400.0</v>
      </c>
      <c r="J14" s="50">
        <v>2008.0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>
      <c r="A15" s="34"/>
      <c r="B15" s="34">
        <f t="shared" si="1"/>
        <v>7</v>
      </c>
      <c r="C15" s="71"/>
      <c r="D15" s="49" t="s">
        <v>2514</v>
      </c>
      <c r="E15" s="49" t="s">
        <v>513</v>
      </c>
      <c r="F15" s="49" t="s">
        <v>153</v>
      </c>
      <c r="G15" s="49" t="s">
        <v>2515</v>
      </c>
      <c r="H15" s="92" t="s">
        <v>2516</v>
      </c>
      <c r="I15" s="48">
        <v>9314.0</v>
      </c>
      <c r="J15" s="50">
        <v>1940.0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>
      <c r="A16" s="34"/>
      <c r="B16" s="34">
        <f t="shared" si="1"/>
        <v>8</v>
      </c>
      <c r="C16" s="71"/>
      <c r="D16" s="49" t="s">
        <v>2517</v>
      </c>
      <c r="E16" s="49" t="s">
        <v>838</v>
      </c>
      <c r="F16" s="49" t="s">
        <v>69</v>
      </c>
      <c r="G16" s="49" t="s">
        <v>2518</v>
      </c>
      <c r="H16" s="92" t="s">
        <v>2519</v>
      </c>
      <c r="I16" s="48">
        <v>9282.0</v>
      </c>
      <c r="J16" s="50">
        <v>1977.0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>
      <c r="A17" s="34"/>
      <c r="B17" s="34">
        <f t="shared" si="1"/>
        <v>9</v>
      </c>
      <c r="C17" s="71"/>
      <c r="D17" s="49" t="s">
        <v>2520</v>
      </c>
      <c r="E17" s="49" t="s">
        <v>123</v>
      </c>
      <c r="F17" s="49" t="s">
        <v>124</v>
      </c>
      <c r="G17" s="49" t="s">
        <v>123</v>
      </c>
      <c r="H17" s="92" t="s">
        <v>2516</v>
      </c>
      <c r="I17" s="48">
        <v>9149.0</v>
      </c>
      <c r="J17" s="50">
        <v>1968.0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>
      <c r="A18" s="34"/>
      <c r="B18" s="34">
        <f t="shared" si="1"/>
        <v>10</v>
      </c>
      <c r="C18" s="71"/>
      <c r="D18" s="49" t="s">
        <v>2521</v>
      </c>
      <c r="E18" s="49" t="s">
        <v>152</v>
      </c>
      <c r="F18" s="49" t="s">
        <v>153</v>
      </c>
      <c r="G18" s="49" t="s">
        <v>152</v>
      </c>
      <c r="H18" s="93" t="s">
        <v>2522</v>
      </c>
      <c r="I18" s="48">
        <v>9105.0</v>
      </c>
      <c r="J18" s="50">
        <v>1996.0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>
      <c r="A19" s="34"/>
      <c r="B19" s="34">
        <f t="shared" si="1"/>
        <v>11</v>
      </c>
      <c r="C19" s="71"/>
      <c r="D19" s="49" t="s">
        <v>2523</v>
      </c>
      <c r="E19" s="49" t="s">
        <v>253</v>
      </c>
      <c r="F19" s="49" t="s">
        <v>124</v>
      </c>
      <c r="G19" s="49" t="s">
        <v>2524</v>
      </c>
      <c r="H19" s="92" t="s">
        <v>2525</v>
      </c>
      <c r="I19" s="48">
        <v>9100.0</v>
      </c>
      <c r="J19" s="50">
        <v>1928.0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>
      <c r="A20" s="34"/>
      <c r="B20" s="34">
        <f t="shared" si="1"/>
        <v>12</v>
      </c>
      <c r="C20" s="71"/>
      <c r="D20" s="49" t="s">
        <v>2526</v>
      </c>
      <c r="E20" s="49" t="s">
        <v>537</v>
      </c>
      <c r="F20" s="49" t="s">
        <v>304</v>
      </c>
      <c r="G20" s="49" t="s">
        <v>2527</v>
      </c>
      <c r="H20" s="93" t="s">
        <v>2528</v>
      </c>
      <c r="I20" s="48">
        <v>9048.0</v>
      </c>
      <c r="J20" s="50">
        <v>1981.0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>
      <c r="A21" s="34"/>
      <c r="B21" s="34">
        <f t="shared" si="1"/>
        <v>13</v>
      </c>
      <c r="C21" s="71"/>
      <c r="D21" s="49" t="s">
        <v>2529</v>
      </c>
      <c r="E21" s="49" t="s">
        <v>1103</v>
      </c>
      <c r="F21" s="49" t="s">
        <v>69</v>
      </c>
      <c r="G21" s="49" t="s">
        <v>2530</v>
      </c>
      <c r="H21" s="92" t="s">
        <v>2531</v>
      </c>
      <c r="I21" s="48">
        <v>9000.0</v>
      </c>
      <c r="J21" s="50">
        <v>1975.0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>
      <c r="A22" s="34"/>
      <c r="B22" s="34">
        <f t="shared" si="1"/>
        <v>14</v>
      </c>
      <c r="C22" s="71"/>
      <c r="D22" s="49" t="s">
        <v>2532</v>
      </c>
      <c r="E22" s="49" t="s">
        <v>105</v>
      </c>
      <c r="F22" s="49" t="s">
        <v>106</v>
      </c>
      <c r="G22" s="49" t="s">
        <v>105</v>
      </c>
      <c r="H22" s="92" t="s">
        <v>2516</v>
      </c>
      <c r="I22" s="48">
        <v>9000.0</v>
      </c>
      <c r="J22" s="50">
        <v>1968.0</v>
      </c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>
      <c r="A23" s="34"/>
      <c r="B23" s="34">
        <f t="shared" si="1"/>
        <v>15</v>
      </c>
      <c r="C23" s="71"/>
      <c r="D23" s="49" t="s">
        <v>2533</v>
      </c>
      <c r="E23" s="49" t="s">
        <v>156</v>
      </c>
      <c r="F23" s="49" t="s">
        <v>65</v>
      </c>
      <c r="G23" s="49" t="s">
        <v>156</v>
      </c>
      <c r="H23" s="92" t="s">
        <v>2534</v>
      </c>
      <c r="I23" s="48">
        <v>8933.0</v>
      </c>
      <c r="J23" s="50">
        <v>1983.0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>
      <c r="A24" s="34"/>
      <c r="B24" s="34">
        <f t="shared" si="1"/>
        <v>16</v>
      </c>
      <c r="C24" s="71"/>
      <c r="D24" s="49" t="s">
        <v>2535</v>
      </c>
      <c r="E24" s="49" t="s">
        <v>555</v>
      </c>
      <c r="F24" s="49" t="s">
        <v>48</v>
      </c>
      <c r="G24" s="49" t="s">
        <v>2536</v>
      </c>
      <c r="H24" s="92" t="s">
        <v>2537</v>
      </c>
      <c r="I24" s="48">
        <v>8824.0</v>
      </c>
      <c r="J24" s="50">
        <v>1998.0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>
      <c r="A25" s="34"/>
      <c r="B25" s="34">
        <f t="shared" si="1"/>
        <v>17</v>
      </c>
      <c r="C25" s="71"/>
      <c r="D25" s="49" t="s">
        <v>2538</v>
      </c>
      <c r="E25" s="49" t="s">
        <v>500</v>
      </c>
      <c r="F25" s="49" t="s">
        <v>143</v>
      </c>
      <c r="G25" s="49" t="s">
        <v>2539</v>
      </c>
      <c r="H25" s="92" t="s">
        <v>2540</v>
      </c>
      <c r="I25" s="48">
        <v>8745.0</v>
      </c>
      <c r="J25" s="50">
        <v>1966.0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>
      <c r="A26" s="34"/>
      <c r="B26" s="34">
        <f t="shared" si="1"/>
        <v>18</v>
      </c>
      <c r="C26" s="71"/>
      <c r="D26" s="49" t="s">
        <v>2541</v>
      </c>
      <c r="E26" s="49" t="s">
        <v>204</v>
      </c>
      <c r="F26" s="49" t="s">
        <v>53</v>
      </c>
      <c r="G26" s="49" t="s">
        <v>2542</v>
      </c>
      <c r="H26" s="92" t="s">
        <v>2543</v>
      </c>
      <c r="I26" s="48">
        <v>8722.0</v>
      </c>
      <c r="J26" s="50">
        <v>1927.0</v>
      </c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>
      <c r="A27" s="34"/>
      <c r="B27" s="34">
        <f t="shared" si="1"/>
        <v>19</v>
      </c>
      <c r="C27" s="71"/>
      <c r="D27" s="49" t="s">
        <v>2544</v>
      </c>
      <c r="E27" s="49" t="s">
        <v>419</v>
      </c>
      <c r="F27" s="49" t="s">
        <v>218</v>
      </c>
      <c r="G27" s="49" t="s">
        <v>2545</v>
      </c>
      <c r="H27" s="92" t="s">
        <v>2516</v>
      </c>
      <c r="I27" s="48">
        <v>8606.0</v>
      </c>
      <c r="J27" s="50">
        <v>1988.0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>
      <c r="A28" s="34"/>
      <c r="B28" s="34">
        <f t="shared" si="1"/>
        <v>20</v>
      </c>
      <c r="C28" s="71"/>
      <c r="D28" s="49" t="s">
        <v>2546</v>
      </c>
      <c r="E28" s="49" t="s">
        <v>829</v>
      </c>
      <c r="F28" s="49" t="s">
        <v>286</v>
      </c>
      <c r="G28" s="49" t="s">
        <v>2547</v>
      </c>
      <c r="H28" s="92" t="s">
        <v>2548</v>
      </c>
      <c r="I28" s="48">
        <v>8602.0</v>
      </c>
      <c r="J28" s="50">
        <v>1998.0</v>
      </c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</row>
    <row r="29">
      <c r="A29" s="34"/>
      <c r="B29" s="34">
        <f t="shared" si="1"/>
        <v>21</v>
      </c>
      <c r="C29" s="71"/>
      <c r="D29" s="49" t="s">
        <v>2549</v>
      </c>
      <c r="E29" s="49" t="s">
        <v>168</v>
      </c>
      <c r="F29" s="49" t="s">
        <v>80</v>
      </c>
      <c r="G29" s="49" t="s">
        <v>2550</v>
      </c>
      <c r="H29" s="92" t="s">
        <v>2516</v>
      </c>
      <c r="I29" s="48">
        <v>8600.0</v>
      </c>
      <c r="J29" s="50">
        <v>1956.0</v>
      </c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</row>
    <row r="30">
      <c r="A30" s="34"/>
      <c r="B30" s="34">
        <f t="shared" si="1"/>
        <v>22</v>
      </c>
      <c r="C30" s="71"/>
      <c r="D30" s="49" t="s">
        <v>2551</v>
      </c>
      <c r="E30" s="49" t="s">
        <v>166</v>
      </c>
      <c r="F30" s="49" t="s">
        <v>76</v>
      </c>
      <c r="G30" s="49" t="s">
        <v>2552</v>
      </c>
      <c r="H30" s="93" t="s">
        <v>2553</v>
      </c>
      <c r="I30" s="48">
        <v>8508.0</v>
      </c>
      <c r="J30" s="50">
        <v>1988.0</v>
      </c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</row>
    <row r="31">
      <c r="A31" s="34"/>
      <c r="B31" s="34">
        <f t="shared" si="1"/>
        <v>23</v>
      </c>
      <c r="C31" s="55"/>
      <c r="D31" s="49" t="s">
        <v>2554</v>
      </c>
      <c r="E31" s="49" t="s">
        <v>647</v>
      </c>
      <c r="F31" s="49" t="s">
        <v>222</v>
      </c>
      <c r="G31" s="49" t="s">
        <v>2555</v>
      </c>
      <c r="H31" s="92" t="s">
        <v>2556</v>
      </c>
      <c r="I31" s="48">
        <v>8500.0</v>
      </c>
      <c r="J31" s="50">
        <v>2020.0</v>
      </c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>
      <c r="A32" s="34"/>
      <c r="B32" s="34">
        <f t="shared" si="1"/>
        <v>24</v>
      </c>
      <c r="C32" s="71"/>
      <c r="D32" s="49" t="s">
        <v>2557</v>
      </c>
      <c r="E32" s="49" t="s">
        <v>2558</v>
      </c>
      <c r="F32" s="49" t="s">
        <v>243</v>
      </c>
      <c r="G32" s="49" t="s">
        <v>2559</v>
      </c>
      <c r="H32" s="92" t="s">
        <v>2560</v>
      </c>
      <c r="I32" s="48">
        <v>8500.0</v>
      </c>
      <c r="J32" s="50">
        <v>1996.0</v>
      </c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  <row r="33">
      <c r="A33" s="34"/>
      <c r="B33" s="34">
        <f t="shared" si="1"/>
        <v>25</v>
      </c>
      <c r="C33" s="71"/>
      <c r="D33" s="49" t="s">
        <v>2561</v>
      </c>
      <c r="E33" s="49" t="s">
        <v>397</v>
      </c>
      <c r="F33" s="49" t="s">
        <v>61</v>
      </c>
      <c r="G33" s="49" t="s">
        <v>2562</v>
      </c>
      <c r="H33" s="92" t="s">
        <v>2563</v>
      </c>
      <c r="I33" s="48">
        <v>8500.0</v>
      </c>
      <c r="J33" s="50">
        <v>1961.0</v>
      </c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</row>
    <row r="34">
      <c r="A34" s="34"/>
      <c r="B34" s="34">
        <f t="shared" si="1"/>
        <v>26</v>
      </c>
      <c r="C34" s="71"/>
      <c r="D34" s="49" t="s">
        <v>2564</v>
      </c>
      <c r="E34" s="49" t="s">
        <v>571</v>
      </c>
      <c r="F34" s="49" t="s">
        <v>222</v>
      </c>
      <c r="G34" s="49" t="s">
        <v>2565</v>
      </c>
      <c r="H34" s="92" t="s">
        <v>2556</v>
      </c>
      <c r="I34" s="48">
        <v>8472.0</v>
      </c>
      <c r="J34" s="50">
        <v>2002.0</v>
      </c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</row>
    <row r="35">
      <c r="A35" s="34"/>
      <c r="B35" s="34">
        <f t="shared" si="1"/>
        <v>27</v>
      </c>
      <c r="C35" s="55"/>
      <c r="D35" s="49" t="s">
        <v>1524</v>
      </c>
      <c r="E35" s="49" t="s">
        <v>979</v>
      </c>
      <c r="F35" s="49" t="s">
        <v>273</v>
      </c>
      <c r="G35" s="47" t="s">
        <v>2566</v>
      </c>
      <c r="H35" s="93" t="s">
        <v>2567</v>
      </c>
      <c r="I35" s="48">
        <v>8412.0</v>
      </c>
      <c r="J35" s="50">
        <v>2001.0</v>
      </c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</row>
    <row r="36">
      <c r="A36" s="34"/>
      <c r="B36" s="34">
        <f t="shared" si="1"/>
        <v>28</v>
      </c>
      <c r="C36" s="71"/>
      <c r="D36" s="49" t="s">
        <v>2568</v>
      </c>
      <c r="E36" s="49" t="s">
        <v>633</v>
      </c>
      <c r="F36" s="49" t="s">
        <v>218</v>
      </c>
      <c r="G36" s="49" t="s">
        <v>218</v>
      </c>
      <c r="H36" s="92" t="s">
        <v>2569</v>
      </c>
      <c r="I36" s="48">
        <v>8387.0</v>
      </c>
      <c r="J36" s="50">
        <v>1993.0</v>
      </c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</row>
    <row r="37">
      <c r="A37" s="34"/>
      <c r="B37" s="34">
        <f t="shared" si="1"/>
        <v>29</v>
      </c>
      <c r="C37" s="71"/>
      <c r="D37" s="49" t="s">
        <v>2570</v>
      </c>
      <c r="E37" s="49" t="s">
        <v>565</v>
      </c>
      <c r="F37" s="49" t="s">
        <v>114</v>
      </c>
      <c r="G37" s="49" t="s">
        <v>565</v>
      </c>
      <c r="H37" s="92" t="s">
        <v>2571</v>
      </c>
      <c r="I37" s="48">
        <v>8355.0</v>
      </c>
      <c r="J37" s="50">
        <v>1998.0</v>
      </c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</row>
    <row r="38">
      <c r="A38" s="34"/>
      <c r="B38" s="34">
        <f t="shared" si="1"/>
        <v>30</v>
      </c>
      <c r="C38" s="71"/>
      <c r="D38" s="49" t="s">
        <v>2572</v>
      </c>
      <c r="E38" s="49" t="s">
        <v>882</v>
      </c>
      <c r="F38" s="49" t="s">
        <v>262</v>
      </c>
      <c r="G38" s="49" t="s">
        <v>2573</v>
      </c>
      <c r="H38" s="92" t="s">
        <v>2548</v>
      </c>
      <c r="I38" s="48">
        <v>8339.0</v>
      </c>
      <c r="J38" s="50">
        <v>1964.0</v>
      </c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</row>
    <row r="39">
      <c r="A39" s="34"/>
      <c r="B39" s="34">
        <f t="shared" si="1"/>
        <v>31</v>
      </c>
      <c r="C39" s="71"/>
      <c r="D39" s="49" t="s">
        <v>2574</v>
      </c>
      <c r="E39" s="49" t="s">
        <v>568</v>
      </c>
      <c r="F39" s="49" t="s">
        <v>153</v>
      </c>
      <c r="G39" s="49" t="s">
        <v>2575</v>
      </c>
      <c r="H39" s="92" t="s">
        <v>2556</v>
      </c>
      <c r="I39" s="48">
        <v>8325.0</v>
      </c>
      <c r="J39" s="50">
        <v>2000.0</v>
      </c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</row>
    <row r="40">
      <c r="A40" s="34"/>
      <c r="B40" s="34">
        <f t="shared" si="1"/>
        <v>32</v>
      </c>
      <c r="C40" s="71"/>
      <c r="D40" s="49" t="s">
        <v>2576</v>
      </c>
      <c r="E40" s="49" t="s">
        <v>228</v>
      </c>
      <c r="F40" s="49" t="s">
        <v>48</v>
      </c>
      <c r="G40" s="49" t="s">
        <v>2577</v>
      </c>
      <c r="H40" s="92" t="s">
        <v>2513</v>
      </c>
      <c r="I40" s="48">
        <v>8295.0</v>
      </c>
      <c r="J40" s="50">
        <v>1952.0</v>
      </c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>
      <c r="A41" s="34"/>
      <c r="B41" s="34">
        <f t="shared" si="1"/>
        <v>33</v>
      </c>
      <c r="C41" s="71"/>
      <c r="D41" s="49" t="s">
        <v>2578</v>
      </c>
      <c r="E41" s="49" t="s">
        <v>159</v>
      </c>
      <c r="F41" s="49" t="s">
        <v>61</v>
      </c>
      <c r="G41" s="49" t="s">
        <v>2579</v>
      </c>
      <c r="H41" s="92" t="s">
        <v>2498</v>
      </c>
      <c r="I41" s="48">
        <v>8100.0</v>
      </c>
      <c r="J41" s="50">
        <v>1989.0</v>
      </c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</row>
    <row r="42">
      <c r="A42" s="34"/>
      <c r="B42" s="34">
        <f t="shared" si="1"/>
        <v>34</v>
      </c>
      <c r="C42" s="71"/>
      <c r="D42" s="49" t="s">
        <v>2580</v>
      </c>
      <c r="E42" s="49" t="s">
        <v>588</v>
      </c>
      <c r="F42" s="49" t="s">
        <v>65</v>
      </c>
      <c r="G42" s="49" t="s">
        <v>2581</v>
      </c>
      <c r="H42" s="92" t="s">
        <v>2582</v>
      </c>
      <c r="I42" s="48">
        <v>8098.0</v>
      </c>
      <c r="J42" s="50">
        <v>1982.0</v>
      </c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</row>
    <row r="43">
      <c r="A43" s="34"/>
      <c r="B43" s="34">
        <f t="shared" si="1"/>
        <v>35</v>
      </c>
      <c r="C43" s="55"/>
      <c r="D43" s="49" t="s">
        <v>2583</v>
      </c>
      <c r="E43" s="49" t="s">
        <v>507</v>
      </c>
      <c r="F43" s="49" t="s">
        <v>236</v>
      </c>
      <c r="G43" s="49" t="s">
        <v>2584</v>
      </c>
      <c r="H43" s="92" t="s">
        <v>2556</v>
      </c>
      <c r="I43" s="48">
        <v>8095.0</v>
      </c>
      <c r="J43" s="50">
        <v>1965.0</v>
      </c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</row>
    <row r="44">
      <c r="A44" s="34"/>
      <c r="B44" s="34">
        <f t="shared" si="1"/>
        <v>36</v>
      </c>
      <c r="C44" s="55"/>
      <c r="D44" s="49" t="s">
        <v>2585</v>
      </c>
      <c r="E44" s="49" t="s">
        <v>2208</v>
      </c>
      <c r="F44" s="49" t="s">
        <v>783</v>
      </c>
      <c r="G44" s="49" t="s">
        <v>2586</v>
      </c>
      <c r="H44" s="92" t="s">
        <v>2587</v>
      </c>
      <c r="I44" s="48">
        <v>8057.0</v>
      </c>
      <c r="J44" s="50">
        <v>1987.0</v>
      </c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</row>
    <row r="45">
      <c r="A45" s="34"/>
      <c r="B45" s="34">
        <f t="shared" si="1"/>
        <v>37</v>
      </c>
      <c r="C45" s="55"/>
      <c r="D45" s="49" t="s">
        <v>2588</v>
      </c>
      <c r="E45" s="49" t="s">
        <v>358</v>
      </c>
      <c r="F45" s="49" t="s">
        <v>153</v>
      </c>
      <c r="G45" s="49" t="s">
        <v>2589</v>
      </c>
      <c r="H45" s="92" t="s">
        <v>2516</v>
      </c>
      <c r="I45" s="48">
        <v>8010.0</v>
      </c>
      <c r="J45" s="50">
        <v>1965.0</v>
      </c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</row>
    <row r="46">
      <c r="A46" s="34"/>
      <c r="B46" s="34">
        <f t="shared" si="1"/>
        <v>38</v>
      </c>
      <c r="C46" s="71"/>
      <c r="D46" s="49" t="s">
        <v>2590</v>
      </c>
      <c r="E46" s="49" t="s">
        <v>347</v>
      </c>
      <c r="F46" s="49" t="s">
        <v>153</v>
      </c>
      <c r="G46" s="49" t="s">
        <v>2591</v>
      </c>
      <c r="H46" s="92" t="s">
        <v>2571</v>
      </c>
      <c r="I46" s="48">
        <v>8000.0</v>
      </c>
      <c r="J46" s="50">
        <v>1968.0</v>
      </c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</row>
    <row r="47">
      <c r="A47" s="34"/>
      <c r="B47" s="34">
        <f t="shared" si="1"/>
        <v>39</v>
      </c>
      <c r="C47" s="55"/>
      <c r="D47" s="49" t="s">
        <v>2592</v>
      </c>
      <c r="E47" s="49" t="s">
        <v>297</v>
      </c>
      <c r="F47" s="49" t="s">
        <v>236</v>
      </c>
      <c r="G47" s="49" t="s">
        <v>2593</v>
      </c>
      <c r="H47" s="92" t="s">
        <v>2498</v>
      </c>
      <c r="I47" s="48">
        <v>8000.0</v>
      </c>
      <c r="J47" s="50">
        <v>1981.0</v>
      </c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</row>
    <row r="48">
      <c r="A48" s="34"/>
      <c r="B48" s="34">
        <f t="shared" si="1"/>
        <v>40</v>
      </c>
      <c r="C48" s="71"/>
      <c r="D48" s="49" t="s">
        <v>2594</v>
      </c>
      <c r="E48" s="49" t="s">
        <v>981</v>
      </c>
      <c r="F48" s="49" t="s">
        <v>504</v>
      </c>
      <c r="G48" s="49" t="s">
        <v>2595</v>
      </c>
      <c r="H48" s="92" t="s">
        <v>2596</v>
      </c>
      <c r="I48" s="48">
        <v>8000.0</v>
      </c>
      <c r="J48" s="50">
        <v>1970.0</v>
      </c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</row>
    <row r="49">
      <c r="A49" s="34"/>
      <c r="B49" s="34">
        <f t="shared" si="1"/>
        <v>41</v>
      </c>
      <c r="C49" s="71"/>
      <c r="D49" s="49" t="s">
        <v>2597</v>
      </c>
      <c r="E49" s="49" t="s">
        <v>335</v>
      </c>
      <c r="F49" s="49" t="s">
        <v>102</v>
      </c>
      <c r="G49" s="49" t="s">
        <v>2598</v>
      </c>
      <c r="H49" s="92" t="s">
        <v>2599</v>
      </c>
      <c r="I49" s="48">
        <v>8000.0</v>
      </c>
      <c r="J49" s="50">
        <v>1977.0</v>
      </c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</row>
    <row r="50">
      <c r="A50" s="34"/>
      <c r="B50" s="34">
        <f t="shared" si="1"/>
        <v>42</v>
      </c>
      <c r="C50" s="71"/>
      <c r="D50" s="49" t="s">
        <v>1399</v>
      </c>
      <c r="E50" s="49" t="s">
        <v>285</v>
      </c>
      <c r="F50" s="49" t="s">
        <v>286</v>
      </c>
      <c r="G50" s="49" t="s">
        <v>2600</v>
      </c>
      <c r="H50" s="92" t="s">
        <v>2504</v>
      </c>
      <c r="I50" s="48">
        <v>8000.0</v>
      </c>
      <c r="J50" s="50">
        <v>1950.0</v>
      </c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</row>
    <row r="51">
      <c r="A51" s="34"/>
      <c r="B51" s="34">
        <f t="shared" si="1"/>
        <v>43</v>
      </c>
      <c r="C51" s="71"/>
      <c r="D51" s="49" t="s">
        <v>2601</v>
      </c>
      <c r="E51" s="49" t="s">
        <v>2602</v>
      </c>
      <c r="F51" s="49" t="s">
        <v>91</v>
      </c>
      <c r="G51" s="49" t="s">
        <v>2603</v>
      </c>
      <c r="H51" s="92" t="s">
        <v>2516</v>
      </c>
      <c r="I51" s="48">
        <v>7972.0</v>
      </c>
      <c r="J51" s="50">
        <v>2003.0</v>
      </c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</row>
    <row r="52">
      <c r="A52" s="34"/>
      <c r="B52" s="34">
        <f t="shared" si="1"/>
        <v>44</v>
      </c>
      <c r="C52" s="71"/>
      <c r="D52" s="49" t="s">
        <v>2604</v>
      </c>
      <c r="E52" s="49" t="s">
        <v>650</v>
      </c>
      <c r="F52" s="49" t="s">
        <v>98</v>
      </c>
      <c r="G52" s="49" t="s">
        <v>650</v>
      </c>
      <c r="H52" s="92" t="s">
        <v>2605</v>
      </c>
      <c r="I52" s="48">
        <v>7898.0</v>
      </c>
      <c r="J52" s="50">
        <v>2015.0</v>
      </c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</row>
    <row r="53">
      <c r="A53" s="34"/>
      <c r="B53" s="34">
        <f t="shared" si="1"/>
        <v>45</v>
      </c>
      <c r="C53" s="71"/>
      <c r="D53" s="49" t="s">
        <v>2544</v>
      </c>
      <c r="E53" s="49" t="s">
        <v>419</v>
      </c>
      <c r="F53" s="49" t="s">
        <v>218</v>
      </c>
      <c r="G53" s="47" t="s">
        <v>2606</v>
      </c>
      <c r="H53" s="92" t="s">
        <v>2569</v>
      </c>
      <c r="I53" s="48">
        <v>7884.0</v>
      </c>
      <c r="J53" s="50">
        <v>1988.0</v>
      </c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</row>
    <row r="54">
      <c r="A54" s="34"/>
      <c r="B54" s="34">
        <f t="shared" si="1"/>
        <v>46</v>
      </c>
      <c r="C54" s="71"/>
      <c r="D54" s="49" t="s">
        <v>2607</v>
      </c>
      <c r="E54" s="49" t="s">
        <v>911</v>
      </c>
      <c r="F54" s="49" t="s">
        <v>153</v>
      </c>
      <c r="G54" s="49" t="s">
        <v>2608</v>
      </c>
      <c r="H54" s="92" t="s">
        <v>2609</v>
      </c>
      <c r="I54" s="48">
        <v>7826.0</v>
      </c>
      <c r="J54" s="50">
        <v>1986.0</v>
      </c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>
      <c r="A55" s="34"/>
      <c r="B55" s="34">
        <f t="shared" si="1"/>
        <v>47</v>
      </c>
      <c r="C55" s="71"/>
      <c r="D55" s="49" t="s">
        <v>2610</v>
      </c>
      <c r="E55" s="49" t="s">
        <v>2611</v>
      </c>
      <c r="F55" s="49" t="s">
        <v>749</v>
      </c>
      <c r="G55" s="49" t="s">
        <v>749</v>
      </c>
      <c r="H55" s="92" t="s">
        <v>2506</v>
      </c>
      <c r="I55" s="48">
        <v>7657.0</v>
      </c>
      <c r="J55" s="50">
        <v>2002.0</v>
      </c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</row>
    <row r="56">
      <c r="A56" s="34"/>
      <c r="B56" s="34">
        <f t="shared" si="1"/>
        <v>48</v>
      </c>
      <c r="C56" s="71"/>
      <c r="D56" s="49" t="s">
        <v>2612</v>
      </c>
      <c r="E56" s="49" t="s">
        <v>678</v>
      </c>
      <c r="F56" s="49" t="s">
        <v>222</v>
      </c>
      <c r="G56" s="49" t="s">
        <v>2613</v>
      </c>
      <c r="H56" s="92" t="s">
        <v>2506</v>
      </c>
      <c r="I56" s="48">
        <v>7617.0</v>
      </c>
      <c r="J56" s="50">
        <v>1999.0</v>
      </c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</row>
    <row r="57">
      <c r="A57" s="34"/>
      <c r="B57" s="34">
        <f t="shared" si="1"/>
        <v>49</v>
      </c>
      <c r="C57" s="71"/>
      <c r="D57" s="49" t="s">
        <v>2614</v>
      </c>
      <c r="E57" s="49" t="s">
        <v>1048</v>
      </c>
      <c r="F57" s="49" t="s">
        <v>84</v>
      </c>
      <c r="G57" s="49" t="s">
        <v>2615</v>
      </c>
      <c r="H57" s="92" t="s">
        <v>2616</v>
      </c>
      <c r="I57" s="48">
        <v>7600.0</v>
      </c>
      <c r="J57" s="50">
        <v>1977.0</v>
      </c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</row>
    <row r="58">
      <c r="A58" s="34"/>
      <c r="B58" s="34">
        <f t="shared" si="1"/>
        <v>50</v>
      </c>
      <c r="C58" s="71"/>
      <c r="D58" s="49" t="s">
        <v>2617</v>
      </c>
      <c r="E58" s="49" t="s">
        <v>1903</v>
      </c>
      <c r="F58" s="49" t="s">
        <v>65</v>
      </c>
      <c r="G58" s="49" t="s">
        <v>2618</v>
      </c>
      <c r="H58" s="92" t="s">
        <v>2534</v>
      </c>
      <c r="I58" s="48">
        <v>7500.0</v>
      </c>
      <c r="J58" s="50">
        <v>1982.0</v>
      </c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</row>
    <row r="59">
      <c r="A59" s="34"/>
      <c r="B59" s="34">
        <f t="shared" si="1"/>
        <v>51</v>
      </c>
      <c r="C59" s="71"/>
      <c r="D59" s="49" t="s">
        <v>2619</v>
      </c>
      <c r="E59" s="49" t="s">
        <v>772</v>
      </c>
      <c r="F59" s="49" t="s">
        <v>65</v>
      </c>
      <c r="G59" s="49" t="s">
        <v>772</v>
      </c>
      <c r="H59" s="92" t="s">
        <v>2498</v>
      </c>
      <c r="I59" s="48">
        <v>7500.0</v>
      </c>
      <c r="J59" s="50">
        <v>2007.0</v>
      </c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</row>
    <row r="60">
      <c r="A60" s="34"/>
      <c r="B60" s="34">
        <f t="shared" si="1"/>
        <v>52</v>
      </c>
      <c r="C60" s="71"/>
      <c r="D60" s="49" t="s">
        <v>2604</v>
      </c>
      <c r="E60" s="49" t="s">
        <v>650</v>
      </c>
      <c r="F60" s="49" t="s">
        <v>98</v>
      </c>
      <c r="G60" s="49" t="s">
        <v>650</v>
      </c>
      <c r="H60" s="92" t="s">
        <v>2620</v>
      </c>
      <c r="I60" s="56">
        <v>7500.0</v>
      </c>
      <c r="J60" s="50">
        <v>2015.0</v>
      </c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</row>
    <row r="61">
      <c r="A61" s="34"/>
      <c r="B61" s="34">
        <f t="shared" si="1"/>
        <v>53</v>
      </c>
      <c r="C61" s="71"/>
      <c r="D61" s="49" t="s">
        <v>2621</v>
      </c>
      <c r="E61" s="49" t="s">
        <v>64</v>
      </c>
      <c r="F61" s="49" t="s">
        <v>65</v>
      </c>
      <c r="G61" s="49" t="s">
        <v>2609</v>
      </c>
      <c r="H61" s="92" t="s">
        <v>2498</v>
      </c>
      <c r="I61" s="48">
        <v>7500.0</v>
      </c>
      <c r="J61" s="50">
        <v>1975.0</v>
      </c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</row>
    <row r="62">
      <c r="A62" s="34"/>
      <c r="B62" s="34">
        <f t="shared" si="1"/>
        <v>54</v>
      </c>
      <c r="C62" s="71"/>
      <c r="D62" s="49" t="s">
        <v>2622</v>
      </c>
      <c r="E62" s="49" t="s">
        <v>603</v>
      </c>
      <c r="F62" s="49" t="s">
        <v>76</v>
      </c>
      <c r="G62" s="49" t="s">
        <v>2623</v>
      </c>
      <c r="H62" s="92" t="s">
        <v>2498</v>
      </c>
      <c r="I62" s="48">
        <v>7400.0</v>
      </c>
      <c r="J62" s="50">
        <v>1992.0</v>
      </c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</row>
    <row r="63">
      <c r="A63" s="34"/>
      <c r="B63" s="34">
        <f t="shared" si="1"/>
        <v>55</v>
      </c>
      <c r="C63" s="71"/>
      <c r="D63" s="49" t="s">
        <v>2624</v>
      </c>
      <c r="E63" s="49" t="s">
        <v>361</v>
      </c>
      <c r="F63" s="49" t="s">
        <v>84</v>
      </c>
      <c r="G63" s="49" t="s">
        <v>361</v>
      </c>
      <c r="H63" s="92" t="s">
        <v>2501</v>
      </c>
      <c r="I63" s="48">
        <v>7329.0</v>
      </c>
      <c r="J63" s="50">
        <v>1969.0</v>
      </c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</row>
    <row r="64">
      <c r="A64" s="34"/>
      <c r="B64" s="34">
        <f t="shared" si="1"/>
        <v>56</v>
      </c>
      <c r="C64" s="71"/>
      <c r="D64" s="49" t="s">
        <v>2625</v>
      </c>
      <c r="E64" s="49" t="s">
        <v>657</v>
      </c>
      <c r="F64" s="49" t="s">
        <v>286</v>
      </c>
      <c r="G64" s="49" t="s">
        <v>2626</v>
      </c>
      <c r="H64" s="92" t="s">
        <v>2582</v>
      </c>
      <c r="I64" s="48">
        <v>7326.0</v>
      </c>
      <c r="J64" s="50">
        <v>1963.0</v>
      </c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</row>
    <row r="65">
      <c r="A65" s="34"/>
      <c r="B65" s="34">
        <f t="shared" si="1"/>
        <v>57</v>
      </c>
      <c r="C65" s="55"/>
      <c r="D65" s="49" t="s">
        <v>2627</v>
      </c>
      <c r="E65" s="49" t="s">
        <v>626</v>
      </c>
      <c r="F65" s="49" t="s">
        <v>627</v>
      </c>
      <c r="G65" s="49" t="s">
        <v>627</v>
      </c>
      <c r="H65" s="92" t="s">
        <v>2596</v>
      </c>
      <c r="I65" s="48">
        <v>7321.0</v>
      </c>
      <c r="J65" s="50">
        <v>1953.0</v>
      </c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</row>
    <row r="66">
      <c r="A66" s="34"/>
      <c r="B66" s="34">
        <f t="shared" si="1"/>
        <v>58</v>
      </c>
      <c r="C66" s="55"/>
      <c r="D66" s="49" t="s">
        <v>2628</v>
      </c>
      <c r="E66" s="49" t="s">
        <v>168</v>
      </c>
      <c r="F66" s="49" t="s">
        <v>80</v>
      </c>
      <c r="G66" s="49" t="s">
        <v>2629</v>
      </c>
      <c r="H66" s="92" t="s">
        <v>2556</v>
      </c>
      <c r="I66" s="48">
        <v>7300.0</v>
      </c>
      <c r="J66" s="50">
        <v>2022.0</v>
      </c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</row>
    <row r="67">
      <c r="A67" s="34"/>
      <c r="B67" s="34">
        <f t="shared" si="1"/>
        <v>59</v>
      </c>
      <c r="C67" s="71"/>
      <c r="D67" s="49" t="s">
        <v>2630</v>
      </c>
      <c r="E67" s="49" t="s">
        <v>608</v>
      </c>
      <c r="F67" s="49" t="s">
        <v>57</v>
      </c>
      <c r="G67" s="49" t="s">
        <v>608</v>
      </c>
      <c r="H67" s="92" t="s">
        <v>2537</v>
      </c>
      <c r="I67" s="48">
        <v>7300.0</v>
      </c>
      <c r="J67" s="50">
        <v>1976.0</v>
      </c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>
      <c r="A68" s="34"/>
      <c r="B68" s="34">
        <f t="shared" si="1"/>
        <v>60</v>
      </c>
      <c r="C68" s="71"/>
      <c r="D68" s="49" t="s">
        <v>2631</v>
      </c>
      <c r="E68" s="49" t="s">
        <v>728</v>
      </c>
      <c r="F68" s="49" t="s">
        <v>627</v>
      </c>
      <c r="G68" s="49" t="s">
        <v>2632</v>
      </c>
      <c r="H68" s="92" t="s">
        <v>2596</v>
      </c>
      <c r="I68" s="48">
        <v>7250.0</v>
      </c>
      <c r="J68" s="50">
        <v>1957.0</v>
      </c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</row>
    <row r="69">
      <c r="A69" s="34"/>
      <c r="B69" s="34">
        <f t="shared" si="1"/>
        <v>61</v>
      </c>
      <c r="C69" s="71"/>
      <c r="D69" s="49" t="s">
        <v>2633</v>
      </c>
      <c r="E69" s="49" t="s">
        <v>891</v>
      </c>
      <c r="F69" s="49" t="s">
        <v>61</v>
      </c>
      <c r="G69" s="49" t="s">
        <v>2634</v>
      </c>
      <c r="H69" s="92" t="s">
        <v>2560</v>
      </c>
      <c r="I69" s="48">
        <v>7203.0</v>
      </c>
      <c r="J69" s="50">
        <v>1974.0</v>
      </c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</row>
    <row r="70">
      <c r="A70" s="34"/>
      <c r="B70" s="34">
        <f t="shared" si="1"/>
        <v>62</v>
      </c>
      <c r="C70" s="71"/>
      <c r="D70" s="49" t="s">
        <v>2635</v>
      </c>
      <c r="E70" s="49" t="s">
        <v>678</v>
      </c>
      <c r="F70" s="49" t="s">
        <v>222</v>
      </c>
      <c r="G70" s="49" t="s">
        <v>678</v>
      </c>
      <c r="H70" s="92" t="s">
        <v>2506</v>
      </c>
      <c r="I70" s="48">
        <v>7201.0</v>
      </c>
      <c r="J70" s="50">
        <v>1972.0</v>
      </c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</row>
    <row r="71">
      <c r="A71" s="34"/>
      <c r="B71" s="34">
        <f t="shared" si="1"/>
        <v>63</v>
      </c>
      <c r="C71" s="71"/>
      <c r="D71" s="49" t="s">
        <v>2636</v>
      </c>
      <c r="E71" s="49" t="s">
        <v>142</v>
      </c>
      <c r="F71" s="49" t="s">
        <v>143</v>
      </c>
      <c r="G71" s="49" t="s">
        <v>142</v>
      </c>
      <c r="H71" s="92" t="s">
        <v>2620</v>
      </c>
      <c r="I71" s="48">
        <v>7200.0</v>
      </c>
      <c r="J71" s="50">
        <v>1999.0</v>
      </c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</row>
    <row r="72">
      <c r="A72" s="34"/>
      <c r="B72" s="34">
        <f t="shared" si="1"/>
        <v>64</v>
      </c>
      <c r="C72" s="71"/>
      <c r="D72" s="49" t="s">
        <v>2637</v>
      </c>
      <c r="E72" s="49" t="s">
        <v>975</v>
      </c>
      <c r="F72" s="49" t="s">
        <v>222</v>
      </c>
      <c r="G72" s="49" t="s">
        <v>975</v>
      </c>
      <c r="H72" s="92" t="s">
        <v>2638</v>
      </c>
      <c r="I72" s="48">
        <v>7200.0</v>
      </c>
      <c r="J72" s="50">
        <v>1993.0</v>
      </c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</row>
    <row r="73">
      <c r="A73" s="34"/>
      <c r="B73" s="34">
        <f t="shared" si="1"/>
        <v>65</v>
      </c>
      <c r="C73" s="71"/>
      <c r="D73" s="49" t="s">
        <v>2639</v>
      </c>
      <c r="E73" s="49" t="s">
        <v>159</v>
      </c>
      <c r="F73" s="49" t="s">
        <v>61</v>
      </c>
      <c r="G73" s="49" t="s">
        <v>159</v>
      </c>
      <c r="H73" s="93" t="s">
        <v>2640</v>
      </c>
      <c r="I73" s="48">
        <v>7100.0</v>
      </c>
      <c r="J73" s="50">
        <v>1969.0</v>
      </c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</row>
    <row r="74">
      <c r="A74" s="34"/>
      <c r="B74" s="34">
        <f t="shared" si="1"/>
        <v>66</v>
      </c>
      <c r="C74" s="71"/>
      <c r="D74" s="49" t="s">
        <v>2641</v>
      </c>
      <c r="E74" s="49" t="s">
        <v>594</v>
      </c>
      <c r="F74" s="49" t="s">
        <v>65</v>
      </c>
      <c r="G74" s="49" t="s">
        <v>2642</v>
      </c>
      <c r="H74" s="92" t="s">
        <v>2556</v>
      </c>
      <c r="I74" s="48">
        <v>7085.0</v>
      </c>
      <c r="J74" s="50">
        <v>1971.0</v>
      </c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</row>
    <row r="75">
      <c r="A75" s="34"/>
      <c r="B75" s="34">
        <f t="shared" si="1"/>
        <v>67</v>
      </c>
      <c r="C75" s="71"/>
      <c r="D75" s="49" t="s">
        <v>2643</v>
      </c>
      <c r="E75" s="49" t="s">
        <v>390</v>
      </c>
      <c r="F75" s="49" t="s">
        <v>262</v>
      </c>
      <c r="G75" s="49" t="s">
        <v>2644</v>
      </c>
      <c r="H75" s="92" t="s">
        <v>2599</v>
      </c>
      <c r="I75" s="48">
        <v>7039.0</v>
      </c>
      <c r="J75" s="50">
        <v>1952.0</v>
      </c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</row>
    <row r="76">
      <c r="A76" s="34"/>
      <c r="B76" s="34">
        <f t="shared" si="1"/>
        <v>68</v>
      </c>
      <c r="C76" s="71"/>
      <c r="D76" s="49" t="s">
        <v>2645</v>
      </c>
      <c r="E76" s="49" t="s">
        <v>844</v>
      </c>
      <c r="F76" s="49" t="s">
        <v>184</v>
      </c>
      <c r="G76" s="49" t="s">
        <v>2646</v>
      </c>
      <c r="H76" s="92" t="s">
        <v>2548</v>
      </c>
      <c r="I76" s="48">
        <v>7018.0</v>
      </c>
      <c r="J76" s="50">
        <v>2006.0</v>
      </c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</row>
    <row r="77">
      <c r="A77" s="34"/>
      <c r="B77" s="34">
        <f t="shared" si="1"/>
        <v>69</v>
      </c>
      <c r="C77" s="71"/>
      <c r="D77" s="49" t="s">
        <v>2647</v>
      </c>
      <c r="E77" s="49" t="s">
        <v>52</v>
      </c>
      <c r="F77" s="49" t="s">
        <v>61</v>
      </c>
      <c r="G77" s="49" t="s">
        <v>2648</v>
      </c>
      <c r="H77" s="92" t="s">
        <v>2571</v>
      </c>
      <c r="I77" s="48">
        <v>7000.0</v>
      </c>
      <c r="J77" s="50">
        <v>1956.0</v>
      </c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</row>
    <row r="78">
      <c r="A78" s="34"/>
      <c r="B78" s="34">
        <f t="shared" si="1"/>
        <v>70</v>
      </c>
      <c r="C78" s="71"/>
      <c r="D78" s="49" t="s">
        <v>2649</v>
      </c>
      <c r="E78" s="49" t="s">
        <v>117</v>
      </c>
      <c r="F78" s="49" t="s">
        <v>61</v>
      </c>
      <c r="G78" s="49" t="s">
        <v>2650</v>
      </c>
      <c r="H78" s="92" t="s">
        <v>2560</v>
      </c>
      <c r="I78" s="48">
        <v>7000.0</v>
      </c>
      <c r="J78" s="50">
        <v>2012.0</v>
      </c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</row>
    <row r="79">
      <c r="A79" s="34"/>
      <c r="B79" s="34">
        <f t="shared" si="1"/>
        <v>71</v>
      </c>
      <c r="C79" s="71"/>
      <c r="D79" s="49" t="s">
        <v>2651</v>
      </c>
      <c r="E79" s="49" t="s">
        <v>380</v>
      </c>
      <c r="F79" s="49" t="s">
        <v>247</v>
      </c>
      <c r="G79" s="49" t="s">
        <v>2652</v>
      </c>
      <c r="H79" s="92" t="s">
        <v>2560</v>
      </c>
      <c r="I79" s="48">
        <v>7000.0</v>
      </c>
      <c r="J79" s="50">
        <v>2011.0</v>
      </c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</row>
    <row r="80">
      <c r="A80" s="34"/>
      <c r="B80" s="34">
        <f t="shared" si="1"/>
        <v>72</v>
      </c>
      <c r="C80" s="55"/>
      <c r="D80" s="49" t="s">
        <v>2653</v>
      </c>
      <c r="E80" s="49" t="s">
        <v>261</v>
      </c>
      <c r="F80" s="49" t="s">
        <v>262</v>
      </c>
      <c r="G80" s="49" t="s">
        <v>2654</v>
      </c>
      <c r="H80" s="78" t="s">
        <v>2655</v>
      </c>
      <c r="I80" s="48">
        <v>7000.0</v>
      </c>
      <c r="J80" s="50">
        <v>2007.0</v>
      </c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</row>
    <row r="81">
      <c r="A81" s="34"/>
      <c r="B81" s="34">
        <f t="shared" si="1"/>
        <v>73</v>
      </c>
      <c r="C81" s="55"/>
      <c r="D81" s="49" t="s">
        <v>2656</v>
      </c>
      <c r="E81" s="49" t="s">
        <v>681</v>
      </c>
      <c r="F81" s="49" t="s">
        <v>236</v>
      </c>
      <c r="G81" s="49" t="s">
        <v>2657</v>
      </c>
      <c r="H81" s="92" t="s">
        <v>2498</v>
      </c>
      <c r="I81" s="48">
        <v>7000.0</v>
      </c>
      <c r="J81" s="50">
        <v>1975.0</v>
      </c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</row>
    <row r="82">
      <c r="A82" s="34"/>
      <c r="B82" s="34">
        <f t="shared" si="1"/>
        <v>74</v>
      </c>
      <c r="C82" s="71"/>
      <c r="D82" s="49" t="s">
        <v>1710</v>
      </c>
      <c r="E82" s="49" t="s">
        <v>1163</v>
      </c>
      <c r="F82" s="49" t="s">
        <v>135</v>
      </c>
      <c r="G82" s="49" t="s">
        <v>2658</v>
      </c>
      <c r="H82" s="92" t="s">
        <v>2519</v>
      </c>
      <c r="I82" s="48">
        <v>6972.0</v>
      </c>
      <c r="J82" s="50">
        <v>1987.0</v>
      </c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>
      <c r="A83" s="34"/>
      <c r="B83" s="34">
        <f t="shared" si="1"/>
        <v>75</v>
      </c>
      <c r="C83" s="71"/>
      <c r="D83" s="49" t="s">
        <v>2659</v>
      </c>
      <c r="E83" s="49" t="s">
        <v>261</v>
      </c>
      <c r="F83" s="49" t="s">
        <v>262</v>
      </c>
      <c r="G83" s="49" t="s">
        <v>2660</v>
      </c>
      <c r="H83" s="92" t="s">
        <v>2548</v>
      </c>
      <c r="I83" s="48">
        <v>6958.0</v>
      </c>
      <c r="J83" s="50">
        <v>1982.0</v>
      </c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</row>
    <row r="84">
      <c r="A84" s="34"/>
      <c r="B84" s="34">
        <f t="shared" si="1"/>
        <v>76</v>
      </c>
      <c r="C84" s="55"/>
      <c r="D84" s="49" t="s">
        <v>1621</v>
      </c>
      <c r="E84" s="49" t="s">
        <v>813</v>
      </c>
      <c r="F84" s="49" t="s">
        <v>218</v>
      </c>
      <c r="G84" s="49" t="s">
        <v>2661</v>
      </c>
      <c r="H84" s="92" t="s">
        <v>2662</v>
      </c>
      <c r="I84" s="48">
        <v>6866.0</v>
      </c>
      <c r="J84" s="50">
        <v>1972.0</v>
      </c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</row>
    <row r="85">
      <c r="A85" s="34"/>
      <c r="B85" s="34">
        <f t="shared" si="1"/>
        <v>77</v>
      </c>
      <c r="C85" s="71"/>
      <c r="D85" s="49" t="s">
        <v>2663</v>
      </c>
      <c r="E85" s="49" t="s">
        <v>591</v>
      </c>
      <c r="F85" s="49" t="s">
        <v>102</v>
      </c>
      <c r="G85" s="49" t="s">
        <v>591</v>
      </c>
      <c r="H85" s="92" t="s">
        <v>2543</v>
      </c>
      <c r="I85" s="48">
        <v>6854.0</v>
      </c>
      <c r="J85" s="50">
        <v>1969.0</v>
      </c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</row>
    <row r="86">
      <c r="A86" s="34"/>
      <c r="B86" s="34">
        <f t="shared" si="1"/>
        <v>78</v>
      </c>
      <c r="C86" s="71"/>
      <c r="D86" s="49" t="s">
        <v>2664</v>
      </c>
      <c r="E86" s="49" t="s">
        <v>2665</v>
      </c>
      <c r="F86" s="49" t="s">
        <v>369</v>
      </c>
      <c r="G86" s="49" t="s">
        <v>2666</v>
      </c>
      <c r="H86" s="92" t="s">
        <v>2667</v>
      </c>
      <c r="I86" s="48">
        <v>6814.0</v>
      </c>
      <c r="J86" s="50">
        <v>1973.0</v>
      </c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</row>
    <row r="87">
      <c r="A87" s="34"/>
      <c r="B87" s="34">
        <f t="shared" si="1"/>
        <v>79</v>
      </c>
      <c r="C87" s="71"/>
      <c r="D87" s="49" t="s">
        <v>2668</v>
      </c>
      <c r="E87" s="49" t="s">
        <v>678</v>
      </c>
      <c r="F87" s="49" t="s">
        <v>286</v>
      </c>
      <c r="G87" s="49" t="s">
        <v>2669</v>
      </c>
      <c r="H87" s="92" t="s">
        <v>2531</v>
      </c>
      <c r="I87" s="48">
        <v>6500.0</v>
      </c>
      <c r="J87" s="50">
        <v>1963.0</v>
      </c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</row>
    <row r="88">
      <c r="A88" s="34"/>
      <c r="B88" s="34">
        <f t="shared" si="1"/>
        <v>80</v>
      </c>
      <c r="C88" s="71"/>
      <c r="D88" s="49" t="s">
        <v>2670</v>
      </c>
      <c r="E88" s="49" t="s">
        <v>888</v>
      </c>
      <c r="F88" s="49" t="s">
        <v>61</v>
      </c>
      <c r="G88" s="49" t="s">
        <v>2671</v>
      </c>
      <c r="H88" s="92" t="s">
        <v>2498</v>
      </c>
      <c r="I88" s="48">
        <v>6500.0</v>
      </c>
      <c r="J88" s="47" t="s">
        <v>2672</v>
      </c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</row>
    <row r="89">
      <c r="A89" s="34"/>
      <c r="B89" s="34">
        <f t="shared" si="1"/>
        <v>81</v>
      </c>
      <c r="C89" s="55"/>
      <c r="D89" s="49" t="s">
        <v>2673</v>
      </c>
      <c r="E89" s="49" t="s">
        <v>2674</v>
      </c>
      <c r="F89" s="49" t="s">
        <v>135</v>
      </c>
      <c r="G89" s="49" t="s">
        <v>2675</v>
      </c>
      <c r="H89" s="92" t="s">
        <v>2667</v>
      </c>
      <c r="I89" s="48">
        <v>6500.0</v>
      </c>
      <c r="J89" s="50">
        <v>1976.0</v>
      </c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</row>
    <row r="90">
      <c r="A90" s="34"/>
      <c r="B90" s="34">
        <f t="shared" si="1"/>
        <v>82</v>
      </c>
      <c r="C90" s="55"/>
      <c r="D90" s="49" t="s">
        <v>2676</v>
      </c>
      <c r="E90" s="49" t="s">
        <v>782</v>
      </c>
      <c r="F90" s="49" t="s">
        <v>783</v>
      </c>
      <c r="G90" s="49" t="s">
        <v>2677</v>
      </c>
      <c r="H90" s="92" t="s">
        <v>2620</v>
      </c>
      <c r="I90" s="48">
        <v>6500.0</v>
      </c>
      <c r="J90" s="50">
        <v>1973.0</v>
      </c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</row>
    <row r="91">
      <c r="A91" s="34"/>
      <c r="B91" s="34">
        <f t="shared" si="1"/>
        <v>83</v>
      </c>
      <c r="C91" s="71"/>
      <c r="D91" s="49" t="s">
        <v>2678</v>
      </c>
      <c r="E91" s="49" t="s">
        <v>733</v>
      </c>
      <c r="F91" s="49" t="s">
        <v>57</v>
      </c>
      <c r="G91" s="49" t="s">
        <v>2679</v>
      </c>
      <c r="H91" s="92" t="s">
        <v>2513</v>
      </c>
      <c r="I91" s="48">
        <v>6500.0</v>
      </c>
      <c r="J91" s="50">
        <v>1972.0</v>
      </c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</row>
    <row r="92">
      <c r="A92" s="34"/>
      <c r="B92" s="34">
        <f t="shared" si="1"/>
        <v>84</v>
      </c>
      <c r="C92" s="71"/>
      <c r="D92" s="49" t="s">
        <v>2680</v>
      </c>
      <c r="E92" s="49" t="s">
        <v>1120</v>
      </c>
      <c r="F92" s="49" t="s">
        <v>286</v>
      </c>
      <c r="G92" s="49" t="s">
        <v>2681</v>
      </c>
      <c r="H92" s="92" t="s">
        <v>2519</v>
      </c>
      <c r="I92" s="48">
        <v>6500.0</v>
      </c>
      <c r="J92" s="50">
        <v>1981.0</v>
      </c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</row>
    <row r="93">
      <c r="A93" s="34"/>
      <c r="B93" s="34">
        <f t="shared" si="1"/>
        <v>85</v>
      </c>
      <c r="C93" s="71"/>
      <c r="D93" s="49" t="s">
        <v>2682</v>
      </c>
      <c r="E93" s="49" t="s">
        <v>2683</v>
      </c>
      <c r="F93" s="49" t="s">
        <v>218</v>
      </c>
      <c r="G93" s="49" t="s">
        <v>2684</v>
      </c>
      <c r="H93" s="92" t="s">
        <v>2685</v>
      </c>
      <c r="I93" s="48">
        <v>6496.0</v>
      </c>
      <c r="J93" s="50">
        <v>1998.0</v>
      </c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</row>
    <row r="94">
      <c r="A94" s="34"/>
      <c r="B94" s="34">
        <f t="shared" si="1"/>
        <v>86</v>
      </c>
      <c r="C94" s="71"/>
      <c r="D94" s="49" t="s">
        <v>2686</v>
      </c>
      <c r="E94" s="49" t="s">
        <v>149</v>
      </c>
      <c r="F94" s="49" t="s">
        <v>48</v>
      </c>
      <c r="G94" s="49" t="s">
        <v>2687</v>
      </c>
      <c r="H94" s="92" t="s">
        <v>2599</v>
      </c>
      <c r="I94" s="48">
        <v>6470.0</v>
      </c>
      <c r="J94" s="50">
        <v>1974.0</v>
      </c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</row>
    <row r="95">
      <c r="A95" s="34"/>
      <c r="B95" s="34">
        <f t="shared" si="1"/>
        <v>87</v>
      </c>
      <c r="C95" s="55"/>
      <c r="D95" s="50" t="s">
        <v>2688</v>
      </c>
      <c r="E95" s="49" t="s">
        <v>2689</v>
      </c>
      <c r="F95" s="49" t="s">
        <v>80</v>
      </c>
      <c r="G95" s="49" t="s">
        <v>2690</v>
      </c>
      <c r="H95" s="92" t="s">
        <v>2691</v>
      </c>
      <c r="I95" s="56">
        <v>6469.0</v>
      </c>
      <c r="J95" s="47" t="s">
        <v>2692</v>
      </c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</row>
    <row r="96">
      <c r="A96" s="34"/>
      <c r="B96" s="34">
        <f t="shared" si="1"/>
        <v>88</v>
      </c>
      <c r="C96" s="71"/>
      <c r="D96" s="49" t="s">
        <v>2693</v>
      </c>
      <c r="E96" s="49" t="s">
        <v>894</v>
      </c>
      <c r="F96" s="49" t="s">
        <v>184</v>
      </c>
      <c r="G96" s="49" t="s">
        <v>2694</v>
      </c>
      <c r="H96" s="92" t="s">
        <v>2548</v>
      </c>
      <c r="I96" s="48">
        <v>6424.0</v>
      </c>
      <c r="J96" s="50">
        <v>1992.0</v>
      </c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</row>
    <row r="97">
      <c r="A97" s="34"/>
      <c r="B97" s="34">
        <f t="shared" si="1"/>
        <v>89</v>
      </c>
      <c r="C97" s="55"/>
      <c r="D97" s="49" t="s">
        <v>1799</v>
      </c>
      <c r="E97" s="49" t="s">
        <v>1800</v>
      </c>
      <c r="F97" s="49" t="s">
        <v>214</v>
      </c>
      <c r="G97" s="49" t="s">
        <v>2695</v>
      </c>
      <c r="H97" s="92" t="s">
        <v>2587</v>
      </c>
      <c r="I97" s="48">
        <v>6400.0</v>
      </c>
      <c r="J97" s="50">
        <v>1965.0</v>
      </c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</row>
    <row r="98">
      <c r="A98" s="34"/>
      <c r="B98" s="34">
        <f t="shared" si="1"/>
        <v>90</v>
      </c>
      <c r="C98" s="71"/>
      <c r="D98" s="49" t="s">
        <v>2696</v>
      </c>
      <c r="E98" s="49" t="s">
        <v>235</v>
      </c>
      <c r="F98" s="49" t="s">
        <v>57</v>
      </c>
      <c r="G98" s="49" t="s">
        <v>2697</v>
      </c>
      <c r="H98" s="92" t="s">
        <v>2537</v>
      </c>
      <c r="I98" s="48">
        <v>6400.0</v>
      </c>
      <c r="J98" s="50">
        <v>1968.0</v>
      </c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</row>
    <row r="99">
      <c r="A99" s="34"/>
      <c r="B99" s="34">
        <f t="shared" si="1"/>
        <v>91</v>
      </c>
      <c r="C99" s="71"/>
      <c r="D99" s="49" t="s">
        <v>2698</v>
      </c>
      <c r="E99" s="49" t="s">
        <v>620</v>
      </c>
      <c r="F99" s="49" t="s">
        <v>57</v>
      </c>
      <c r="G99" s="49" t="s">
        <v>2699</v>
      </c>
      <c r="H99" s="92" t="s">
        <v>2537</v>
      </c>
      <c r="I99" s="48">
        <v>6327.0</v>
      </c>
      <c r="J99" s="50">
        <v>1950.0</v>
      </c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</row>
    <row r="100">
      <c r="A100" s="34"/>
      <c r="B100" s="34">
        <f t="shared" si="1"/>
        <v>92</v>
      </c>
      <c r="C100" s="55"/>
      <c r="D100" s="49" t="s">
        <v>2700</v>
      </c>
      <c r="E100" s="49" t="s">
        <v>1427</v>
      </c>
      <c r="F100" s="49" t="s">
        <v>84</v>
      </c>
      <c r="G100" s="49" t="s">
        <v>2701</v>
      </c>
      <c r="H100" s="92" t="s">
        <v>2702</v>
      </c>
      <c r="I100" s="48">
        <v>6150.0</v>
      </c>
      <c r="J100" s="50">
        <v>1981.0</v>
      </c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</row>
    <row r="101">
      <c r="A101" s="34"/>
      <c r="B101" s="34">
        <f t="shared" si="1"/>
        <v>93</v>
      </c>
      <c r="C101" s="71"/>
      <c r="D101" s="49" t="s">
        <v>2703</v>
      </c>
      <c r="E101" s="49" t="s">
        <v>492</v>
      </c>
      <c r="F101" s="49" t="s">
        <v>218</v>
      </c>
      <c r="G101" s="49" t="s">
        <v>2704</v>
      </c>
      <c r="H101" s="92" t="s">
        <v>2569</v>
      </c>
      <c r="I101" s="48">
        <v>6150.0</v>
      </c>
      <c r="J101" s="50">
        <v>2005.0</v>
      </c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</row>
    <row r="102">
      <c r="A102" s="34"/>
      <c r="B102" s="34">
        <f t="shared" si="1"/>
        <v>94</v>
      </c>
      <c r="C102" s="55"/>
      <c r="D102" s="49" t="s">
        <v>2705</v>
      </c>
      <c r="E102" s="49" t="s">
        <v>2706</v>
      </c>
      <c r="F102" s="49" t="s">
        <v>69</v>
      </c>
      <c r="G102" s="49" t="s">
        <v>2707</v>
      </c>
      <c r="H102" s="92" t="s">
        <v>2609</v>
      </c>
      <c r="I102" s="48">
        <v>6149.0</v>
      </c>
      <c r="J102" s="50">
        <v>1974.0</v>
      </c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</row>
    <row r="103">
      <c r="A103" s="34"/>
      <c r="B103" s="34">
        <f t="shared" si="1"/>
        <v>95</v>
      </c>
      <c r="C103" s="71"/>
      <c r="D103" s="49" t="s">
        <v>2708</v>
      </c>
      <c r="E103" s="49" t="s">
        <v>2709</v>
      </c>
      <c r="F103" s="49" t="s">
        <v>106</v>
      </c>
      <c r="G103" s="49" t="s">
        <v>2710</v>
      </c>
      <c r="H103" s="92" t="s">
        <v>2711</v>
      </c>
      <c r="I103" s="48">
        <v>6100.0</v>
      </c>
      <c r="J103" s="50">
        <v>1982.0</v>
      </c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</row>
    <row r="104">
      <c r="A104" s="34"/>
      <c r="B104" s="34">
        <f t="shared" si="1"/>
        <v>96</v>
      </c>
      <c r="C104" s="71"/>
      <c r="D104" s="49" t="s">
        <v>2712</v>
      </c>
      <c r="E104" s="49" t="s">
        <v>633</v>
      </c>
      <c r="F104" s="49" t="s">
        <v>163</v>
      </c>
      <c r="G104" s="49" t="s">
        <v>832</v>
      </c>
      <c r="H104" s="92" t="s">
        <v>2537</v>
      </c>
      <c r="I104" s="48">
        <v>6100.0</v>
      </c>
      <c r="J104" s="50">
        <v>1982.0</v>
      </c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</row>
    <row r="105">
      <c r="A105" s="34"/>
      <c r="B105" s="34">
        <f t="shared" si="1"/>
        <v>97</v>
      </c>
      <c r="C105" s="71"/>
      <c r="D105" s="49" t="s">
        <v>2713</v>
      </c>
      <c r="E105" s="49" t="s">
        <v>719</v>
      </c>
      <c r="F105" s="49" t="s">
        <v>61</v>
      </c>
      <c r="G105" s="49" t="s">
        <v>2714</v>
      </c>
      <c r="H105" s="93" t="s">
        <v>2715</v>
      </c>
      <c r="I105" s="48">
        <v>6100.0</v>
      </c>
      <c r="J105" s="50">
        <v>1976.0</v>
      </c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</row>
    <row r="106">
      <c r="A106" s="34"/>
      <c r="B106" s="34">
        <f t="shared" si="1"/>
        <v>98</v>
      </c>
      <c r="C106" s="55"/>
      <c r="D106" s="49" t="s">
        <v>2716</v>
      </c>
      <c r="E106" s="49" t="s">
        <v>52</v>
      </c>
      <c r="F106" s="49" t="s">
        <v>53</v>
      </c>
      <c r="G106" s="47" t="s">
        <v>2717</v>
      </c>
      <c r="H106" s="93" t="s">
        <v>2718</v>
      </c>
      <c r="I106" s="48">
        <v>6000.0</v>
      </c>
      <c r="J106" s="50">
        <v>2013.0</v>
      </c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</row>
    <row r="107">
      <c r="A107" s="34"/>
      <c r="B107" s="34">
        <f t="shared" si="1"/>
        <v>99</v>
      </c>
      <c r="C107" s="71"/>
      <c r="D107" s="49" t="s">
        <v>2719</v>
      </c>
      <c r="E107" s="49" t="s">
        <v>859</v>
      </c>
      <c r="F107" s="49" t="s">
        <v>53</v>
      </c>
      <c r="G107" s="49" t="s">
        <v>2720</v>
      </c>
      <c r="H107" s="92" t="s">
        <v>2721</v>
      </c>
      <c r="I107" s="48">
        <v>6000.0</v>
      </c>
      <c r="J107" s="50">
        <v>1979.0</v>
      </c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</row>
    <row r="108">
      <c r="A108" s="34"/>
      <c r="B108" s="34">
        <f t="shared" si="1"/>
        <v>100</v>
      </c>
      <c r="C108" s="55"/>
      <c r="D108" s="49" t="s">
        <v>2722</v>
      </c>
      <c r="E108" s="49" t="s">
        <v>1438</v>
      </c>
      <c r="F108" s="49" t="s">
        <v>180</v>
      </c>
      <c r="G108" s="49" t="s">
        <v>2723</v>
      </c>
      <c r="H108" s="92" t="s">
        <v>2702</v>
      </c>
      <c r="I108" s="48">
        <v>6000.0</v>
      </c>
      <c r="J108" s="50">
        <v>2004.0</v>
      </c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</row>
    <row r="109">
      <c r="A109" s="34"/>
      <c r="B109" s="34">
        <f t="shared" si="1"/>
        <v>101</v>
      </c>
      <c r="C109" s="71"/>
      <c r="D109" s="49" t="s">
        <v>2724</v>
      </c>
      <c r="E109" s="49" t="s">
        <v>513</v>
      </c>
      <c r="F109" s="49" t="s">
        <v>1028</v>
      </c>
      <c r="G109" s="47" t="s">
        <v>2725</v>
      </c>
      <c r="H109" s="92" t="s">
        <v>2569</v>
      </c>
      <c r="I109" s="48">
        <v>6501.0</v>
      </c>
      <c r="J109" s="50">
        <v>1995.0</v>
      </c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</row>
    <row r="110">
      <c r="A110" s="34"/>
      <c r="B110" s="34">
        <f t="shared" si="1"/>
        <v>102</v>
      </c>
      <c r="C110" s="55"/>
      <c r="D110" s="49" t="s">
        <v>2726</v>
      </c>
      <c r="E110" s="49" t="s">
        <v>918</v>
      </c>
      <c r="F110" s="49" t="s">
        <v>76</v>
      </c>
      <c r="G110" s="49" t="s">
        <v>2727</v>
      </c>
      <c r="H110" s="92" t="s">
        <v>2498</v>
      </c>
      <c r="I110" s="48">
        <v>6000.0</v>
      </c>
      <c r="J110" s="50">
        <v>2022.0</v>
      </c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</row>
    <row r="111">
      <c r="A111" s="34"/>
      <c r="B111" s="34">
        <f t="shared" si="1"/>
        <v>103</v>
      </c>
      <c r="C111" s="71"/>
      <c r="D111" s="49" t="s">
        <v>2728</v>
      </c>
      <c r="E111" s="49" t="s">
        <v>2729</v>
      </c>
      <c r="F111" s="49" t="s">
        <v>783</v>
      </c>
      <c r="G111" s="49" t="s">
        <v>783</v>
      </c>
      <c r="H111" s="92" t="s">
        <v>2620</v>
      </c>
      <c r="I111" s="48">
        <v>6000.0</v>
      </c>
      <c r="J111" s="50">
        <v>2016.0</v>
      </c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</row>
    <row r="112">
      <c r="A112" s="34"/>
      <c r="B112" s="34">
        <f t="shared" si="1"/>
        <v>104</v>
      </c>
      <c r="C112" s="55"/>
      <c r="D112" s="49" t="s">
        <v>2730</v>
      </c>
      <c r="E112" s="49" t="s">
        <v>722</v>
      </c>
      <c r="F112" s="49" t="s">
        <v>139</v>
      </c>
      <c r="G112" s="49" t="s">
        <v>2731</v>
      </c>
      <c r="H112" s="92" t="s">
        <v>2531</v>
      </c>
      <c r="I112" s="48">
        <v>6000.0</v>
      </c>
      <c r="J112" s="50">
        <v>1972.0</v>
      </c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</row>
    <row r="113">
      <c r="A113" s="34"/>
      <c r="B113" s="34">
        <f t="shared" si="1"/>
        <v>105</v>
      </c>
      <c r="C113" s="71"/>
      <c r="D113" s="49" t="s">
        <v>2732</v>
      </c>
      <c r="E113" s="49" t="s">
        <v>492</v>
      </c>
      <c r="F113" s="49" t="s">
        <v>218</v>
      </c>
      <c r="G113" s="49" t="s">
        <v>2733</v>
      </c>
      <c r="H113" s="92" t="s">
        <v>2638</v>
      </c>
      <c r="I113" s="48">
        <v>6000.0</v>
      </c>
      <c r="J113" s="50">
        <v>1910.0</v>
      </c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>
      <c r="A114" s="34"/>
      <c r="B114" s="34">
        <f t="shared" si="1"/>
        <v>106</v>
      </c>
      <c r="C114" s="55"/>
      <c r="D114" s="49" t="s">
        <v>2734</v>
      </c>
      <c r="E114" s="49" t="s">
        <v>168</v>
      </c>
      <c r="F114" s="49" t="s">
        <v>80</v>
      </c>
      <c r="G114" s="49" t="s">
        <v>2735</v>
      </c>
      <c r="H114" s="92" t="s">
        <v>2736</v>
      </c>
      <c r="I114" s="48">
        <v>6000.0</v>
      </c>
      <c r="J114" s="47" t="s">
        <v>2737</v>
      </c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</row>
    <row r="115">
      <c r="A115" s="34"/>
      <c r="B115" s="34">
        <f t="shared" si="1"/>
        <v>107</v>
      </c>
      <c r="C115" s="71"/>
      <c r="D115" s="49" t="s">
        <v>2738</v>
      </c>
      <c r="E115" s="49" t="s">
        <v>2739</v>
      </c>
      <c r="F115" s="49" t="s">
        <v>180</v>
      </c>
      <c r="G115" s="49" t="s">
        <v>2740</v>
      </c>
      <c r="H115" s="92" t="s">
        <v>2596</v>
      </c>
      <c r="I115" s="48">
        <v>6000.0</v>
      </c>
      <c r="J115" s="50">
        <v>1981.0</v>
      </c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</row>
    <row r="116">
      <c r="A116" s="34"/>
      <c r="B116" s="34">
        <f t="shared" si="1"/>
        <v>108</v>
      </c>
      <c r="C116" s="55"/>
      <c r="D116" s="49" t="s">
        <v>2741</v>
      </c>
      <c r="E116" s="49" t="s">
        <v>405</v>
      </c>
      <c r="F116" s="49" t="s">
        <v>143</v>
      </c>
      <c r="G116" s="49" t="s">
        <v>2742</v>
      </c>
      <c r="H116" s="92" t="s">
        <v>2540</v>
      </c>
      <c r="I116" s="48">
        <v>5858.0</v>
      </c>
      <c r="J116" s="50">
        <v>1968.0</v>
      </c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</row>
    <row r="117">
      <c r="A117" s="34"/>
      <c r="B117" s="34">
        <f t="shared" si="1"/>
        <v>109</v>
      </c>
      <c r="C117" s="71"/>
      <c r="D117" s="49" t="s">
        <v>2743</v>
      </c>
      <c r="E117" s="49" t="s">
        <v>47</v>
      </c>
      <c r="F117" s="49" t="s">
        <v>48</v>
      </c>
      <c r="G117" s="49" t="s">
        <v>48</v>
      </c>
      <c r="H117" s="92" t="s">
        <v>2599</v>
      </c>
      <c r="I117" s="48">
        <v>5800.0</v>
      </c>
      <c r="J117" s="50">
        <v>1923.0</v>
      </c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</row>
    <row r="118">
      <c r="A118" s="34"/>
      <c r="B118" s="34">
        <f t="shared" si="1"/>
        <v>110</v>
      </c>
      <c r="C118" s="55"/>
      <c r="D118" s="49" t="s">
        <v>2744</v>
      </c>
      <c r="E118" s="49" t="s">
        <v>285</v>
      </c>
      <c r="F118" s="49" t="s">
        <v>222</v>
      </c>
      <c r="G118" s="49" t="s">
        <v>2745</v>
      </c>
      <c r="H118" s="92" t="s">
        <v>2609</v>
      </c>
      <c r="I118" s="48">
        <v>5800.0</v>
      </c>
      <c r="J118" s="50">
        <v>1981.0</v>
      </c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</row>
    <row r="119">
      <c r="A119" s="34"/>
      <c r="B119" s="34">
        <f t="shared" si="1"/>
        <v>111</v>
      </c>
      <c r="C119" s="71"/>
      <c r="D119" s="49" t="s">
        <v>2746</v>
      </c>
      <c r="E119" s="49" t="s">
        <v>201</v>
      </c>
      <c r="F119" s="49" t="s">
        <v>91</v>
      </c>
      <c r="G119" s="49" t="s">
        <v>2747</v>
      </c>
      <c r="H119" s="92" t="s">
        <v>2531</v>
      </c>
      <c r="I119" s="48">
        <v>5800.0</v>
      </c>
      <c r="J119" s="50">
        <v>1993.0</v>
      </c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</row>
    <row r="120">
      <c r="A120" s="34"/>
      <c r="B120" s="34">
        <f t="shared" si="1"/>
        <v>112</v>
      </c>
      <c r="C120" s="71"/>
      <c r="D120" s="49" t="s">
        <v>2748</v>
      </c>
      <c r="E120" s="49" t="s">
        <v>1800</v>
      </c>
      <c r="F120" s="49" t="s">
        <v>214</v>
      </c>
      <c r="G120" s="47" t="s">
        <v>2749</v>
      </c>
      <c r="H120" s="93" t="s">
        <v>2750</v>
      </c>
      <c r="I120" s="48">
        <v>5763.0</v>
      </c>
      <c r="J120" s="50">
        <v>1989.0</v>
      </c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</row>
    <row r="121">
      <c r="A121" s="34"/>
      <c r="B121" s="34">
        <f t="shared" si="1"/>
        <v>113</v>
      </c>
      <c r="C121" s="71"/>
      <c r="D121" s="49" t="s">
        <v>2751</v>
      </c>
      <c r="E121" s="49" t="s">
        <v>159</v>
      </c>
      <c r="F121" s="49" t="s">
        <v>61</v>
      </c>
      <c r="G121" s="49" t="s">
        <v>2752</v>
      </c>
      <c r="H121" s="93" t="s">
        <v>2753</v>
      </c>
      <c r="I121" s="48">
        <v>5750.0</v>
      </c>
      <c r="J121" s="50">
        <v>1950.0</v>
      </c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</row>
    <row r="122">
      <c r="A122" s="34"/>
      <c r="B122" s="34">
        <f t="shared" si="1"/>
        <v>114</v>
      </c>
      <c r="C122" s="71"/>
      <c r="D122" s="49" t="s">
        <v>2754</v>
      </c>
      <c r="E122" s="49" t="s">
        <v>520</v>
      </c>
      <c r="F122" s="49" t="s">
        <v>173</v>
      </c>
      <c r="G122" s="49" t="s">
        <v>2755</v>
      </c>
      <c r="H122" s="92" t="s">
        <v>2721</v>
      </c>
      <c r="I122" s="48">
        <v>5710.0</v>
      </c>
      <c r="J122" s="50">
        <v>1991.0</v>
      </c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</row>
    <row r="123">
      <c r="A123" s="34"/>
      <c r="B123" s="34">
        <f t="shared" si="1"/>
        <v>115</v>
      </c>
      <c r="C123" s="55"/>
      <c r="D123" s="49" t="s">
        <v>2756</v>
      </c>
      <c r="E123" s="49" t="s">
        <v>786</v>
      </c>
      <c r="F123" s="49" t="s">
        <v>787</v>
      </c>
      <c r="G123" s="49" t="s">
        <v>2757</v>
      </c>
      <c r="H123" s="92" t="s">
        <v>2620</v>
      </c>
      <c r="I123" s="48">
        <v>5700.0</v>
      </c>
      <c r="J123" s="50">
        <v>2016.0</v>
      </c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</row>
    <row r="124">
      <c r="A124" s="34"/>
      <c r="B124" s="34">
        <f t="shared" si="1"/>
        <v>116</v>
      </c>
      <c r="C124" s="71"/>
      <c r="D124" s="49" t="s">
        <v>2758</v>
      </c>
      <c r="E124" s="49" t="s">
        <v>713</v>
      </c>
      <c r="F124" s="49" t="s">
        <v>153</v>
      </c>
      <c r="G124" s="49" t="s">
        <v>2759</v>
      </c>
      <c r="H124" s="92" t="s">
        <v>2711</v>
      </c>
      <c r="I124" s="48">
        <v>5700.0</v>
      </c>
      <c r="J124" s="50">
        <v>1978.0</v>
      </c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</row>
    <row r="125">
      <c r="A125" s="34"/>
      <c r="B125" s="34">
        <f t="shared" si="1"/>
        <v>117</v>
      </c>
      <c r="C125" s="55"/>
      <c r="D125" s="49" t="s">
        <v>2760</v>
      </c>
      <c r="E125" s="49" t="s">
        <v>2182</v>
      </c>
      <c r="F125" s="49" t="s">
        <v>84</v>
      </c>
      <c r="G125" s="49" t="s">
        <v>2761</v>
      </c>
      <c r="H125" s="92" t="s">
        <v>2616</v>
      </c>
      <c r="I125" s="48">
        <v>5608.0</v>
      </c>
      <c r="J125" s="50">
        <v>1987.0</v>
      </c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</row>
    <row r="126">
      <c r="A126" s="34"/>
      <c r="B126" s="34">
        <f t="shared" si="1"/>
        <v>118</v>
      </c>
      <c r="C126" s="71"/>
      <c r="D126" s="49" t="s">
        <v>2762</v>
      </c>
      <c r="E126" s="49" t="s">
        <v>2763</v>
      </c>
      <c r="F126" s="49" t="s">
        <v>163</v>
      </c>
      <c r="G126" s="49" t="s">
        <v>2764</v>
      </c>
      <c r="H126" s="92" t="s">
        <v>2525</v>
      </c>
      <c r="I126" s="48">
        <v>5602.0</v>
      </c>
      <c r="J126" s="50">
        <v>1961.0</v>
      </c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</row>
    <row r="127">
      <c r="A127" s="34"/>
      <c r="B127" s="34">
        <f t="shared" si="1"/>
        <v>119</v>
      </c>
      <c r="C127" s="71"/>
      <c r="D127" s="49" t="s">
        <v>2765</v>
      </c>
      <c r="E127" s="49" t="s">
        <v>824</v>
      </c>
      <c r="F127" s="49" t="s">
        <v>84</v>
      </c>
      <c r="G127" s="49" t="s">
        <v>2766</v>
      </c>
      <c r="H127" s="92" t="s">
        <v>2616</v>
      </c>
      <c r="I127" s="48">
        <v>5600.0</v>
      </c>
      <c r="J127" s="50">
        <v>1979.0</v>
      </c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</row>
    <row r="128">
      <c r="A128" s="34"/>
      <c r="B128" s="34">
        <f t="shared" si="1"/>
        <v>120</v>
      </c>
      <c r="C128" s="55"/>
      <c r="D128" s="49" t="s">
        <v>2767</v>
      </c>
      <c r="E128" s="49" t="s">
        <v>321</v>
      </c>
      <c r="F128" s="49" t="s">
        <v>139</v>
      </c>
      <c r="G128" s="49" t="s">
        <v>321</v>
      </c>
      <c r="H128" s="92" t="s">
        <v>2519</v>
      </c>
      <c r="I128" s="48">
        <v>5600.0</v>
      </c>
      <c r="J128" s="50">
        <v>2005.0</v>
      </c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</row>
    <row r="129">
      <c r="A129" s="34"/>
      <c r="B129" s="34">
        <f t="shared" si="1"/>
        <v>121</v>
      </c>
      <c r="C129" s="71"/>
      <c r="D129" s="49" t="s">
        <v>2768</v>
      </c>
      <c r="E129" s="49" t="s">
        <v>310</v>
      </c>
      <c r="F129" s="49" t="s">
        <v>153</v>
      </c>
      <c r="G129" s="49" t="s">
        <v>2769</v>
      </c>
      <c r="H129" s="92" t="s">
        <v>2516</v>
      </c>
      <c r="I129" s="48">
        <v>5500.0</v>
      </c>
      <c r="J129" s="50">
        <v>1949.0</v>
      </c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</row>
    <row r="130">
      <c r="A130" s="34"/>
      <c r="B130" s="34">
        <f t="shared" si="1"/>
        <v>122</v>
      </c>
      <c r="C130" s="71"/>
      <c r="D130" s="49" t="s">
        <v>2770</v>
      </c>
      <c r="E130" s="49" t="s">
        <v>574</v>
      </c>
      <c r="F130" s="49" t="s">
        <v>57</v>
      </c>
      <c r="G130" s="49" t="s">
        <v>574</v>
      </c>
      <c r="H130" s="92" t="s">
        <v>2537</v>
      </c>
      <c r="I130" s="48">
        <v>5500.0</v>
      </c>
      <c r="J130" s="50">
        <v>1983.0</v>
      </c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</row>
    <row r="131">
      <c r="A131" s="34"/>
      <c r="B131" s="34">
        <f t="shared" si="1"/>
        <v>123</v>
      </c>
      <c r="C131" s="71"/>
      <c r="D131" s="49" t="s">
        <v>2771</v>
      </c>
      <c r="E131" s="49" t="s">
        <v>2772</v>
      </c>
      <c r="F131" s="49" t="s">
        <v>173</v>
      </c>
      <c r="G131" s="49" t="s">
        <v>2773</v>
      </c>
      <c r="H131" s="92" t="s">
        <v>2774</v>
      </c>
      <c r="I131" s="48">
        <v>5500.0</v>
      </c>
      <c r="J131" s="47" t="s">
        <v>2775</v>
      </c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</row>
    <row r="132">
      <c r="A132" s="34"/>
      <c r="B132" s="34">
        <f t="shared" si="1"/>
        <v>124</v>
      </c>
      <c r="C132" s="71"/>
      <c r="D132" s="49" t="s">
        <v>2776</v>
      </c>
      <c r="E132" s="49" t="s">
        <v>964</v>
      </c>
      <c r="F132" s="49" t="s">
        <v>800</v>
      </c>
      <c r="G132" s="49" t="s">
        <v>2777</v>
      </c>
      <c r="H132" s="93" t="s">
        <v>2778</v>
      </c>
      <c r="I132" s="48">
        <v>5500.0</v>
      </c>
      <c r="J132" s="50">
        <v>1974.0</v>
      </c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</row>
    <row r="133">
      <c r="A133" s="34"/>
      <c r="B133" s="34">
        <f t="shared" si="1"/>
        <v>125</v>
      </c>
      <c r="C133" s="55"/>
      <c r="D133" s="49" t="s">
        <v>2779</v>
      </c>
      <c r="E133" s="49" t="s">
        <v>2780</v>
      </c>
      <c r="F133" s="49" t="s">
        <v>163</v>
      </c>
      <c r="G133" s="49" t="s">
        <v>2780</v>
      </c>
      <c r="H133" s="92" t="s">
        <v>2506</v>
      </c>
      <c r="I133" s="48">
        <v>5480.0</v>
      </c>
      <c r="J133" s="50">
        <v>1966.0</v>
      </c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</row>
    <row r="134">
      <c r="A134" s="34"/>
      <c r="B134" s="34">
        <f t="shared" si="1"/>
        <v>126</v>
      </c>
      <c r="C134" s="55"/>
      <c r="D134" s="49" t="s">
        <v>2781</v>
      </c>
      <c r="E134" s="49" t="s">
        <v>552</v>
      </c>
      <c r="F134" s="49" t="s">
        <v>48</v>
      </c>
      <c r="G134" s="49" t="s">
        <v>2782</v>
      </c>
      <c r="H134" s="92" t="s">
        <v>2537</v>
      </c>
      <c r="I134" s="48">
        <v>5421.0</v>
      </c>
      <c r="J134" s="50">
        <v>1957.0</v>
      </c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</row>
    <row r="135">
      <c r="A135" s="34"/>
      <c r="B135" s="34">
        <f t="shared" si="1"/>
        <v>127</v>
      </c>
      <c r="C135" s="71"/>
      <c r="D135" s="49" t="s">
        <v>2783</v>
      </c>
      <c r="E135" s="49" t="s">
        <v>2784</v>
      </c>
      <c r="F135" s="49" t="s">
        <v>80</v>
      </c>
      <c r="G135" s="49" t="s">
        <v>2785</v>
      </c>
      <c r="H135" s="92" t="s">
        <v>2786</v>
      </c>
      <c r="I135" s="48">
        <v>5350.0</v>
      </c>
      <c r="J135" s="50">
        <v>1982.0</v>
      </c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</row>
    <row r="136">
      <c r="A136" s="34"/>
      <c r="B136" s="34">
        <f t="shared" si="1"/>
        <v>128</v>
      </c>
      <c r="C136" s="55"/>
      <c r="D136" s="49" t="s">
        <v>2787</v>
      </c>
      <c r="E136" s="49" t="s">
        <v>549</v>
      </c>
      <c r="F136" s="49" t="s">
        <v>48</v>
      </c>
      <c r="G136" s="49" t="s">
        <v>2788</v>
      </c>
      <c r="H136" s="92" t="s">
        <v>2537</v>
      </c>
      <c r="I136" s="48">
        <v>5300.0</v>
      </c>
      <c r="J136" s="50">
        <v>1973.0</v>
      </c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</row>
    <row r="137">
      <c r="A137" s="34"/>
      <c r="B137" s="34">
        <f t="shared" si="1"/>
        <v>129</v>
      </c>
      <c r="C137" s="71"/>
      <c r="D137" s="49" t="s">
        <v>2789</v>
      </c>
      <c r="E137" s="49" t="s">
        <v>2790</v>
      </c>
      <c r="F137" s="49" t="s">
        <v>243</v>
      </c>
      <c r="G137" s="49" t="s">
        <v>2791</v>
      </c>
      <c r="H137" s="92" t="s">
        <v>2560</v>
      </c>
      <c r="I137" s="48">
        <v>5300.0</v>
      </c>
      <c r="J137" s="50">
        <v>1985.0</v>
      </c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</row>
    <row r="138">
      <c r="A138" s="34"/>
      <c r="B138" s="34">
        <f t="shared" si="1"/>
        <v>130</v>
      </c>
      <c r="C138" s="55"/>
      <c r="D138" s="49" t="s">
        <v>2792</v>
      </c>
      <c r="E138" s="49" t="s">
        <v>793</v>
      </c>
      <c r="F138" s="49" t="s">
        <v>262</v>
      </c>
      <c r="G138" s="49" t="s">
        <v>2793</v>
      </c>
      <c r="H138" s="92" t="s">
        <v>2519</v>
      </c>
      <c r="I138" s="48">
        <v>5300.0</v>
      </c>
      <c r="J138" s="50">
        <v>1967.0</v>
      </c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</row>
    <row r="139">
      <c r="A139" s="34"/>
      <c r="B139" s="34">
        <f t="shared" si="1"/>
        <v>131</v>
      </c>
      <c r="C139" s="55"/>
      <c r="D139" s="49" t="s">
        <v>2794</v>
      </c>
      <c r="E139" s="49" t="s">
        <v>435</v>
      </c>
      <c r="F139" s="49" t="s">
        <v>84</v>
      </c>
      <c r="G139" s="49" t="s">
        <v>435</v>
      </c>
      <c r="H139" s="92" t="s">
        <v>2702</v>
      </c>
      <c r="I139" s="48">
        <v>5300.0</v>
      </c>
      <c r="J139" s="50">
        <v>1958.0</v>
      </c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</row>
    <row r="140">
      <c r="A140" s="34"/>
      <c r="B140" s="34">
        <f t="shared" si="1"/>
        <v>132</v>
      </c>
      <c r="C140" s="55"/>
      <c r="D140" s="49" t="s">
        <v>2795</v>
      </c>
      <c r="E140" s="49" t="s">
        <v>2796</v>
      </c>
      <c r="F140" s="49" t="s">
        <v>153</v>
      </c>
      <c r="G140" s="49" t="s">
        <v>2796</v>
      </c>
      <c r="H140" s="92" t="s">
        <v>2506</v>
      </c>
      <c r="I140" s="48">
        <v>5223.0</v>
      </c>
      <c r="J140" s="50">
        <v>1989.0</v>
      </c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</row>
    <row r="141">
      <c r="A141" s="34"/>
      <c r="B141" s="34">
        <f t="shared" si="1"/>
        <v>133</v>
      </c>
      <c r="C141" s="55"/>
      <c r="D141" s="49" t="s">
        <v>2797</v>
      </c>
      <c r="E141" s="49" t="s">
        <v>1018</v>
      </c>
      <c r="F141" s="49" t="s">
        <v>173</v>
      </c>
      <c r="G141" s="49" t="s">
        <v>1018</v>
      </c>
      <c r="H141" s="92" t="s">
        <v>2638</v>
      </c>
      <c r="I141" s="48">
        <v>5200.0</v>
      </c>
      <c r="J141" s="50">
        <v>2013.0</v>
      </c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</row>
    <row r="142">
      <c r="A142" s="34"/>
      <c r="B142" s="34">
        <f t="shared" si="1"/>
        <v>134</v>
      </c>
      <c r="C142" s="71"/>
      <c r="D142" s="49" t="s">
        <v>2798</v>
      </c>
      <c r="E142" s="49" t="s">
        <v>540</v>
      </c>
      <c r="F142" s="49" t="s">
        <v>76</v>
      </c>
      <c r="G142" s="49" t="s">
        <v>540</v>
      </c>
      <c r="H142" s="92" t="s">
        <v>2556</v>
      </c>
      <c r="I142" s="56">
        <v>5200.0</v>
      </c>
      <c r="J142" s="50">
        <v>2012.0</v>
      </c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</row>
    <row r="143">
      <c r="A143" s="34"/>
      <c r="B143" s="34">
        <f t="shared" si="1"/>
        <v>135</v>
      </c>
      <c r="C143" s="71"/>
      <c r="D143" s="49" t="s">
        <v>2799</v>
      </c>
      <c r="E143" s="49" t="s">
        <v>2029</v>
      </c>
      <c r="F143" s="49" t="s">
        <v>153</v>
      </c>
      <c r="G143" s="49" t="s">
        <v>2800</v>
      </c>
      <c r="H143" s="92" t="s">
        <v>2638</v>
      </c>
      <c r="I143" s="48">
        <v>5200.0</v>
      </c>
      <c r="J143" s="50">
        <v>1977.0</v>
      </c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</row>
    <row r="144">
      <c r="A144" s="34"/>
      <c r="B144" s="34">
        <f t="shared" si="1"/>
        <v>136</v>
      </c>
      <c r="C144" s="55"/>
      <c r="D144" s="49" t="s">
        <v>2801</v>
      </c>
      <c r="E144" s="49" t="s">
        <v>2802</v>
      </c>
      <c r="F144" s="49" t="s">
        <v>163</v>
      </c>
      <c r="G144" s="49" t="s">
        <v>1724</v>
      </c>
      <c r="H144" s="92" t="s">
        <v>2685</v>
      </c>
      <c r="I144" s="48">
        <v>5142.0</v>
      </c>
      <c r="J144" s="50">
        <v>2004.0</v>
      </c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</row>
    <row r="145">
      <c r="A145" s="34"/>
      <c r="B145" s="34">
        <f t="shared" si="1"/>
        <v>137</v>
      </c>
      <c r="C145" s="55"/>
      <c r="D145" s="49" t="s">
        <v>2803</v>
      </c>
      <c r="E145" s="49" t="s">
        <v>841</v>
      </c>
      <c r="F145" s="49" t="s">
        <v>262</v>
      </c>
      <c r="G145" s="49" t="s">
        <v>2804</v>
      </c>
      <c r="H145" s="92" t="s">
        <v>2620</v>
      </c>
      <c r="I145" s="48">
        <v>5139.0</v>
      </c>
      <c r="J145" s="50">
        <v>1964.0</v>
      </c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</row>
    <row r="146">
      <c r="A146" s="34"/>
      <c r="B146" s="34">
        <f t="shared" si="1"/>
        <v>138</v>
      </c>
      <c r="C146" s="71"/>
      <c r="D146" s="49" t="s">
        <v>2805</v>
      </c>
      <c r="E146" s="49" t="s">
        <v>992</v>
      </c>
      <c r="F146" s="49" t="s">
        <v>163</v>
      </c>
      <c r="G146" s="49" t="s">
        <v>2806</v>
      </c>
      <c r="H146" s="92" t="s">
        <v>2638</v>
      </c>
      <c r="I146" s="48">
        <v>5124.0</v>
      </c>
      <c r="J146" s="50">
        <v>2000.0</v>
      </c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</row>
    <row r="147">
      <c r="A147" s="34"/>
      <c r="B147" s="34">
        <f t="shared" si="1"/>
        <v>139</v>
      </c>
      <c r="C147" s="55"/>
      <c r="D147" s="49" t="s">
        <v>2807</v>
      </c>
      <c r="E147" s="49" t="s">
        <v>1106</v>
      </c>
      <c r="F147" s="49" t="s">
        <v>1107</v>
      </c>
      <c r="G147" s="47" t="s">
        <v>2808</v>
      </c>
      <c r="H147" s="92" t="s">
        <v>2569</v>
      </c>
      <c r="I147" s="48">
        <v>5124.0</v>
      </c>
      <c r="J147" s="50">
        <v>1977.0</v>
      </c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</row>
    <row r="148">
      <c r="A148" s="34"/>
      <c r="B148" s="34">
        <f t="shared" si="1"/>
        <v>140</v>
      </c>
      <c r="C148" s="71"/>
      <c r="D148" s="49" t="s">
        <v>2809</v>
      </c>
      <c r="E148" s="49" t="s">
        <v>466</v>
      </c>
      <c r="F148" s="49" t="s">
        <v>84</v>
      </c>
      <c r="G148" s="49" t="s">
        <v>466</v>
      </c>
      <c r="H148" s="92" t="s">
        <v>2702</v>
      </c>
      <c r="I148" s="48">
        <v>5100.0</v>
      </c>
      <c r="J148" s="50">
        <v>2000.0</v>
      </c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</row>
    <row r="149">
      <c r="A149" s="34"/>
      <c r="B149" s="34">
        <f t="shared" si="1"/>
        <v>141</v>
      </c>
      <c r="C149" s="55"/>
      <c r="D149" s="49" t="s">
        <v>2810</v>
      </c>
      <c r="E149" s="49" t="s">
        <v>793</v>
      </c>
      <c r="F149" s="49" t="s">
        <v>106</v>
      </c>
      <c r="G149" s="49" t="s">
        <v>793</v>
      </c>
      <c r="H149" s="92" t="s">
        <v>2638</v>
      </c>
      <c r="I149" s="48">
        <v>5100.0</v>
      </c>
      <c r="J149" s="50">
        <v>2008.0</v>
      </c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</row>
    <row r="150">
      <c r="A150" s="34"/>
      <c r="B150" s="34">
        <f t="shared" si="1"/>
        <v>142</v>
      </c>
      <c r="C150" s="55"/>
      <c r="D150" s="49" t="s">
        <v>2811</v>
      </c>
      <c r="E150" s="49" t="s">
        <v>905</v>
      </c>
      <c r="F150" s="49" t="s">
        <v>153</v>
      </c>
      <c r="G150" s="49" t="s">
        <v>905</v>
      </c>
      <c r="H150" s="92" t="s">
        <v>2638</v>
      </c>
      <c r="I150" s="48">
        <v>5100.0</v>
      </c>
      <c r="J150" s="50">
        <v>2018.0</v>
      </c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</row>
    <row r="151">
      <c r="A151" s="34"/>
      <c r="B151" s="34">
        <f t="shared" si="1"/>
        <v>143</v>
      </c>
      <c r="C151" s="55"/>
      <c r="D151" s="50" t="s">
        <v>2812</v>
      </c>
      <c r="E151" s="49" t="s">
        <v>2813</v>
      </c>
      <c r="F151" s="49" t="s">
        <v>222</v>
      </c>
      <c r="G151" s="49" t="s">
        <v>2814</v>
      </c>
      <c r="H151" s="92" t="s">
        <v>2815</v>
      </c>
      <c r="I151" s="48">
        <v>5100.0</v>
      </c>
      <c r="J151" s="47" t="s">
        <v>2816</v>
      </c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</row>
    <row r="152">
      <c r="A152" s="34"/>
      <c r="B152" s="34">
        <f t="shared" si="1"/>
        <v>144</v>
      </c>
      <c r="C152" s="55"/>
      <c r="D152" s="50" t="s">
        <v>2817</v>
      </c>
      <c r="E152" s="49" t="s">
        <v>1881</v>
      </c>
      <c r="F152" s="49" t="s">
        <v>98</v>
      </c>
      <c r="G152" s="49" t="s">
        <v>2818</v>
      </c>
      <c r="H152" s="92" t="s">
        <v>2667</v>
      </c>
      <c r="I152" s="48">
        <v>5100.0</v>
      </c>
      <c r="J152" s="47" t="s">
        <v>2819</v>
      </c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</row>
    <row r="153">
      <c r="A153" s="34"/>
      <c r="B153" s="34">
        <f t="shared" si="1"/>
        <v>145</v>
      </c>
      <c r="C153" s="71"/>
      <c r="D153" s="49" t="s">
        <v>2820</v>
      </c>
      <c r="E153" s="49" t="s">
        <v>190</v>
      </c>
      <c r="F153" s="49" t="s">
        <v>69</v>
      </c>
      <c r="G153" s="49" t="s">
        <v>2821</v>
      </c>
      <c r="H153" s="92" t="s">
        <v>2548</v>
      </c>
      <c r="I153" s="48">
        <v>5085.0</v>
      </c>
      <c r="J153" s="50">
        <v>2003.0</v>
      </c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</row>
    <row r="154">
      <c r="A154" s="34"/>
      <c r="B154" s="34">
        <f t="shared" si="1"/>
        <v>146</v>
      </c>
      <c r="C154" s="71"/>
      <c r="D154" s="49" t="s">
        <v>2822</v>
      </c>
      <c r="E154" s="49" t="s">
        <v>2144</v>
      </c>
      <c r="F154" s="49" t="s">
        <v>84</v>
      </c>
      <c r="G154" s="49" t="s">
        <v>2823</v>
      </c>
      <c r="H154" s="92" t="s">
        <v>2560</v>
      </c>
      <c r="I154" s="56">
        <v>5050.0</v>
      </c>
      <c r="J154" s="50">
        <v>2017.0</v>
      </c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</row>
    <row r="155">
      <c r="A155" s="34"/>
      <c r="B155" s="34">
        <f t="shared" si="1"/>
        <v>147</v>
      </c>
      <c r="C155" s="71"/>
      <c r="D155" s="49" t="s">
        <v>2824</v>
      </c>
      <c r="E155" s="49" t="s">
        <v>487</v>
      </c>
      <c r="F155" s="49" t="s">
        <v>163</v>
      </c>
      <c r="G155" s="49" t="s">
        <v>2825</v>
      </c>
      <c r="H155" s="92" t="s">
        <v>2721</v>
      </c>
      <c r="I155" s="48">
        <v>5043.0</v>
      </c>
      <c r="J155" s="50">
        <v>1985.0</v>
      </c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</row>
    <row r="156">
      <c r="A156" s="34"/>
      <c r="B156" s="34">
        <f t="shared" si="1"/>
        <v>148</v>
      </c>
      <c r="C156" s="55"/>
      <c r="D156" s="49" t="s">
        <v>2826</v>
      </c>
      <c r="E156" s="49" t="s">
        <v>190</v>
      </c>
      <c r="F156" s="49" t="s">
        <v>69</v>
      </c>
      <c r="G156" s="49" t="s">
        <v>2827</v>
      </c>
      <c r="H156" s="92" t="s">
        <v>2531</v>
      </c>
      <c r="I156" s="48">
        <v>5028.0</v>
      </c>
      <c r="J156" s="50">
        <v>2001.0</v>
      </c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</row>
    <row r="157">
      <c r="A157" s="34"/>
      <c r="B157" s="34">
        <f t="shared" si="1"/>
        <v>149</v>
      </c>
      <c r="C157" s="71"/>
      <c r="D157" s="49" t="s">
        <v>2828</v>
      </c>
      <c r="E157" s="49" t="s">
        <v>123</v>
      </c>
      <c r="F157" s="49" t="s">
        <v>124</v>
      </c>
      <c r="G157" s="49" t="s">
        <v>123</v>
      </c>
      <c r="H157" s="92" t="s">
        <v>2599</v>
      </c>
      <c r="I157" s="48">
        <v>5022.0</v>
      </c>
      <c r="J157" s="50">
        <v>2011.0</v>
      </c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</row>
    <row r="158">
      <c r="A158" s="34"/>
      <c r="B158" s="34">
        <f t="shared" si="1"/>
        <v>150</v>
      </c>
      <c r="C158" s="55"/>
      <c r="D158" s="50" t="s">
        <v>2829</v>
      </c>
      <c r="E158" s="49" t="s">
        <v>2830</v>
      </c>
      <c r="F158" s="49" t="s">
        <v>69</v>
      </c>
      <c r="G158" s="49" t="s">
        <v>2831</v>
      </c>
      <c r="H158" s="92" t="s">
        <v>2832</v>
      </c>
      <c r="I158" s="48">
        <v>5009.0</v>
      </c>
      <c r="J158" s="50">
        <v>1991.0</v>
      </c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</row>
    <row r="159">
      <c r="A159" s="34"/>
      <c r="B159" s="34">
        <f t="shared" si="1"/>
        <v>151</v>
      </c>
      <c r="C159" s="71"/>
      <c r="D159" s="49" t="s">
        <v>2833</v>
      </c>
      <c r="E159" s="49" t="s">
        <v>1115</v>
      </c>
      <c r="F159" s="49" t="s">
        <v>236</v>
      </c>
      <c r="G159" s="49" t="s">
        <v>2834</v>
      </c>
      <c r="H159" s="92" t="s">
        <v>2498</v>
      </c>
      <c r="I159" s="48">
        <v>5000.0</v>
      </c>
      <c r="J159" s="47" t="s">
        <v>2835</v>
      </c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</row>
    <row r="160">
      <c r="A160" s="34"/>
      <c r="B160" s="34">
        <f t="shared" si="1"/>
        <v>152</v>
      </c>
      <c r="C160" s="71"/>
      <c r="D160" s="49" t="s">
        <v>2836</v>
      </c>
      <c r="E160" s="49" t="s">
        <v>180</v>
      </c>
      <c r="F160" s="49" t="s">
        <v>2837</v>
      </c>
      <c r="G160" s="49" t="s">
        <v>2838</v>
      </c>
      <c r="H160" s="92" t="s">
        <v>2506</v>
      </c>
      <c r="I160" s="48">
        <v>5000.0</v>
      </c>
      <c r="J160" s="50">
        <v>1975.0</v>
      </c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</row>
    <row r="161">
      <c r="A161" s="34"/>
      <c r="B161" s="34">
        <f t="shared" si="1"/>
        <v>153</v>
      </c>
      <c r="C161" s="71"/>
      <c r="D161" s="49" t="s">
        <v>2839</v>
      </c>
      <c r="E161" s="49" t="s">
        <v>2168</v>
      </c>
      <c r="F161" s="49" t="s">
        <v>91</v>
      </c>
      <c r="G161" s="49" t="s">
        <v>2840</v>
      </c>
      <c r="H161" s="92" t="s">
        <v>2531</v>
      </c>
      <c r="I161" s="48">
        <v>5000.0</v>
      </c>
      <c r="J161" s="50">
        <v>1974.0</v>
      </c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</row>
    <row r="162">
      <c r="A162" s="34"/>
      <c r="B162" s="34">
        <f t="shared" si="1"/>
        <v>154</v>
      </c>
      <c r="C162" s="55"/>
      <c r="D162" s="49" t="s">
        <v>2841</v>
      </c>
      <c r="E162" s="49" t="s">
        <v>699</v>
      </c>
      <c r="F162" s="49" t="s">
        <v>700</v>
      </c>
      <c r="G162" s="49" t="s">
        <v>700</v>
      </c>
      <c r="H162" s="92" t="s">
        <v>2638</v>
      </c>
      <c r="I162" s="48">
        <v>5000.0</v>
      </c>
      <c r="J162" s="50">
        <v>1992.0</v>
      </c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</row>
    <row r="163">
      <c r="A163" s="34"/>
      <c r="B163" s="34">
        <f t="shared" si="1"/>
        <v>155</v>
      </c>
      <c r="C163" s="71"/>
      <c r="D163" s="49" t="s">
        <v>2842</v>
      </c>
      <c r="E163" s="49" t="s">
        <v>497</v>
      </c>
      <c r="F163" s="49" t="s">
        <v>91</v>
      </c>
      <c r="G163" s="49" t="s">
        <v>2843</v>
      </c>
      <c r="H163" s="92" t="s">
        <v>2582</v>
      </c>
      <c r="I163" s="48">
        <v>5000.0</v>
      </c>
      <c r="J163" s="50">
        <v>1986.0</v>
      </c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</row>
    <row r="164">
      <c r="A164" s="34"/>
      <c r="B164" s="34">
        <f t="shared" si="1"/>
        <v>156</v>
      </c>
      <c r="C164" s="71"/>
      <c r="D164" s="49" t="s">
        <v>2844</v>
      </c>
      <c r="E164" s="49" t="s">
        <v>657</v>
      </c>
      <c r="F164" s="49" t="s">
        <v>57</v>
      </c>
      <c r="G164" s="49" t="s">
        <v>657</v>
      </c>
      <c r="H164" s="92" t="s">
        <v>2845</v>
      </c>
      <c r="I164" s="48">
        <v>5000.0</v>
      </c>
      <c r="J164" s="50">
        <v>1967.0</v>
      </c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</row>
    <row r="165">
      <c r="A165" s="34"/>
      <c r="B165" s="34">
        <f t="shared" si="1"/>
        <v>157</v>
      </c>
      <c r="C165" s="71"/>
      <c r="D165" s="49" t="s">
        <v>2846</v>
      </c>
      <c r="E165" s="49" t="s">
        <v>2847</v>
      </c>
      <c r="F165" s="49" t="s">
        <v>124</v>
      </c>
      <c r="G165" s="49" t="s">
        <v>2847</v>
      </c>
      <c r="H165" s="92" t="s">
        <v>2548</v>
      </c>
      <c r="I165" s="48">
        <v>5000.0</v>
      </c>
      <c r="J165" s="50">
        <v>1984.0</v>
      </c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</row>
    <row r="166">
      <c r="A166" s="34"/>
      <c r="B166" s="34">
        <f t="shared" si="1"/>
        <v>158</v>
      </c>
      <c r="C166" s="71"/>
      <c r="D166" s="49" t="s">
        <v>2848</v>
      </c>
      <c r="E166" s="49" t="s">
        <v>705</v>
      </c>
      <c r="F166" s="49" t="s">
        <v>84</v>
      </c>
      <c r="G166" s="49" t="s">
        <v>2849</v>
      </c>
      <c r="H166" s="92" t="s">
        <v>2540</v>
      </c>
      <c r="I166" s="48">
        <v>5000.0</v>
      </c>
      <c r="J166" s="50">
        <v>1989.0</v>
      </c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</row>
    <row r="167">
      <c r="A167" s="34"/>
      <c r="B167" s="34">
        <f t="shared" si="1"/>
        <v>159</v>
      </c>
      <c r="C167" s="71"/>
      <c r="D167" s="49" t="s">
        <v>2850</v>
      </c>
      <c r="E167" s="49" t="s">
        <v>2851</v>
      </c>
      <c r="F167" s="49" t="s">
        <v>69</v>
      </c>
      <c r="G167" s="49" t="s">
        <v>2852</v>
      </c>
      <c r="H167" s="92" t="s">
        <v>2519</v>
      </c>
      <c r="I167" s="48">
        <v>5000.0</v>
      </c>
      <c r="J167" s="50">
        <v>1969.0</v>
      </c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</row>
    <row r="168">
      <c r="A168" s="34"/>
      <c r="B168" s="34">
        <f t="shared" si="1"/>
        <v>160</v>
      </c>
      <c r="C168" s="71"/>
      <c r="D168" s="49" t="s">
        <v>2853</v>
      </c>
      <c r="E168" s="49" t="s">
        <v>328</v>
      </c>
      <c r="F168" s="49" t="s">
        <v>247</v>
      </c>
      <c r="G168" s="49" t="s">
        <v>2854</v>
      </c>
      <c r="H168" s="92" t="s">
        <v>2855</v>
      </c>
      <c r="I168" s="48">
        <v>5000.0</v>
      </c>
      <c r="J168" s="50">
        <v>2022.0</v>
      </c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</row>
    <row r="169">
      <c r="A169" s="34"/>
      <c r="B169" s="34">
        <f t="shared" si="1"/>
        <v>161</v>
      </c>
      <c r="C169" s="71"/>
      <c r="D169" s="49" t="s">
        <v>2856</v>
      </c>
      <c r="E169" s="49" t="s">
        <v>999</v>
      </c>
      <c r="F169" s="49" t="s">
        <v>61</v>
      </c>
      <c r="G169" s="49" t="s">
        <v>2857</v>
      </c>
      <c r="H169" s="92" t="s">
        <v>2534</v>
      </c>
      <c r="I169" s="48">
        <v>5000.0</v>
      </c>
      <c r="J169" s="50">
        <v>1950.0</v>
      </c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</row>
    <row r="170">
      <c r="A170" s="34"/>
      <c r="B170" s="34">
        <f t="shared" si="1"/>
        <v>162</v>
      </c>
      <c r="C170" s="55"/>
      <c r="D170" s="49" t="s">
        <v>2858</v>
      </c>
      <c r="E170" s="49" t="s">
        <v>1389</v>
      </c>
      <c r="F170" s="49" t="s">
        <v>48</v>
      </c>
      <c r="G170" s="49" t="s">
        <v>2859</v>
      </c>
      <c r="H170" s="92" t="s">
        <v>2860</v>
      </c>
      <c r="I170" s="48">
        <v>5000.0</v>
      </c>
      <c r="J170" s="50">
        <v>2009.0</v>
      </c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</row>
    <row r="171">
      <c r="A171" s="34"/>
      <c r="B171" s="34">
        <f t="shared" si="1"/>
        <v>163</v>
      </c>
      <c r="C171" s="55"/>
      <c r="D171" s="49" t="s">
        <v>2861</v>
      </c>
      <c r="E171" s="49" t="s">
        <v>2862</v>
      </c>
      <c r="F171" s="49" t="s">
        <v>153</v>
      </c>
      <c r="G171" s="49" t="s">
        <v>2863</v>
      </c>
      <c r="H171" s="92" t="s">
        <v>2864</v>
      </c>
      <c r="I171" s="48">
        <v>5000.0</v>
      </c>
      <c r="J171" s="47" t="s">
        <v>2865</v>
      </c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</row>
    <row r="172">
      <c r="A172" s="34"/>
      <c r="B172" s="34">
        <f t="shared" si="1"/>
        <v>164</v>
      </c>
      <c r="C172" s="55"/>
      <c r="D172" s="49" t="s">
        <v>2866</v>
      </c>
      <c r="E172" s="49" t="s">
        <v>2867</v>
      </c>
      <c r="F172" s="49" t="s">
        <v>114</v>
      </c>
      <c r="G172" s="49" t="s">
        <v>2868</v>
      </c>
      <c r="H172" s="92" t="s">
        <v>2869</v>
      </c>
      <c r="I172" s="48">
        <v>5000.0</v>
      </c>
      <c r="J172" s="50">
        <v>1999.0</v>
      </c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</row>
    <row r="173">
      <c r="A173" s="34"/>
      <c r="B173" s="34">
        <f t="shared" si="1"/>
        <v>165</v>
      </c>
      <c r="C173" s="71"/>
      <c r="D173" s="49" t="s">
        <v>2870</v>
      </c>
      <c r="E173" s="49" t="s">
        <v>1598</v>
      </c>
      <c r="F173" s="49" t="s">
        <v>1599</v>
      </c>
      <c r="G173" s="49" t="s">
        <v>2871</v>
      </c>
      <c r="H173" s="92" t="s">
        <v>2872</v>
      </c>
      <c r="I173" s="48">
        <v>5000.0</v>
      </c>
      <c r="J173" s="50">
        <v>2014.0</v>
      </c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</row>
    <row r="174">
      <c r="A174" s="34"/>
      <c r="B174" s="34">
        <f t="shared" si="1"/>
        <v>166</v>
      </c>
      <c r="C174" s="55"/>
      <c r="D174" s="49" t="s">
        <v>2873</v>
      </c>
      <c r="E174" s="49" t="s">
        <v>2874</v>
      </c>
      <c r="F174" s="49" t="s">
        <v>369</v>
      </c>
      <c r="G174" s="49" t="s">
        <v>2875</v>
      </c>
      <c r="H174" s="92" t="s">
        <v>2667</v>
      </c>
      <c r="I174" s="48">
        <v>5000.0</v>
      </c>
      <c r="J174" s="50">
        <v>1941.0</v>
      </c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</row>
    <row r="175">
      <c r="A175" s="34"/>
      <c r="B175" s="34">
        <f t="shared" si="1"/>
        <v>167</v>
      </c>
      <c r="C175" s="55"/>
      <c r="D175" s="49" t="s">
        <v>2876</v>
      </c>
      <c r="E175" s="49" t="s">
        <v>124</v>
      </c>
      <c r="F175" s="49" t="s">
        <v>53</v>
      </c>
      <c r="G175" s="49" t="s">
        <v>2877</v>
      </c>
      <c r="H175" s="92" t="s">
        <v>2878</v>
      </c>
      <c r="I175" s="48">
        <v>5000.0</v>
      </c>
      <c r="J175" s="50">
        <v>2011.0</v>
      </c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</row>
    <row r="176">
      <c r="A176" s="34"/>
      <c r="B176" s="34">
        <f t="shared" si="1"/>
        <v>168</v>
      </c>
      <c r="C176" s="55"/>
      <c r="D176" s="50" t="s">
        <v>2879</v>
      </c>
      <c r="E176" s="49" t="s">
        <v>1334</v>
      </c>
      <c r="F176" s="49" t="s">
        <v>80</v>
      </c>
      <c r="G176" s="49" t="s">
        <v>2880</v>
      </c>
      <c r="H176" s="92" t="s">
        <v>2736</v>
      </c>
      <c r="I176" s="48">
        <v>5000.0</v>
      </c>
      <c r="J176" s="47" t="s">
        <v>2881</v>
      </c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</row>
    <row r="177">
      <c r="A177" s="34"/>
      <c r="B177" s="34">
        <f t="shared" si="1"/>
        <v>169</v>
      </c>
      <c r="C177" s="55"/>
      <c r="D177" s="50" t="s">
        <v>2882</v>
      </c>
      <c r="E177" s="49" t="s">
        <v>2883</v>
      </c>
      <c r="F177" s="49" t="s">
        <v>80</v>
      </c>
      <c r="G177" s="49" t="s">
        <v>2884</v>
      </c>
      <c r="H177" s="92" t="s">
        <v>2736</v>
      </c>
      <c r="I177" s="56">
        <v>5000.0</v>
      </c>
      <c r="J177" s="50" t="s">
        <v>1962</v>
      </c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</row>
    <row r="178">
      <c r="A178" s="34"/>
      <c r="B178" s="34">
        <f t="shared" si="1"/>
        <v>170</v>
      </c>
      <c r="C178" s="55"/>
      <c r="D178" s="49" t="s">
        <v>2885</v>
      </c>
      <c r="E178" s="49" t="s">
        <v>1541</v>
      </c>
      <c r="F178" s="49" t="s">
        <v>80</v>
      </c>
      <c r="G178" s="49" t="s">
        <v>2886</v>
      </c>
      <c r="H178" s="92" t="s">
        <v>2736</v>
      </c>
      <c r="I178" s="48">
        <v>5000.0</v>
      </c>
      <c r="J178" s="50">
        <v>2000.0</v>
      </c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</row>
    <row r="179">
      <c r="A179" s="34"/>
      <c r="B179" s="34">
        <f t="shared" si="1"/>
        <v>171</v>
      </c>
      <c r="C179" s="55"/>
      <c r="D179" s="50" t="s">
        <v>2887</v>
      </c>
      <c r="E179" s="49" t="s">
        <v>2888</v>
      </c>
      <c r="F179" s="49" t="s">
        <v>76</v>
      </c>
      <c r="G179" s="49" t="s">
        <v>2889</v>
      </c>
      <c r="H179" s="92" t="s">
        <v>2736</v>
      </c>
      <c r="I179" s="48">
        <v>5000.0</v>
      </c>
      <c r="J179" s="47" t="s">
        <v>2890</v>
      </c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</row>
    <row r="180">
      <c r="A180" s="34"/>
      <c r="B180" s="65"/>
      <c r="C180" s="65"/>
      <c r="D180" s="34"/>
      <c r="E180" s="34"/>
      <c r="F180" s="34"/>
      <c r="G180" s="34"/>
      <c r="H180" s="38"/>
      <c r="I180" s="38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</row>
    <row r="181">
      <c r="A181" s="34"/>
      <c r="B181" s="65"/>
      <c r="C181" s="65"/>
      <c r="D181" s="34"/>
      <c r="E181" s="34"/>
      <c r="F181" s="34"/>
      <c r="G181" s="79" t="s">
        <v>13</v>
      </c>
      <c r="I181" s="59">
        <f>SUM(I9:I179)</f>
        <v>1143341</v>
      </c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</row>
    <row r="182">
      <c r="A182" s="34"/>
      <c r="B182" s="65"/>
      <c r="C182" s="65"/>
      <c r="D182" s="34"/>
      <c r="E182" s="34"/>
      <c r="F182" s="34"/>
      <c r="G182" s="80" t="s">
        <v>22</v>
      </c>
      <c r="I182" s="60">
        <f>(0.5+0.75)/2</f>
        <v>0.625</v>
      </c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</row>
    <row r="183">
      <c r="A183" s="34"/>
      <c r="B183" s="65"/>
      <c r="C183" s="65"/>
      <c r="D183" s="34"/>
      <c r="E183" s="34"/>
      <c r="F183" s="34"/>
      <c r="G183" s="80" t="s">
        <v>16</v>
      </c>
      <c r="I183" s="61">
        <f>(0.05+0.3)/2</f>
        <v>0.175</v>
      </c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</row>
    <row r="184">
      <c r="A184" s="34"/>
      <c r="B184" s="65"/>
      <c r="C184" s="65"/>
      <c r="D184" s="34"/>
      <c r="E184" s="34"/>
      <c r="F184" s="34"/>
      <c r="G184" s="79" t="s">
        <v>17</v>
      </c>
      <c r="I184" s="28">
        <f>I181*I182*I183</f>
        <v>125052.9219</v>
      </c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</row>
    <row r="185">
      <c r="A185" s="34"/>
      <c r="B185" s="65"/>
      <c r="C185" s="65"/>
      <c r="D185" s="34"/>
      <c r="E185" s="34"/>
      <c r="F185" s="34"/>
      <c r="G185" s="80" t="s">
        <v>18</v>
      </c>
      <c r="I185" s="29">
        <v>4.0</v>
      </c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</row>
    <row r="186">
      <c r="A186" s="34"/>
      <c r="B186" s="65"/>
      <c r="C186" s="65"/>
      <c r="D186" s="34"/>
      <c r="E186" s="34"/>
      <c r="F186" s="34"/>
      <c r="G186" s="79" t="s">
        <v>2487</v>
      </c>
      <c r="I186" s="62">
        <f>I184*I185</f>
        <v>500211.6875</v>
      </c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</row>
    <row r="187">
      <c r="A187" s="34"/>
      <c r="B187" s="65"/>
      <c r="C187" s="65"/>
      <c r="D187" s="34"/>
      <c r="E187" s="34"/>
      <c r="F187" s="34"/>
      <c r="G187" s="79" t="s">
        <v>2488</v>
      </c>
      <c r="I187" s="31">
        <f>I186*12</f>
        <v>6002540.25</v>
      </c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</row>
    <row r="188">
      <c r="A188" s="34"/>
      <c r="B188" s="65"/>
      <c r="C188" s="65"/>
      <c r="D188" s="34"/>
      <c r="E188" s="34"/>
      <c r="F188" s="34"/>
      <c r="G188" s="34"/>
      <c r="H188" s="81"/>
      <c r="I188" s="63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</row>
    <row r="189" hidden="1">
      <c r="A189" s="34"/>
      <c r="B189" s="65"/>
      <c r="C189" s="65" t="s">
        <v>2216</v>
      </c>
      <c r="D189" s="34"/>
      <c r="E189" s="34"/>
      <c r="F189" s="34"/>
      <c r="G189" s="34"/>
      <c r="H189" s="38"/>
      <c r="I189" s="38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</row>
    <row r="190" hidden="1">
      <c r="A190" s="34"/>
      <c r="B190" s="86"/>
      <c r="C190" s="82" t="s">
        <v>2891</v>
      </c>
      <c r="D190" s="34"/>
      <c r="E190" s="34"/>
      <c r="F190" s="34"/>
      <c r="G190" s="34"/>
      <c r="H190" s="38"/>
      <c r="I190" s="38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</row>
    <row r="191" hidden="1">
      <c r="A191" s="34"/>
      <c r="B191" s="83"/>
      <c r="C191" s="83" t="s">
        <v>2892</v>
      </c>
      <c r="D191" s="83" t="s">
        <v>41</v>
      </c>
      <c r="E191" s="83" t="s">
        <v>42</v>
      </c>
      <c r="F191" s="83" t="s">
        <v>2893</v>
      </c>
      <c r="G191" s="83" t="s">
        <v>2894</v>
      </c>
      <c r="H191" s="84" t="s">
        <v>1187</v>
      </c>
      <c r="I191" s="84" t="s">
        <v>2895</v>
      </c>
      <c r="J191" s="83" t="s">
        <v>2896</v>
      </c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</row>
    <row r="192" hidden="1">
      <c r="A192" s="34"/>
      <c r="B192" s="49"/>
      <c r="C192" s="49" t="s">
        <v>2897</v>
      </c>
      <c r="D192" s="49" t="s">
        <v>639</v>
      </c>
      <c r="E192" s="49" t="s">
        <v>80</v>
      </c>
      <c r="F192" s="78">
        <v>5500.0</v>
      </c>
      <c r="G192" s="78">
        <v>5500.0</v>
      </c>
      <c r="H192" s="85"/>
      <c r="I192" s="93" t="s">
        <v>2898</v>
      </c>
      <c r="J192" s="50">
        <v>2024.0</v>
      </c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</row>
    <row r="193" hidden="1">
      <c r="A193" s="34"/>
      <c r="B193" s="49"/>
      <c r="C193" s="49" t="s">
        <v>2899</v>
      </c>
      <c r="D193" s="49" t="s">
        <v>2900</v>
      </c>
      <c r="E193" s="49" t="s">
        <v>214</v>
      </c>
      <c r="F193" s="78">
        <v>5000.0</v>
      </c>
      <c r="G193" s="78">
        <v>5000.0</v>
      </c>
      <c r="H193" s="78">
        <v>5000.0</v>
      </c>
      <c r="I193" s="93" t="s">
        <v>2901</v>
      </c>
      <c r="J193" s="50">
        <v>2025.0</v>
      </c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</row>
    <row r="194" hidden="1">
      <c r="A194" s="34"/>
      <c r="B194" s="24"/>
      <c r="C194" s="47" t="s">
        <v>2902</v>
      </c>
      <c r="D194" s="49" t="s">
        <v>597</v>
      </c>
      <c r="E194" s="49" t="s">
        <v>232</v>
      </c>
      <c r="F194" s="78">
        <v>10000.0</v>
      </c>
      <c r="G194" s="78">
        <v>10000.0</v>
      </c>
      <c r="H194" s="85"/>
      <c r="I194" s="93" t="s">
        <v>2903</v>
      </c>
      <c r="J194" s="50">
        <v>2026.0</v>
      </c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</row>
    <row r="195" hidden="1">
      <c r="A195" s="34"/>
      <c r="B195" s="50"/>
      <c r="C195" s="50" t="s">
        <v>2904</v>
      </c>
      <c r="D195" s="49" t="s">
        <v>75</v>
      </c>
      <c r="E195" s="49" t="s">
        <v>76</v>
      </c>
      <c r="F195" s="78">
        <v>10136.0</v>
      </c>
      <c r="G195" s="78">
        <v>10136.0</v>
      </c>
      <c r="H195" s="85"/>
      <c r="I195" s="93" t="s">
        <v>2905</v>
      </c>
      <c r="J195" s="50" t="s">
        <v>2906</v>
      </c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</row>
    <row r="196" hidden="1">
      <c r="A196" s="34"/>
      <c r="B196" s="50"/>
      <c r="C196" s="50" t="s">
        <v>2907</v>
      </c>
      <c r="D196" s="49" t="s">
        <v>64</v>
      </c>
      <c r="E196" s="49" t="s">
        <v>65</v>
      </c>
      <c r="F196" s="50" t="s">
        <v>2906</v>
      </c>
      <c r="G196" s="50" t="s">
        <v>2906</v>
      </c>
      <c r="H196" s="85"/>
      <c r="I196" s="93" t="s">
        <v>2908</v>
      </c>
      <c r="J196" s="50" t="s">
        <v>2906</v>
      </c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</row>
    <row r="197" hidden="1">
      <c r="A197" s="34"/>
      <c r="B197" s="50"/>
      <c r="C197" s="50" t="s">
        <v>2909</v>
      </c>
      <c r="D197" s="49" t="s">
        <v>537</v>
      </c>
      <c r="E197" s="49" t="s">
        <v>304</v>
      </c>
      <c r="F197" s="78">
        <v>8500.0</v>
      </c>
      <c r="G197" s="78">
        <v>8500.0</v>
      </c>
      <c r="H197" s="85"/>
      <c r="I197" s="93" t="s">
        <v>2910</v>
      </c>
      <c r="J197" s="50" t="s">
        <v>2906</v>
      </c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</row>
    <row r="198" hidden="1">
      <c r="A198" s="34"/>
      <c r="B198" s="86"/>
      <c r="C198" s="86" t="s">
        <v>2911</v>
      </c>
      <c r="D198" s="34"/>
      <c r="E198" s="34"/>
      <c r="F198" s="34"/>
      <c r="G198" s="34"/>
      <c r="H198" s="38"/>
      <c r="I198" s="38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</row>
    <row r="199" hidden="1">
      <c r="A199" s="34"/>
      <c r="B199" s="86"/>
      <c r="C199" s="82" t="s">
        <v>2912</v>
      </c>
      <c r="D199" s="34"/>
      <c r="E199" s="34"/>
      <c r="F199" s="34"/>
      <c r="G199" s="34"/>
      <c r="H199" s="38"/>
      <c r="I199" s="38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</row>
    <row r="200" hidden="1">
      <c r="A200" s="34"/>
      <c r="B200" s="46"/>
      <c r="C200" s="94" t="s">
        <v>2913</v>
      </c>
      <c r="D200" s="34"/>
      <c r="E200" s="34"/>
      <c r="F200" s="34"/>
      <c r="G200" s="34"/>
      <c r="H200" s="38"/>
      <c r="I200" s="38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</row>
    <row r="201" hidden="1">
      <c r="A201" s="34"/>
      <c r="B201" s="67"/>
      <c r="C201" s="67" t="s">
        <v>2914</v>
      </c>
      <c r="D201" s="34"/>
      <c r="E201" s="34"/>
      <c r="F201" s="34"/>
      <c r="G201" s="34"/>
      <c r="H201" s="38"/>
      <c r="I201" s="38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</row>
    <row r="202" hidden="1">
      <c r="A202" s="34"/>
      <c r="B202" s="67"/>
      <c r="C202" s="67" t="s">
        <v>2915</v>
      </c>
      <c r="D202" s="34"/>
      <c r="E202" s="34"/>
      <c r="F202" s="34"/>
      <c r="G202" s="34"/>
      <c r="H202" s="38"/>
      <c r="I202" s="38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</row>
    <row r="203" hidden="1">
      <c r="A203" s="34"/>
      <c r="B203" s="67"/>
      <c r="C203" s="67" t="s">
        <v>2916</v>
      </c>
      <c r="D203" s="34"/>
      <c r="E203" s="34"/>
      <c r="F203" s="34"/>
      <c r="G203" s="34"/>
      <c r="H203" s="38"/>
      <c r="I203" s="38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</row>
    <row r="204" hidden="1">
      <c r="A204" s="34"/>
      <c r="B204" s="67"/>
      <c r="C204" s="67" t="s">
        <v>2917</v>
      </c>
      <c r="D204" s="34"/>
      <c r="E204" s="34"/>
      <c r="F204" s="34"/>
      <c r="G204" s="34"/>
      <c r="H204" s="38"/>
      <c r="I204" s="38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</row>
    <row r="205" hidden="1">
      <c r="A205" s="34"/>
      <c r="B205" s="67"/>
      <c r="C205" s="67" t="s">
        <v>2918</v>
      </c>
      <c r="D205" s="34"/>
      <c r="E205" s="34"/>
      <c r="F205" s="34"/>
      <c r="G205" s="34"/>
      <c r="H205" s="38"/>
      <c r="I205" s="38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</row>
    <row r="206" hidden="1">
      <c r="A206" s="34"/>
      <c r="B206" s="67"/>
      <c r="C206" s="67" t="s">
        <v>2919</v>
      </c>
      <c r="D206" s="34"/>
      <c r="E206" s="34"/>
      <c r="F206" s="34"/>
      <c r="G206" s="34"/>
      <c r="H206" s="38"/>
      <c r="I206" s="38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</row>
    <row r="207" hidden="1">
      <c r="A207" s="34"/>
      <c r="B207" s="67"/>
      <c r="C207" s="67" t="s">
        <v>2920</v>
      </c>
      <c r="D207" s="34"/>
      <c r="E207" s="34"/>
      <c r="F207" s="34"/>
      <c r="G207" s="34"/>
      <c r="H207" s="38"/>
      <c r="I207" s="38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</row>
    <row r="208" hidden="1">
      <c r="A208" s="34"/>
      <c r="B208" s="67"/>
      <c r="C208" s="67" t="s">
        <v>2921</v>
      </c>
      <c r="D208" s="34"/>
      <c r="E208" s="34"/>
      <c r="F208" s="34"/>
      <c r="G208" s="34"/>
      <c r="H208" s="38"/>
      <c r="I208" s="38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</row>
    <row r="209" hidden="1">
      <c r="A209" s="34"/>
      <c r="B209" s="86"/>
      <c r="C209" s="86" t="s">
        <v>2922</v>
      </c>
      <c r="D209" s="34"/>
      <c r="E209" s="34"/>
      <c r="F209" s="34"/>
      <c r="G209" s="34"/>
      <c r="H209" s="38"/>
      <c r="I209" s="38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</row>
    <row r="210" hidden="1">
      <c r="A210" s="34"/>
      <c r="B210" s="86"/>
      <c r="C210" s="82" t="s">
        <v>2923</v>
      </c>
      <c r="D210" s="34"/>
      <c r="E210" s="34"/>
      <c r="F210" s="34"/>
      <c r="G210" s="34"/>
      <c r="H210" s="38"/>
      <c r="I210" s="38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</row>
    <row r="211" hidden="1">
      <c r="A211" s="34"/>
      <c r="B211" s="50"/>
      <c r="C211" s="67" t="s">
        <v>2924</v>
      </c>
      <c r="D211" s="34"/>
      <c r="E211" s="34"/>
      <c r="F211" s="34"/>
      <c r="G211" s="34"/>
      <c r="H211" s="38"/>
      <c r="I211" s="38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</row>
    <row r="212" hidden="1">
      <c r="A212" s="34"/>
      <c r="B212" s="50"/>
      <c r="C212" s="67" t="s">
        <v>2925</v>
      </c>
      <c r="D212" s="34"/>
      <c r="E212" s="34"/>
      <c r="F212" s="34"/>
      <c r="G212" s="34"/>
      <c r="H212" s="38"/>
      <c r="I212" s="38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</row>
    <row r="213" hidden="1">
      <c r="A213" s="34"/>
      <c r="B213" s="50"/>
      <c r="C213" s="67" t="s">
        <v>2926</v>
      </c>
      <c r="D213" s="34"/>
      <c r="E213" s="34"/>
      <c r="F213" s="34"/>
      <c r="G213" s="34"/>
      <c r="H213" s="38"/>
      <c r="I213" s="38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</row>
    <row r="214" hidden="1">
      <c r="A214" s="34"/>
      <c r="B214" s="50"/>
      <c r="C214" s="67" t="s">
        <v>2927</v>
      </c>
      <c r="D214" s="34"/>
      <c r="E214" s="34"/>
      <c r="F214" s="34"/>
      <c r="G214" s="34"/>
      <c r="H214" s="38"/>
      <c r="I214" s="38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</row>
    <row r="215" hidden="1">
      <c r="A215" s="34"/>
      <c r="B215" s="50"/>
      <c r="C215" s="67" t="s">
        <v>2928</v>
      </c>
      <c r="D215" s="34"/>
      <c r="E215" s="34"/>
      <c r="F215" s="34"/>
      <c r="G215" s="34"/>
      <c r="H215" s="38"/>
      <c r="I215" s="38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</row>
    <row r="216" hidden="1">
      <c r="A216" s="34"/>
      <c r="B216" s="50"/>
      <c r="C216" s="67" t="s">
        <v>2929</v>
      </c>
      <c r="D216" s="34"/>
      <c r="E216" s="34"/>
      <c r="F216" s="34"/>
      <c r="G216" s="34"/>
      <c r="H216" s="38"/>
      <c r="I216" s="38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</row>
    <row r="217" hidden="1">
      <c r="A217" s="34"/>
      <c r="B217" s="50"/>
      <c r="C217" s="67" t="s">
        <v>2930</v>
      </c>
      <c r="D217" s="34"/>
      <c r="E217" s="34"/>
      <c r="F217" s="34"/>
      <c r="G217" s="34"/>
      <c r="H217" s="38"/>
      <c r="I217" s="38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</row>
    <row r="218" hidden="1">
      <c r="A218" s="34"/>
      <c r="B218" s="50"/>
      <c r="C218" s="67" t="s">
        <v>2931</v>
      </c>
      <c r="D218" s="34"/>
      <c r="E218" s="34"/>
      <c r="F218" s="34"/>
      <c r="G218" s="34"/>
      <c r="H218" s="38"/>
      <c r="I218" s="38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</row>
    <row r="219" hidden="1">
      <c r="A219" s="34"/>
      <c r="B219" s="50"/>
      <c r="C219" s="67" t="s">
        <v>2932</v>
      </c>
      <c r="D219" s="34"/>
      <c r="E219" s="34"/>
      <c r="F219" s="34"/>
      <c r="G219" s="34"/>
      <c r="H219" s="38"/>
      <c r="I219" s="38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</row>
    <row r="220" hidden="1">
      <c r="A220" s="34"/>
      <c r="B220" s="50"/>
      <c r="C220" s="67" t="s">
        <v>2933</v>
      </c>
      <c r="D220" s="34"/>
      <c r="E220" s="34"/>
      <c r="F220" s="34"/>
      <c r="G220" s="34"/>
      <c r="H220" s="38"/>
      <c r="I220" s="38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</row>
    <row r="221" hidden="1">
      <c r="A221" s="34"/>
      <c r="B221" s="50"/>
      <c r="C221" s="67" t="s">
        <v>2934</v>
      </c>
      <c r="D221" s="34"/>
      <c r="E221" s="34"/>
      <c r="F221" s="34"/>
      <c r="G221" s="34"/>
      <c r="H221" s="38"/>
      <c r="I221" s="38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</row>
    <row r="222" hidden="1">
      <c r="A222" s="34"/>
      <c r="B222" s="50"/>
      <c r="C222" s="67" t="s">
        <v>2935</v>
      </c>
      <c r="D222" s="34"/>
      <c r="E222" s="34"/>
      <c r="F222" s="34"/>
      <c r="G222" s="34"/>
      <c r="H222" s="38"/>
      <c r="I222" s="38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</row>
    <row r="223" hidden="1">
      <c r="A223" s="34"/>
      <c r="B223" s="50"/>
      <c r="C223" s="67" t="s">
        <v>2936</v>
      </c>
      <c r="D223" s="34"/>
      <c r="E223" s="34"/>
      <c r="F223" s="34"/>
      <c r="G223" s="34"/>
      <c r="H223" s="38"/>
      <c r="I223" s="38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</row>
    <row r="224" hidden="1">
      <c r="A224" s="34"/>
      <c r="B224" s="50"/>
      <c r="C224" s="67" t="s">
        <v>2937</v>
      </c>
      <c r="D224" s="34"/>
      <c r="E224" s="34"/>
      <c r="F224" s="34"/>
      <c r="G224" s="34"/>
      <c r="H224" s="38"/>
      <c r="I224" s="38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</row>
    <row r="225" hidden="1">
      <c r="A225" s="34"/>
      <c r="B225" s="50"/>
      <c r="C225" s="67" t="s">
        <v>2938</v>
      </c>
      <c r="D225" s="34"/>
      <c r="E225" s="34"/>
      <c r="F225" s="34"/>
      <c r="G225" s="34"/>
      <c r="H225" s="38"/>
      <c r="I225" s="38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</row>
    <row r="226" hidden="1">
      <c r="A226" s="34"/>
      <c r="B226" s="50"/>
      <c r="C226" s="67" t="s">
        <v>2939</v>
      </c>
      <c r="D226" s="34"/>
      <c r="E226" s="34"/>
      <c r="F226" s="34"/>
      <c r="G226" s="34"/>
      <c r="H226" s="38"/>
      <c r="I226" s="38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</row>
    <row r="227" hidden="1">
      <c r="A227" s="34"/>
      <c r="B227" s="34"/>
      <c r="C227" s="34"/>
      <c r="D227" s="34"/>
      <c r="E227" s="34"/>
      <c r="F227" s="34"/>
      <c r="G227" s="34"/>
      <c r="H227" s="38"/>
      <c r="I227" s="38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</row>
    <row r="228">
      <c r="A228" s="34"/>
      <c r="B228" s="34"/>
      <c r="C228" s="34"/>
      <c r="D228" s="34"/>
      <c r="E228" s="34"/>
      <c r="F228" s="34"/>
      <c r="G228" s="34"/>
      <c r="H228" s="38"/>
      <c r="I228" s="38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</row>
    <row r="229">
      <c r="A229" s="34"/>
      <c r="B229" s="34"/>
      <c r="C229" s="34"/>
      <c r="D229" s="34"/>
      <c r="E229" s="34"/>
      <c r="F229" s="34"/>
      <c r="G229" s="34"/>
      <c r="H229" s="38"/>
      <c r="I229" s="38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</row>
    <row r="230">
      <c r="A230" s="34"/>
      <c r="B230" s="34"/>
      <c r="C230" s="34"/>
      <c r="D230" s="34"/>
      <c r="E230" s="34"/>
      <c r="F230" s="34"/>
      <c r="G230" s="34"/>
      <c r="H230" s="38"/>
      <c r="I230" s="38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8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8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8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8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8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8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8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8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8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8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8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8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8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8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8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8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8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8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8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8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8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8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8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8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8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8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8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8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8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8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8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8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8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8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8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8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8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8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8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8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8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8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8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8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8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8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8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8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8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8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8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8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8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8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8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8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8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8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8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8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8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8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8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8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8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8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8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8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8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8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8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8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8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8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8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8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8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8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8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8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8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8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8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8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8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8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8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8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8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8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8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8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8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8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8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8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8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8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8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8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8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8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8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8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8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8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8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8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8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8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8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8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8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8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8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8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8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8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8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8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8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8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8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8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8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8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8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8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8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8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8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8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8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8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8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8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8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8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8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8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8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8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8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8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8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8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8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8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8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8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8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8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8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8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8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8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8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8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8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8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8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8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8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8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8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8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8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8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8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8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8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8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8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8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8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8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8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8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8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8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8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8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8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8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8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8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8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8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8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8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8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8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8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8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8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8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8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8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8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8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8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8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8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8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8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8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8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8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8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8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8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8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8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8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8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8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8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8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8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8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8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8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8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8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8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8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8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8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8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8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8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8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8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8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8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8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8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8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8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8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8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8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8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8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8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8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8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8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8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8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8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8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8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8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8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8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8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8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8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8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8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8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8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8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8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8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8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8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8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8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8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8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8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8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8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8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8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8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8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8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8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8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8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8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8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8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8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8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8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8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8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8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8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8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8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8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8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8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8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8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8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8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8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8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8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8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8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8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8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8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8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8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8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8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8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8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8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8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8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8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8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8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8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8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8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8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8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8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8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8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8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8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8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8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8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8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8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8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8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8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8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8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8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8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8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8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8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8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8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8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8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8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8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8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8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8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8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8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8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8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8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8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8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8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8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8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8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8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8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8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8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8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8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8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8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8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8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8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8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8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8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8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8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8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8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8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8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8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8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8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8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8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8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8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8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8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8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8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8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8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8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8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8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8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8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8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8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8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8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8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8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8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8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8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8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8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8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8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8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8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8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8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8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8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8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8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8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8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8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8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8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8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8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8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8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8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8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8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8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8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8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8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8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8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8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8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8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8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8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8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8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8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8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8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8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8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8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8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8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8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8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8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8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8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8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8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8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8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8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8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8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8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8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8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8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8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8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8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8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8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8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8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8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8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8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8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8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8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8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8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8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8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8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8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8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8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8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8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8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8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8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8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8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8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8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8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8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8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8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8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8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8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8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8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8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8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8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8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8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8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8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8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8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8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8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8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8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8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8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8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8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8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8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8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8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8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8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8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8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8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8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8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8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8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8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8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8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8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8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8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8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8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8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8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8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8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8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8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8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8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8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8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8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8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8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8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8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8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8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8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8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8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8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8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8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8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8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8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8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8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8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8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8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8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8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8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8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8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8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8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8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8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8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8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8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8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8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8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8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8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8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8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8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8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8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8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8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8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8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8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8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8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8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8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8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8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8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8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8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8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8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8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8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8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8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8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8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8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8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8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8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8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8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8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8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8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8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8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8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8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8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8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8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8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8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8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8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8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8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8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8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8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8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8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8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8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8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8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8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8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8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8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8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8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8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8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8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8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8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8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8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8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8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8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8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8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8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8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8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8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8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8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8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8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8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8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8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8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8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8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8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8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8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8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8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8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8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8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8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8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8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8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8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8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8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8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8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8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8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8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8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8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8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8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8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8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8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8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8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8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8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8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8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8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8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8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8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8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8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8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8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8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8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8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8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8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8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8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8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8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8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8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8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8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8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8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8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8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8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8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8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8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8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8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8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8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8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8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8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8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8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8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8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8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8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8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8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8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8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8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8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8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8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8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</row>
    <row r="1005">
      <c r="A1005" s="34"/>
      <c r="B1005" s="34"/>
      <c r="C1005" s="34"/>
      <c r="D1005" s="34"/>
      <c r="E1005" s="34"/>
      <c r="F1005" s="34"/>
      <c r="G1005" s="34"/>
      <c r="H1005" s="34"/>
      <c r="I1005" s="38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</row>
    <row r="1006">
      <c r="A1006" s="34"/>
      <c r="B1006" s="34"/>
      <c r="C1006" s="34"/>
      <c r="D1006" s="34"/>
      <c r="E1006" s="34"/>
      <c r="F1006" s="34"/>
      <c r="G1006" s="34"/>
      <c r="H1006" s="34"/>
      <c r="I1006" s="38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</row>
    <row r="1007">
      <c r="A1007" s="34"/>
      <c r="B1007" s="34"/>
      <c r="C1007" s="34"/>
      <c r="D1007" s="34"/>
      <c r="E1007" s="34"/>
      <c r="F1007" s="34"/>
      <c r="G1007" s="34"/>
      <c r="H1007" s="34"/>
      <c r="I1007" s="38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</row>
    <row r="1008">
      <c r="A1008" s="34"/>
      <c r="B1008" s="34"/>
      <c r="C1008" s="34"/>
      <c r="D1008" s="34"/>
      <c r="E1008" s="34"/>
      <c r="F1008" s="34"/>
      <c r="G1008" s="34"/>
      <c r="H1008" s="34"/>
      <c r="I1008" s="38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</row>
    <row r="1009">
      <c r="A1009" s="34"/>
      <c r="B1009" s="34"/>
      <c r="C1009" s="34"/>
      <c r="D1009" s="34"/>
      <c r="E1009" s="34"/>
      <c r="F1009" s="34"/>
      <c r="G1009" s="34"/>
      <c r="H1009" s="34"/>
      <c r="I1009" s="38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</row>
  </sheetData>
  <hyperlinks>
    <hyperlink r:id="rId1" ref="B6"/>
    <hyperlink r:id="rId2" ref="C9"/>
    <hyperlink r:id="rId3" ref="D9"/>
    <hyperlink r:id="rId4" ref="E9"/>
    <hyperlink r:id="rId5" ref="F9"/>
    <hyperlink r:id="rId6" ref="G9"/>
    <hyperlink r:id="rId7" ref="H9"/>
    <hyperlink r:id="rId8" ref="C10"/>
    <hyperlink r:id="rId9" ref="D10"/>
    <hyperlink r:id="rId10" ref="E10"/>
    <hyperlink r:id="rId11" ref="F10"/>
    <hyperlink r:id="rId12" ref="G10"/>
    <hyperlink r:id="rId13" ref="H10"/>
    <hyperlink r:id="rId14" ref="C11"/>
    <hyperlink r:id="rId15" ref="D11"/>
    <hyperlink r:id="rId16" ref="E11"/>
    <hyperlink r:id="rId17" ref="F11"/>
    <hyperlink r:id="rId18" ref="G11"/>
    <hyperlink r:id="rId19" ref="H11"/>
    <hyperlink r:id="rId20" ref="C12"/>
    <hyperlink r:id="rId21" ref="D12"/>
    <hyperlink r:id="rId22" ref="E12"/>
    <hyperlink r:id="rId23" ref="F12"/>
    <hyperlink r:id="rId24" ref="G12"/>
    <hyperlink r:id="rId25" ref="H12"/>
    <hyperlink r:id="rId26" ref="C13"/>
    <hyperlink r:id="rId27" ref="D13"/>
    <hyperlink r:id="rId28" ref="E13"/>
    <hyperlink r:id="rId29" ref="F13"/>
    <hyperlink r:id="rId30" ref="G13"/>
    <hyperlink r:id="rId31" ref="H13"/>
    <hyperlink r:id="rId32" ref="C14"/>
    <hyperlink r:id="rId33" ref="D14"/>
    <hyperlink r:id="rId34" ref="E14"/>
    <hyperlink r:id="rId35" ref="F14"/>
    <hyperlink r:id="rId36" ref="G14"/>
    <hyperlink r:id="rId37" ref="H14"/>
    <hyperlink r:id="rId38" ref="C15"/>
    <hyperlink r:id="rId39" ref="D15"/>
    <hyperlink r:id="rId40" ref="E15"/>
    <hyperlink r:id="rId41" ref="F15"/>
    <hyperlink r:id="rId42" ref="G15"/>
    <hyperlink r:id="rId43" ref="H15"/>
    <hyperlink r:id="rId44" ref="C16"/>
    <hyperlink r:id="rId45" ref="D16"/>
    <hyperlink r:id="rId46" ref="E16"/>
    <hyperlink r:id="rId47" ref="F16"/>
    <hyperlink r:id="rId48" ref="G16"/>
    <hyperlink r:id="rId49" ref="H16"/>
    <hyperlink r:id="rId50" ref="C17"/>
    <hyperlink r:id="rId51" ref="D17"/>
    <hyperlink r:id="rId52" ref="E17"/>
    <hyperlink r:id="rId53" ref="F17"/>
    <hyperlink r:id="rId54" ref="G17"/>
    <hyperlink r:id="rId55" ref="H17"/>
    <hyperlink r:id="rId56" ref="C18"/>
    <hyperlink r:id="rId57" ref="D18"/>
    <hyperlink r:id="rId58" ref="E18"/>
    <hyperlink r:id="rId59" ref="F18"/>
    <hyperlink r:id="rId60" ref="G18"/>
    <hyperlink r:id="rId61" ref="H18"/>
    <hyperlink r:id="rId62" ref="C19"/>
    <hyperlink r:id="rId63" ref="D19"/>
    <hyperlink r:id="rId64" ref="E19"/>
    <hyperlink r:id="rId65" ref="F19"/>
    <hyperlink r:id="rId66" ref="G19"/>
    <hyperlink r:id="rId67" ref="H19"/>
    <hyperlink r:id="rId68" ref="C20"/>
    <hyperlink r:id="rId69" ref="D20"/>
    <hyperlink r:id="rId70" ref="E20"/>
    <hyperlink r:id="rId71" ref="F20"/>
    <hyperlink r:id="rId72" ref="G20"/>
    <hyperlink r:id="rId73" ref="H20"/>
    <hyperlink r:id="rId74" ref="C21"/>
    <hyperlink r:id="rId75" ref="D21"/>
    <hyperlink r:id="rId76" ref="E21"/>
    <hyperlink r:id="rId77" ref="F21"/>
    <hyperlink r:id="rId78" ref="G21"/>
    <hyperlink r:id="rId79" ref="H21"/>
    <hyperlink r:id="rId80" ref="C22"/>
    <hyperlink r:id="rId81" ref="D22"/>
    <hyperlink r:id="rId82" ref="E22"/>
    <hyperlink r:id="rId83" ref="F22"/>
    <hyperlink r:id="rId84" ref="G22"/>
    <hyperlink r:id="rId85" ref="H22"/>
    <hyperlink r:id="rId86" ref="C23"/>
    <hyperlink r:id="rId87" ref="D23"/>
    <hyperlink r:id="rId88" ref="E23"/>
    <hyperlink r:id="rId89" ref="F23"/>
    <hyperlink r:id="rId90" ref="G23"/>
    <hyperlink r:id="rId91" ref="H23"/>
    <hyperlink r:id="rId92" ref="C24"/>
    <hyperlink r:id="rId93" ref="D24"/>
    <hyperlink r:id="rId94" ref="E24"/>
    <hyperlink r:id="rId95" ref="F24"/>
    <hyperlink r:id="rId96" ref="G24"/>
    <hyperlink r:id="rId97" ref="H24"/>
    <hyperlink r:id="rId98" ref="C25"/>
    <hyperlink r:id="rId99" ref="D25"/>
    <hyperlink r:id="rId100" ref="E25"/>
    <hyperlink r:id="rId101" ref="F25"/>
    <hyperlink r:id="rId102" ref="G25"/>
    <hyperlink r:id="rId103" ref="H25"/>
    <hyperlink r:id="rId104" ref="C26"/>
    <hyperlink r:id="rId105" ref="D26"/>
    <hyperlink r:id="rId106" ref="E26"/>
    <hyperlink r:id="rId107" ref="F26"/>
    <hyperlink r:id="rId108" ref="G26"/>
    <hyperlink r:id="rId109" ref="H26"/>
    <hyperlink r:id="rId110" ref="C27"/>
    <hyperlink r:id="rId111" ref="D27"/>
    <hyperlink r:id="rId112" ref="E27"/>
    <hyperlink r:id="rId113" ref="F27"/>
    <hyperlink r:id="rId114" ref="G27"/>
    <hyperlink r:id="rId115" ref="H27"/>
    <hyperlink r:id="rId116" ref="C28"/>
    <hyperlink r:id="rId117" ref="D28"/>
    <hyperlink r:id="rId118" ref="E28"/>
    <hyperlink r:id="rId119" ref="F28"/>
    <hyperlink r:id="rId120" ref="G28"/>
    <hyperlink r:id="rId121" ref="H28"/>
    <hyperlink r:id="rId122" ref="C29"/>
    <hyperlink r:id="rId123" ref="D29"/>
    <hyperlink r:id="rId124" ref="E29"/>
    <hyperlink r:id="rId125" ref="F29"/>
    <hyperlink r:id="rId126" ref="G29"/>
    <hyperlink r:id="rId127" ref="H29"/>
    <hyperlink r:id="rId128" ref="C30"/>
    <hyperlink r:id="rId129" ref="D30"/>
    <hyperlink r:id="rId130" ref="E30"/>
    <hyperlink r:id="rId131" ref="F30"/>
    <hyperlink r:id="rId132" ref="G30"/>
    <hyperlink r:id="rId133" ref="H30"/>
    <hyperlink r:id="rId134" ref="D31"/>
    <hyperlink r:id="rId135" ref="E31"/>
    <hyperlink r:id="rId136" ref="F31"/>
    <hyperlink r:id="rId137" ref="G31"/>
    <hyperlink r:id="rId138" ref="H31"/>
    <hyperlink r:id="rId139" ref="C32"/>
    <hyperlink r:id="rId140" ref="D32"/>
    <hyperlink r:id="rId141" ref="E32"/>
    <hyperlink r:id="rId142" ref="F32"/>
    <hyperlink r:id="rId143" ref="G32"/>
    <hyperlink r:id="rId144" ref="H32"/>
    <hyperlink r:id="rId145" ref="C33"/>
    <hyperlink r:id="rId146" ref="D33"/>
    <hyperlink r:id="rId147" ref="E33"/>
    <hyperlink r:id="rId148" ref="F33"/>
    <hyperlink r:id="rId149" ref="G33"/>
    <hyperlink r:id="rId150" ref="H33"/>
    <hyperlink r:id="rId151" ref="C34"/>
    <hyperlink r:id="rId152" ref="D34"/>
    <hyperlink r:id="rId153" ref="E34"/>
    <hyperlink r:id="rId154" ref="F34"/>
    <hyperlink r:id="rId155" ref="G34"/>
    <hyperlink r:id="rId156" ref="H34"/>
    <hyperlink r:id="rId157" ref="D35"/>
    <hyperlink r:id="rId158" ref="E35"/>
    <hyperlink r:id="rId159" ref="F35"/>
    <hyperlink r:id="rId160" ref="G35"/>
    <hyperlink r:id="rId161" ref="H35"/>
    <hyperlink r:id="rId162" ref="C36"/>
    <hyperlink r:id="rId163" ref="D36"/>
    <hyperlink r:id="rId164" ref="E36"/>
    <hyperlink r:id="rId165" ref="F36"/>
    <hyperlink r:id="rId166" ref="G36"/>
    <hyperlink r:id="rId167" ref="H36"/>
    <hyperlink r:id="rId168" ref="C37"/>
    <hyperlink r:id="rId169" ref="D37"/>
    <hyperlink r:id="rId170" ref="E37"/>
    <hyperlink r:id="rId171" ref="F37"/>
    <hyperlink r:id="rId172" ref="G37"/>
    <hyperlink r:id="rId173" ref="H37"/>
    <hyperlink r:id="rId174" ref="C38"/>
    <hyperlink r:id="rId175" ref="D38"/>
    <hyperlink r:id="rId176" ref="E38"/>
    <hyperlink r:id="rId177" ref="F38"/>
    <hyperlink r:id="rId178" ref="G38"/>
    <hyperlink r:id="rId179" ref="H38"/>
    <hyperlink r:id="rId180" ref="C39"/>
    <hyperlink r:id="rId181" ref="D39"/>
    <hyperlink r:id="rId182" ref="E39"/>
    <hyperlink r:id="rId183" ref="F39"/>
    <hyperlink r:id="rId184" ref="G39"/>
    <hyperlink r:id="rId185" ref="H39"/>
    <hyperlink r:id="rId186" ref="C40"/>
    <hyperlink r:id="rId187" ref="D40"/>
    <hyperlink r:id="rId188" ref="E40"/>
    <hyperlink r:id="rId189" ref="F40"/>
    <hyperlink r:id="rId190" ref="G40"/>
    <hyperlink r:id="rId191" ref="H40"/>
    <hyperlink r:id="rId192" ref="C41"/>
    <hyperlink r:id="rId193" ref="D41"/>
    <hyperlink r:id="rId194" ref="E41"/>
    <hyperlink r:id="rId195" ref="F41"/>
    <hyperlink r:id="rId196" ref="G41"/>
    <hyperlink r:id="rId197" ref="H41"/>
    <hyperlink r:id="rId198" ref="C42"/>
    <hyperlink r:id="rId199" ref="D42"/>
    <hyperlink r:id="rId200" ref="E42"/>
    <hyperlink r:id="rId201" ref="F42"/>
    <hyperlink r:id="rId202" ref="G42"/>
    <hyperlink r:id="rId203" ref="H42"/>
    <hyperlink r:id="rId204" ref="D43"/>
    <hyperlink r:id="rId205" ref="E43"/>
    <hyperlink r:id="rId206" ref="F43"/>
    <hyperlink r:id="rId207" ref="G43"/>
    <hyperlink r:id="rId208" ref="H43"/>
    <hyperlink r:id="rId209" ref="D44"/>
    <hyperlink r:id="rId210" ref="E44"/>
    <hyperlink r:id="rId211" ref="F44"/>
    <hyperlink r:id="rId212" ref="G44"/>
    <hyperlink r:id="rId213" ref="H44"/>
    <hyperlink r:id="rId214" ref="D45"/>
    <hyperlink r:id="rId215" ref="E45"/>
    <hyperlink r:id="rId216" ref="F45"/>
    <hyperlink r:id="rId217" ref="G45"/>
    <hyperlink r:id="rId218" ref="H45"/>
    <hyperlink r:id="rId219" ref="C46"/>
    <hyperlink r:id="rId220" ref="D46"/>
    <hyperlink r:id="rId221" ref="E46"/>
    <hyperlink r:id="rId222" ref="F46"/>
    <hyperlink r:id="rId223" ref="G46"/>
    <hyperlink r:id="rId224" ref="H46"/>
    <hyperlink r:id="rId225" ref="D47"/>
    <hyperlink r:id="rId226" ref="E47"/>
    <hyperlink r:id="rId227" ref="F47"/>
    <hyperlink r:id="rId228" ref="G47"/>
    <hyperlink r:id="rId229" ref="H47"/>
    <hyperlink r:id="rId230" ref="C48"/>
    <hyperlink r:id="rId231" ref="D48"/>
    <hyperlink r:id="rId232" ref="E48"/>
    <hyperlink r:id="rId233" ref="F48"/>
    <hyperlink r:id="rId234" ref="G48"/>
    <hyperlink r:id="rId235" ref="H48"/>
    <hyperlink r:id="rId236" ref="C49"/>
    <hyperlink r:id="rId237" ref="D49"/>
    <hyperlink r:id="rId238" ref="E49"/>
    <hyperlink r:id="rId239" ref="F49"/>
    <hyperlink r:id="rId240" ref="G49"/>
    <hyperlink r:id="rId241" ref="H49"/>
    <hyperlink r:id="rId242" ref="C50"/>
    <hyperlink r:id="rId243" ref="D50"/>
    <hyperlink r:id="rId244" ref="E50"/>
    <hyperlink r:id="rId245" ref="F50"/>
    <hyperlink r:id="rId246" ref="G50"/>
    <hyperlink r:id="rId247" ref="H50"/>
    <hyperlink r:id="rId248" ref="C51"/>
    <hyperlink r:id="rId249" ref="D51"/>
    <hyperlink r:id="rId250" ref="E51"/>
    <hyperlink r:id="rId251" ref="F51"/>
    <hyperlink r:id="rId252" ref="G51"/>
    <hyperlink r:id="rId253" ref="H51"/>
    <hyperlink r:id="rId254" ref="C52"/>
    <hyperlink r:id="rId255" ref="D52"/>
    <hyperlink r:id="rId256" ref="E52"/>
    <hyperlink r:id="rId257" ref="F52"/>
    <hyperlink r:id="rId258" ref="G52"/>
    <hyperlink r:id="rId259" ref="H52"/>
    <hyperlink r:id="rId260" ref="C53"/>
    <hyperlink r:id="rId261" ref="D53"/>
    <hyperlink r:id="rId262" ref="E53"/>
    <hyperlink r:id="rId263" ref="F53"/>
    <hyperlink r:id="rId264" ref="G53"/>
    <hyperlink r:id="rId265" ref="H53"/>
    <hyperlink r:id="rId266" ref="C54"/>
    <hyperlink r:id="rId267" ref="D54"/>
    <hyperlink r:id="rId268" ref="E54"/>
    <hyperlink r:id="rId269" ref="F54"/>
    <hyperlink r:id="rId270" ref="G54"/>
    <hyperlink r:id="rId271" ref="H54"/>
    <hyperlink r:id="rId272" ref="C55"/>
    <hyperlink r:id="rId273" ref="D55"/>
    <hyperlink r:id="rId274" ref="E55"/>
    <hyperlink r:id="rId275" ref="F55"/>
    <hyperlink r:id="rId276" ref="G55"/>
    <hyperlink r:id="rId277" ref="H55"/>
    <hyperlink r:id="rId278" ref="C56"/>
    <hyperlink r:id="rId279" ref="D56"/>
    <hyperlink r:id="rId280" ref="E56"/>
    <hyperlink r:id="rId281" ref="F56"/>
    <hyperlink r:id="rId282" ref="G56"/>
    <hyperlink r:id="rId283" ref="H56"/>
    <hyperlink r:id="rId284" ref="C57"/>
    <hyperlink r:id="rId285" ref="D57"/>
    <hyperlink r:id="rId286" ref="E57"/>
    <hyperlink r:id="rId287" ref="F57"/>
    <hyperlink r:id="rId288" ref="G57"/>
    <hyperlink r:id="rId289" ref="H57"/>
    <hyperlink r:id="rId290" ref="C58"/>
    <hyperlink r:id="rId291" ref="D58"/>
    <hyperlink r:id="rId292" ref="E58"/>
    <hyperlink r:id="rId293" ref="F58"/>
    <hyperlink r:id="rId294" ref="G58"/>
    <hyperlink r:id="rId295" ref="H58"/>
    <hyperlink r:id="rId296" ref="C59"/>
    <hyperlink r:id="rId297" ref="D59"/>
    <hyperlink r:id="rId298" ref="E59"/>
    <hyperlink r:id="rId299" ref="F59"/>
    <hyperlink r:id="rId300" ref="G59"/>
    <hyperlink r:id="rId301" ref="H59"/>
    <hyperlink r:id="rId302" ref="C60"/>
    <hyperlink r:id="rId303" ref="D60"/>
    <hyperlink r:id="rId304" ref="E60"/>
    <hyperlink r:id="rId305" ref="F60"/>
    <hyperlink r:id="rId306" ref="G60"/>
    <hyperlink r:id="rId307" ref="H60"/>
    <hyperlink r:id="rId308" ref="C61"/>
    <hyperlink r:id="rId309" ref="D61"/>
    <hyperlink r:id="rId310" ref="E61"/>
    <hyperlink r:id="rId311" ref="F61"/>
    <hyperlink r:id="rId312" ref="G61"/>
    <hyperlink r:id="rId313" ref="H61"/>
    <hyperlink r:id="rId314" ref="C62"/>
    <hyperlink r:id="rId315" ref="D62"/>
    <hyperlink r:id="rId316" ref="E62"/>
    <hyperlink r:id="rId317" ref="F62"/>
    <hyperlink r:id="rId318" ref="G62"/>
    <hyperlink r:id="rId319" ref="H62"/>
    <hyperlink r:id="rId320" ref="C63"/>
    <hyperlink r:id="rId321" ref="D63"/>
    <hyperlink r:id="rId322" ref="E63"/>
    <hyperlink r:id="rId323" ref="F63"/>
    <hyperlink r:id="rId324" ref="G63"/>
    <hyperlink r:id="rId325" ref="H63"/>
    <hyperlink r:id="rId326" ref="C64"/>
    <hyperlink r:id="rId327" ref="D64"/>
    <hyperlink r:id="rId328" ref="E64"/>
    <hyperlink r:id="rId329" ref="F64"/>
    <hyperlink r:id="rId330" ref="G64"/>
    <hyperlink r:id="rId331" ref="H64"/>
    <hyperlink r:id="rId332" ref="D65"/>
    <hyperlink r:id="rId333" ref="E65"/>
    <hyperlink r:id="rId334" ref="F65"/>
    <hyperlink r:id="rId335" ref="G65"/>
    <hyperlink r:id="rId336" ref="H65"/>
    <hyperlink r:id="rId337" ref="D66"/>
    <hyperlink r:id="rId338" ref="E66"/>
    <hyperlink r:id="rId339" ref="F66"/>
    <hyperlink r:id="rId340" ref="G66"/>
    <hyperlink r:id="rId341" ref="H66"/>
    <hyperlink r:id="rId342" ref="C67"/>
    <hyperlink r:id="rId343" ref="D67"/>
    <hyperlink r:id="rId344" ref="E67"/>
    <hyperlink r:id="rId345" ref="F67"/>
    <hyperlink r:id="rId346" ref="G67"/>
    <hyperlink r:id="rId347" ref="H67"/>
    <hyperlink r:id="rId348" ref="C68"/>
    <hyperlink r:id="rId349" ref="D68"/>
    <hyperlink r:id="rId350" ref="E68"/>
    <hyperlink r:id="rId351" ref="F68"/>
    <hyperlink r:id="rId352" ref="G68"/>
    <hyperlink r:id="rId353" ref="H68"/>
    <hyperlink r:id="rId354" ref="C69"/>
    <hyperlink r:id="rId355" ref="D69"/>
    <hyperlink r:id="rId356" ref="E69"/>
    <hyperlink r:id="rId357" ref="F69"/>
    <hyperlink r:id="rId358" ref="G69"/>
    <hyperlink r:id="rId359" ref="H69"/>
    <hyperlink r:id="rId360" ref="C70"/>
    <hyperlink r:id="rId361" ref="D70"/>
    <hyperlink r:id="rId362" ref="E70"/>
    <hyperlink r:id="rId363" ref="F70"/>
    <hyperlink r:id="rId364" ref="G70"/>
    <hyperlink r:id="rId365" ref="H70"/>
    <hyperlink r:id="rId366" ref="C71"/>
    <hyperlink r:id="rId367" ref="D71"/>
    <hyperlink r:id="rId368" ref="E71"/>
    <hyperlink r:id="rId369" ref="F71"/>
    <hyperlink r:id="rId370" ref="G71"/>
    <hyperlink r:id="rId371" ref="H71"/>
    <hyperlink r:id="rId372" ref="C72"/>
    <hyperlink r:id="rId373" ref="D72"/>
    <hyperlink r:id="rId374" ref="E72"/>
    <hyperlink r:id="rId375" ref="F72"/>
    <hyperlink r:id="rId376" ref="G72"/>
    <hyperlink r:id="rId377" ref="H72"/>
    <hyperlink r:id="rId378" ref="C73"/>
    <hyperlink r:id="rId379" ref="D73"/>
    <hyperlink r:id="rId380" ref="E73"/>
    <hyperlink r:id="rId381" ref="F73"/>
    <hyperlink r:id="rId382" ref="G73"/>
    <hyperlink r:id="rId383" ref="H73"/>
    <hyperlink r:id="rId384" ref="C74"/>
    <hyperlink r:id="rId385" ref="D74"/>
    <hyperlink r:id="rId386" ref="E74"/>
    <hyperlink r:id="rId387" ref="F74"/>
    <hyperlink r:id="rId388" ref="G74"/>
    <hyperlink r:id="rId389" ref="H74"/>
    <hyperlink r:id="rId390" ref="C75"/>
    <hyperlink r:id="rId391" ref="D75"/>
    <hyperlink r:id="rId392" ref="E75"/>
    <hyperlink r:id="rId393" ref="F75"/>
    <hyperlink r:id="rId394" ref="G75"/>
    <hyperlink r:id="rId395" ref="H75"/>
    <hyperlink r:id="rId396" ref="C76"/>
    <hyperlink r:id="rId397" ref="D76"/>
    <hyperlink r:id="rId398" ref="E76"/>
    <hyperlink r:id="rId399" ref="F76"/>
    <hyperlink r:id="rId400" ref="G76"/>
    <hyperlink r:id="rId401" ref="H76"/>
    <hyperlink r:id="rId402" ref="C77"/>
    <hyperlink r:id="rId403" ref="D77"/>
    <hyperlink r:id="rId404" ref="E77"/>
    <hyperlink r:id="rId405" ref="F77"/>
    <hyperlink r:id="rId406" ref="G77"/>
    <hyperlink r:id="rId407" ref="H77"/>
    <hyperlink r:id="rId408" ref="C78"/>
    <hyperlink r:id="rId409" ref="D78"/>
    <hyperlink r:id="rId410" ref="E78"/>
    <hyperlink r:id="rId411" ref="F78"/>
    <hyperlink r:id="rId412" ref="G78"/>
    <hyperlink r:id="rId413" ref="H78"/>
    <hyperlink r:id="rId414" ref="C79"/>
    <hyperlink r:id="rId415" ref="D79"/>
    <hyperlink r:id="rId416" ref="E79"/>
    <hyperlink r:id="rId417" ref="F79"/>
    <hyperlink r:id="rId418" ref="G79"/>
    <hyperlink r:id="rId419" ref="H79"/>
    <hyperlink r:id="rId420" ref="D80"/>
    <hyperlink r:id="rId421" ref="E80"/>
    <hyperlink r:id="rId422" ref="F80"/>
    <hyperlink r:id="rId423" ref="G80"/>
    <hyperlink r:id="rId424" ref="D81"/>
    <hyperlink r:id="rId425" ref="E81"/>
    <hyperlink r:id="rId426" ref="F81"/>
    <hyperlink r:id="rId427" ref="G81"/>
    <hyperlink r:id="rId428" ref="H81"/>
    <hyperlink r:id="rId429" ref="C82"/>
    <hyperlink r:id="rId430" ref="D82"/>
    <hyperlink r:id="rId431" ref="E82"/>
    <hyperlink r:id="rId432" ref="F82"/>
    <hyperlink r:id="rId433" ref="G82"/>
    <hyperlink r:id="rId434" ref="H82"/>
    <hyperlink r:id="rId435" ref="C83"/>
    <hyperlink r:id="rId436" ref="D83"/>
    <hyperlink r:id="rId437" ref="E83"/>
    <hyperlink r:id="rId438" ref="F83"/>
    <hyperlink r:id="rId439" ref="G83"/>
    <hyperlink r:id="rId440" ref="H83"/>
    <hyperlink r:id="rId441" ref="D84"/>
    <hyperlink r:id="rId442" ref="E84"/>
    <hyperlink r:id="rId443" ref="F84"/>
    <hyperlink r:id="rId444" ref="G84"/>
    <hyperlink r:id="rId445" ref="H84"/>
    <hyperlink r:id="rId446" ref="C85"/>
    <hyperlink r:id="rId447" ref="D85"/>
    <hyperlink r:id="rId448" ref="E85"/>
    <hyperlink r:id="rId449" ref="F85"/>
    <hyperlink r:id="rId450" ref="G85"/>
    <hyperlink r:id="rId451" ref="H85"/>
    <hyperlink r:id="rId452" ref="C86"/>
    <hyperlink r:id="rId453" ref="D86"/>
    <hyperlink r:id="rId454" ref="E86"/>
    <hyperlink r:id="rId455" ref="F86"/>
    <hyperlink r:id="rId456" ref="G86"/>
    <hyperlink r:id="rId457" ref="H86"/>
    <hyperlink r:id="rId458" ref="C87"/>
    <hyperlink r:id="rId459" ref="D87"/>
    <hyperlink r:id="rId460" ref="E87"/>
    <hyperlink r:id="rId461" ref="F87"/>
    <hyperlink r:id="rId462" ref="G87"/>
    <hyperlink r:id="rId463" ref="H87"/>
    <hyperlink r:id="rId464" ref="C88"/>
    <hyperlink r:id="rId465" ref="D88"/>
    <hyperlink r:id="rId466" ref="E88"/>
    <hyperlink r:id="rId467" ref="F88"/>
    <hyperlink r:id="rId468" ref="G88"/>
    <hyperlink r:id="rId469" ref="H88"/>
    <hyperlink r:id="rId470" location="cite_note-3" ref="J88"/>
    <hyperlink r:id="rId471" ref="D89"/>
    <hyperlink r:id="rId472" ref="E89"/>
    <hyperlink r:id="rId473" ref="F89"/>
    <hyperlink r:id="rId474" ref="G89"/>
    <hyperlink r:id="rId475" ref="H89"/>
    <hyperlink r:id="rId476" ref="D90"/>
    <hyperlink r:id="rId477" ref="E90"/>
    <hyperlink r:id="rId478" ref="F90"/>
    <hyperlink r:id="rId479" ref="G90"/>
    <hyperlink r:id="rId480" ref="H90"/>
    <hyperlink r:id="rId481" ref="C91"/>
    <hyperlink r:id="rId482" ref="D91"/>
    <hyperlink r:id="rId483" ref="E91"/>
    <hyperlink r:id="rId484" ref="F91"/>
    <hyperlink r:id="rId485" ref="G91"/>
    <hyperlink r:id="rId486" ref="H91"/>
    <hyperlink r:id="rId487" ref="C92"/>
    <hyperlink r:id="rId488" ref="D92"/>
    <hyperlink r:id="rId489" ref="E92"/>
    <hyperlink r:id="rId490" ref="F92"/>
    <hyperlink r:id="rId491" ref="G92"/>
    <hyperlink r:id="rId492" ref="H92"/>
    <hyperlink r:id="rId493" ref="C93"/>
    <hyperlink r:id="rId494" ref="D93"/>
    <hyperlink r:id="rId495" ref="E93"/>
    <hyperlink r:id="rId496" ref="F93"/>
    <hyperlink r:id="rId497" ref="G93"/>
    <hyperlink r:id="rId498" ref="H93"/>
    <hyperlink r:id="rId499" ref="C94"/>
    <hyperlink r:id="rId500" ref="D94"/>
    <hyperlink r:id="rId501" ref="E94"/>
    <hyperlink r:id="rId502" ref="F94"/>
    <hyperlink r:id="rId503" ref="G94"/>
    <hyperlink r:id="rId504" ref="H94"/>
    <hyperlink r:id="rId505" ref="E95"/>
    <hyperlink r:id="rId506" ref="F95"/>
    <hyperlink r:id="rId507" ref="G95"/>
    <hyperlink r:id="rId508" ref="H95"/>
    <hyperlink r:id="rId509" location="cite_note-5" ref="J95"/>
    <hyperlink r:id="rId510" ref="C96"/>
    <hyperlink r:id="rId511" ref="D96"/>
    <hyperlink r:id="rId512" ref="E96"/>
    <hyperlink r:id="rId513" ref="F96"/>
    <hyperlink r:id="rId514" ref="G96"/>
    <hyperlink r:id="rId515" ref="H96"/>
    <hyperlink r:id="rId516" ref="D97"/>
    <hyperlink r:id="rId517" ref="E97"/>
    <hyperlink r:id="rId518" ref="F97"/>
    <hyperlink r:id="rId519" ref="G97"/>
    <hyperlink r:id="rId520" ref="H97"/>
    <hyperlink r:id="rId521" ref="C98"/>
    <hyperlink r:id="rId522" ref="D98"/>
    <hyperlink r:id="rId523" ref="E98"/>
    <hyperlink r:id="rId524" ref="F98"/>
    <hyperlink r:id="rId525" ref="G98"/>
    <hyperlink r:id="rId526" ref="H98"/>
    <hyperlink r:id="rId527" ref="C99"/>
    <hyperlink r:id="rId528" ref="D99"/>
    <hyperlink r:id="rId529" ref="E99"/>
    <hyperlink r:id="rId530" ref="F99"/>
    <hyperlink r:id="rId531" ref="G99"/>
    <hyperlink r:id="rId532" ref="H99"/>
    <hyperlink r:id="rId533" ref="D100"/>
    <hyperlink r:id="rId534" ref="E100"/>
    <hyperlink r:id="rId535" ref="F100"/>
    <hyperlink r:id="rId536" ref="G100"/>
    <hyperlink r:id="rId537" ref="H100"/>
    <hyperlink r:id="rId538" ref="C101"/>
    <hyperlink r:id="rId539" ref="D101"/>
    <hyperlink r:id="rId540" ref="E101"/>
    <hyperlink r:id="rId541" ref="F101"/>
    <hyperlink r:id="rId542" ref="G101"/>
    <hyperlink r:id="rId543" ref="H101"/>
    <hyperlink r:id="rId544" ref="D102"/>
    <hyperlink r:id="rId545" ref="E102"/>
    <hyperlink r:id="rId546" ref="F102"/>
    <hyperlink r:id="rId547" ref="G102"/>
    <hyperlink r:id="rId548" ref="H102"/>
    <hyperlink r:id="rId549" ref="C103"/>
    <hyperlink r:id="rId550" ref="D103"/>
    <hyperlink r:id="rId551" ref="E103"/>
    <hyperlink r:id="rId552" ref="F103"/>
    <hyperlink r:id="rId553" ref="G103"/>
    <hyperlink r:id="rId554" ref="H103"/>
    <hyperlink r:id="rId555" ref="C104"/>
    <hyperlink r:id="rId556" ref="D104"/>
    <hyperlink r:id="rId557" ref="E104"/>
    <hyperlink r:id="rId558" ref="F104"/>
    <hyperlink r:id="rId559" ref="G104"/>
    <hyperlink r:id="rId560" ref="H104"/>
    <hyperlink r:id="rId561" ref="C105"/>
    <hyperlink r:id="rId562" ref="D105"/>
    <hyperlink r:id="rId563" ref="E105"/>
    <hyperlink r:id="rId564" ref="F105"/>
    <hyperlink r:id="rId565" ref="G105"/>
    <hyperlink r:id="rId566" ref="H105"/>
    <hyperlink r:id="rId567" ref="D106"/>
    <hyperlink r:id="rId568" ref="E106"/>
    <hyperlink r:id="rId569" ref="F106"/>
    <hyperlink r:id="rId570" ref="G106"/>
    <hyperlink r:id="rId571" ref="H106"/>
    <hyperlink r:id="rId572" ref="C107"/>
    <hyperlink r:id="rId573" ref="D107"/>
    <hyperlink r:id="rId574" ref="E107"/>
    <hyperlink r:id="rId575" ref="F107"/>
    <hyperlink r:id="rId576" ref="G107"/>
    <hyperlink r:id="rId577" ref="H107"/>
    <hyperlink r:id="rId578" ref="D108"/>
    <hyperlink r:id="rId579" ref="E108"/>
    <hyperlink r:id="rId580" ref="F108"/>
    <hyperlink r:id="rId581" ref="G108"/>
    <hyperlink r:id="rId582" ref="H108"/>
    <hyperlink r:id="rId583" ref="C109"/>
    <hyperlink r:id="rId584" ref="D109"/>
    <hyperlink r:id="rId585" ref="E109"/>
    <hyperlink r:id="rId586" ref="F109"/>
    <hyperlink r:id="rId587" ref="G109"/>
    <hyperlink r:id="rId588" ref="H109"/>
    <hyperlink r:id="rId589" ref="D110"/>
    <hyperlink r:id="rId590" ref="E110"/>
    <hyperlink r:id="rId591" ref="F110"/>
    <hyperlink r:id="rId592" ref="G110"/>
    <hyperlink r:id="rId593" ref="H110"/>
    <hyperlink r:id="rId594" ref="C111"/>
    <hyperlink r:id="rId595" ref="D111"/>
    <hyperlink r:id="rId596" ref="E111"/>
    <hyperlink r:id="rId597" ref="F111"/>
    <hyperlink r:id="rId598" ref="G111"/>
    <hyperlink r:id="rId599" ref="H111"/>
    <hyperlink r:id="rId600" ref="D112"/>
    <hyperlink r:id="rId601" ref="E112"/>
    <hyperlink r:id="rId602" ref="F112"/>
    <hyperlink r:id="rId603" ref="G112"/>
    <hyperlink r:id="rId604" ref="H112"/>
    <hyperlink r:id="rId605" ref="C113"/>
    <hyperlink r:id="rId606" ref="D113"/>
    <hyperlink r:id="rId607" ref="E113"/>
    <hyperlink r:id="rId608" ref="F113"/>
    <hyperlink r:id="rId609" ref="G113"/>
    <hyperlink r:id="rId610" ref="H113"/>
    <hyperlink r:id="rId611" ref="D114"/>
    <hyperlink r:id="rId612" ref="E114"/>
    <hyperlink r:id="rId613" ref="F114"/>
    <hyperlink r:id="rId614" location="Athletics" ref="G114"/>
    <hyperlink r:id="rId615" ref="H114"/>
    <hyperlink r:id="rId616" location="cite_note-6" ref="J114"/>
    <hyperlink r:id="rId617" ref="C115"/>
    <hyperlink r:id="rId618" ref="D115"/>
    <hyperlink r:id="rId619" ref="E115"/>
    <hyperlink r:id="rId620" ref="F115"/>
    <hyperlink r:id="rId621" ref="G115"/>
    <hyperlink r:id="rId622" ref="H115"/>
    <hyperlink r:id="rId623" ref="D116"/>
    <hyperlink r:id="rId624" ref="E116"/>
    <hyperlink r:id="rId625" ref="F116"/>
    <hyperlink r:id="rId626" ref="G116"/>
    <hyperlink r:id="rId627" ref="H116"/>
    <hyperlink r:id="rId628" ref="C117"/>
    <hyperlink r:id="rId629" ref="D117"/>
    <hyperlink r:id="rId630" ref="E117"/>
    <hyperlink r:id="rId631" ref="F117"/>
    <hyperlink r:id="rId632" ref="G117"/>
    <hyperlink r:id="rId633" ref="H117"/>
    <hyperlink r:id="rId634" ref="D118"/>
    <hyperlink r:id="rId635" ref="E118"/>
    <hyperlink r:id="rId636" ref="F118"/>
    <hyperlink r:id="rId637" ref="G118"/>
    <hyperlink r:id="rId638" ref="H118"/>
    <hyperlink r:id="rId639" ref="C119"/>
    <hyperlink r:id="rId640" ref="D119"/>
    <hyperlink r:id="rId641" ref="E119"/>
    <hyperlink r:id="rId642" ref="F119"/>
    <hyperlink r:id="rId643" ref="G119"/>
    <hyperlink r:id="rId644" ref="H119"/>
    <hyperlink r:id="rId645" ref="C120"/>
    <hyperlink r:id="rId646" ref="D120"/>
    <hyperlink r:id="rId647" ref="E120"/>
    <hyperlink r:id="rId648" ref="F120"/>
    <hyperlink r:id="rId649" ref="G120"/>
    <hyperlink r:id="rId650" ref="H120"/>
    <hyperlink r:id="rId651" ref="C121"/>
    <hyperlink r:id="rId652" ref="D121"/>
    <hyperlink r:id="rId653" ref="E121"/>
    <hyperlink r:id="rId654" ref="F121"/>
    <hyperlink r:id="rId655" ref="G121"/>
    <hyperlink r:id="rId656" ref="H121"/>
    <hyperlink r:id="rId657" ref="C122"/>
    <hyperlink r:id="rId658" ref="D122"/>
    <hyperlink r:id="rId659" ref="E122"/>
    <hyperlink r:id="rId660" ref="F122"/>
    <hyperlink r:id="rId661" ref="G122"/>
    <hyperlink r:id="rId662" ref="H122"/>
    <hyperlink r:id="rId663" ref="D123"/>
    <hyperlink r:id="rId664" ref="E123"/>
    <hyperlink r:id="rId665" ref="F123"/>
    <hyperlink r:id="rId666" ref="G123"/>
    <hyperlink r:id="rId667" ref="H123"/>
    <hyperlink r:id="rId668" ref="C124"/>
    <hyperlink r:id="rId669" ref="D124"/>
    <hyperlink r:id="rId670" ref="E124"/>
    <hyperlink r:id="rId671" ref="F124"/>
    <hyperlink r:id="rId672" ref="G124"/>
    <hyperlink r:id="rId673" ref="H124"/>
    <hyperlink r:id="rId674" ref="D125"/>
    <hyperlink r:id="rId675" ref="E125"/>
    <hyperlink r:id="rId676" ref="F125"/>
    <hyperlink r:id="rId677" ref="G125"/>
    <hyperlink r:id="rId678" ref="H125"/>
    <hyperlink r:id="rId679" ref="C126"/>
    <hyperlink r:id="rId680" ref="D126"/>
    <hyperlink r:id="rId681" ref="E126"/>
    <hyperlink r:id="rId682" ref="F126"/>
    <hyperlink r:id="rId683" ref="G126"/>
    <hyperlink r:id="rId684" ref="H126"/>
    <hyperlink r:id="rId685" ref="C127"/>
    <hyperlink r:id="rId686" ref="D127"/>
    <hyperlink r:id="rId687" ref="E127"/>
    <hyperlink r:id="rId688" ref="F127"/>
    <hyperlink r:id="rId689" ref="G127"/>
    <hyperlink r:id="rId690" ref="H127"/>
    <hyperlink r:id="rId691" ref="D128"/>
    <hyperlink r:id="rId692" ref="E128"/>
    <hyperlink r:id="rId693" ref="F128"/>
    <hyperlink r:id="rId694" ref="G128"/>
    <hyperlink r:id="rId695" ref="H128"/>
    <hyperlink r:id="rId696" ref="C129"/>
    <hyperlink r:id="rId697" ref="D129"/>
    <hyperlink r:id="rId698" ref="E129"/>
    <hyperlink r:id="rId699" ref="F129"/>
    <hyperlink r:id="rId700" ref="G129"/>
    <hyperlink r:id="rId701" ref="H129"/>
    <hyperlink r:id="rId702" ref="C130"/>
    <hyperlink r:id="rId703" ref="D130"/>
    <hyperlink r:id="rId704" ref="E130"/>
    <hyperlink r:id="rId705" ref="F130"/>
    <hyperlink r:id="rId706" ref="G130"/>
    <hyperlink r:id="rId707" ref="H130"/>
    <hyperlink r:id="rId708" ref="C131"/>
    <hyperlink r:id="rId709" ref="D131"/>
    <hyperlink r:id="rId710" ref="E131"/>
    <hyperlink r:id="rId711" ref="F131"/>
    <hyperlink r:id="rId712" ref="G131"/>
    <hyperlink r:id="rId713" ref="H131"/>
    <hyperlink r:id="rId714" location="cite_note-7" ref="J131"/>
    <hyperlink r:id="rId715" ref="C132"/>
    <hyperlink r:id="rId716" ref="D132"/>
    <hyperlink r:id="rId717" ref="E132"/>
    <hyperlink r:id="rId718" ref="F132"/>
    <hyperlink r:id="rId719" location="Athletics" ref="G132"/>
    <hyperlink r:id="rId720" ref="H132"/>
    <hyperlink r:id="rId721" ref="D133"/>
    <hyperlink r:id="rId722" ref="E133"/>
    <hyperlink r:id="rId723" ref="F133"/>
    <hyperlink r:id="rId724" ref="G133"/>
    <hyperlink r:id="rId725" ref="H133"/>
    <hyperlink r:id="rId726" ref="D134"/>
    <hyperlink r:id="rId727" ref="E134"/>
    <hyperlink r:id="rId728" ref="F134"/>
    <hyperlink r:id="rId729" ref="G134"/>
    <hyperlink r:id="rId730" ref="H134"/>
    <hyperlink r:id="rId731" ref="C135"/>
    <hyperlink r:id="rId732" ref="D135"/>
    <hyperlink r:id="rId733" ref="E135"/>
    <hyperlink r:id="rId734" ref="F135"/>
    <hyperlink r:id="rId735" ref="G135"/>
    <hyperlink r:id="rId736" ref="H135"/>
    <hyperlink r:id="rId737" ref="D136"/>
    <hyperlink r:id="rId738" ref="E136"/>
    <hyperlink r:id="rId739" ref="F136"/>
    <hyperlink r:id="rId740" ref="G136"/>
    <hyperlink r:id="rId741" ref="H136"/>
    <hyperlink r:id="rId742" ref="C137"/>
    <hyperlink r:id="rId743" ref="D137"/>
    <hyperlink r:id="rId744" ref="E137"/>
    <hyperlink r:id="rId745" ref="F137"/>
    <hyperlink r:id="rId746" ref="G137"/>
    <hyperlink r:id="rId747" ref="H137"/>
    <hyperlink r:id="rId748" ref="D138"/>
    <hyperlink r:id="rId749" ref="E138"/>
    <hyperlink r:id="rId750" ref="F138"/>
    <hyperlink r:id="rId751" ref="G138"/>
    <hyperlink r:id="rId752" ref="H138"/>
    <hyperlink r:id="rId753" ref="D139"/>
    <hyperlink r:id="rId754" ref="E139"/>
    <hyperlink r:id="rId755" ref="F139"/>
    <hyperlink r:id="rId756" ref="G139"/>
    <hyperlink r:id="rId757" ref="H139"/>
    <hyperlink r:id="rId758" ref="D140"/>
    <hyperlink r:id="rId759" ref="E140"/>
    <hyperlink r:id="rId760" ref="F140"/>
    <hyperlink r:id="rId761" ref="G140"/>
    <hyperlink r:id="rId762" ref="H140"/>
    <hyperlink r:id="rId763" ref="D141"/>
    <hyperlink r:id="rId764" ref="E141"/>
    <hyperlink r:id="rId765" ref="F141"/>
    <hyperlink r:id="rId766" ref="G141"/>
    <hyperlink r:id="rId767" ref="H141"/>
    <hyperlink r:id="rId768" ref="C142"/>
    <hyperlink r:id="rId769" ref="D142"/>
    <hyperlink r:id="rId770" ref="E142"/>
    <hyperlink r:id="rId771" ref="F142"/>
    <hyperlink r:id="rId772" ref="G142"/>
    <hyperlink r:id="rId773" ref="H142"/>
    <hyperlink r:id="rId774" ref="C143"/>
    <hyperlink r:id="rId775" ref="D143"/>
    <hyperlink r:id="rId776" ref="E143"/>
    <hyperlink r:id="rId777" ref="F143"/>
    <hyperlink r:id="rId778" ref="G143"/>
    <hyperlink r:id="rId779" ref="H143"/>
    <hyperlink r:id="rId780" ref="D144"/>
    <hyperlink r:id="rId781" ref="E144"/>
    <hyperlink r:id="rId782" ref="F144"/>
    <hyperlink r:id="rId783" ref="G144"/>
    <hyperlink r:id="rId784" ref="H144"/>
    <hyperlink r:id="rId785" ref="D145"/>
    <hyperlink r:id="rId786" ref="E145"/>
    <hyperlink r:id="rId787" ref="F145"/>
    <hyperlink r:id="rId788" ref="G145"/>
    <hyperlink r:id="rId789" ref="H145"/>
    <hyperlink r:id="rId790" ref="C146"/>
    <hyperlink r:id="rId791" ref="D146"/>
    <hyperlink r:id="rId792" ref="E146"/>
    <hyperlink r:id="rId793" ref="F146"/>
    <hyperlink r:id="rId794" ref="G146"/>
    <hyperlink r:id="rId795" ref="H146"/>
    <hyperlink r:id="rId796" ref="D147"/>
    <hyperlink r:id="rId797" ref="E147"/>
    <hyperlink r:id="rId798" ref="F147"/>
    <hyperlink r:id="rId799" ref="G147"/>
    <hyperlink r:id="rId800" ref="H147"/>
    <hyperlink r:id="rId801" ref="C148"/>
    <hyperlink r:id="rId802" ref="D148"/>
    <hyperlink r:id="rId803" ref="E148"/>
    <hyperlink r:id="rId804" ref="F148"/>
    <hyperlink r:id="rId805" ref="G148"/>
    <hyperlink r:id="rId806" ref="H148"/>
    <hyperlink r:id="rId807" ref="D149"/>
    <hyperlink r:id="rId808" ref="E149"/>
    <hyperlink r:id="rId809" ref="F149"/>
    <hyperlink r:id="rId810" ref="G149"/>
    <hyperlink r:id="rId811" ref="H149"/>
    <hyperlink r:id="rId812" ref="D150"/>
    <hyperlink r:id="rId813" ref="E150"/>
    <hyperlink r:id="rId814" ref="F150"/>
    <hyperlink r:id="rId815" ref="G150"/>
    <hyperlink r:id="rId816" ref="H150"/>
    <hyperlink r:id="rId817" ref="E151"/>
    <hyperlink r:id="rId818" ref="F151"/>
    <hyperlink r:id="rId819" ref="G151"/>
    <hyperlink r:id="rId820" ref="H151"/>
    <hyperlink r:id="rId821" location="cite_note-9" ref="J151"/>
    <hyperlink r:id="rId822" ref="E152"/>
    <hyperlink r:id="rId823" ref="F152"/>
    <hyperlink r:id="rId824" ref="G152"/>
    <hyperlink r:id="rId825" ref="H152"/>
    <hyperlink r:id="rId826" location="cite_note-10" ref="J152"/>
    <hyperlink r:id="rId827" ref="C153"/>
    <hyperlink r:id="rId828" ref="D153"/>
    <hyperlink r:id="rId829" ref="E153"/>
    <hyperlink r:id="rId830" ref="F153"/>
    <hyperlink r:id="rId831" ref="G153"/>
    <hyperlink r:id="rId832" ref="H153"/>
    <hyperlink r:id="rId833" ref="C154"/>
    <hyperlink r:id="rId834" ref="D154"/>
    <hyperlink r:id="rId835" ref="E154"/>
    <hyperlink r:id="rId836" ref="F154"/>
    <hyperlink r:id="rId837" ref="G154"/>
    <hyperlink r:id="rId838" ref="H154"/>
    <hyperlink r:id="rId839" ref="C155"/>
    <hyperlink r:id="rId840" ref="D155"/>
    <hyperlink r:id="rId841" ref="E155"/>
    <hyperlink r:id="rId842" ref="F155"/>
    <hyperlink r:id="rId843" ref="G155"/>
    <hyperlink r:id="rId844" ref="H155"/>
    <hyperlink r:id="rId845" ref="D156"/>
    <hyperlink r:id="rId846" ref="E156"/>
    <hyperlink r:id="rId847" ref="F156"/>
    <hyperlink r:id="rId848" ref="G156"/>
    <hyperlink r:id="rId849" ref="H156"/>
    <hyperlink r:id="rId850" ref="C157"/>
    <hyperlink r:id="rId851" ref="D157"/>
    <hyperlink r:id="rId852" ref="E157"/>
    <hyperlink r:id="rId853" ref="F157"/>
    <hyperlink r:id="rId854" ref="G157"/>
    <hyperlink r:id="rId855" ref="H157"/>
    <hyperlink r:id="rId856" ref="E158"/>
    <hyperlink r:id="rId857" ref="F158"/>
    <hyperlink r:id="rId858" ref="G158"/>
    <hyperlink r:id="rId859" ref="H158"/>
    <hyperlink r:id="rId860" ref="C159"/>
    <hyperlink r:id="rId861" ref="D159"/>
    <hyperlink r:id="rId862" ref="E159"/>
    <hyperlink r:id="rId863" ref="F159"/>
    <hyperlink r:id="rId864" ref="G159"/>
    <hyperlink r:id="rId865" ref="H159"/>
    <hyperlink r:id="rId866" location="cite_note-12" ref="J159"/>
    <hyperlink r:id="rId867" ref="C160"/>
    <hyperlink r:id="rId868" ref="D160"/>
    <hyperlink r:id="rId869" ref="E160"/>
    <hyperlink r:id="rId870" ref="F160"/>
    <hyperlink r:id="rId871" ref="G160"/>
    <hyperlink r:id="rId872" ref="H160"/>
    <hyperlink r:id="rId873" ref="C161"/>
    <hyperlink r:id="rId874" ref="D161"/>
    <hyperlink r:id="rId875" ref="E161"/>
    <hyperlink r:id="rId876" ref="F161"/>
    <hyperlink r:id="rId877" ref="G161"/>
    <hyperlink r:id="rId878" ref="H161"/>
    <hyperlink r:id="rId879" ref="D162"/>
    <hyperlink r:id="rId880" ref="E162"/>
    <hyperlink r:id="rId881" ref="F162"/>
    <hyperlink r:id="rId882" ref="G162"/>
    <hyperlink r:id="rId883" ref="H162"/>
    <hyperlink r:id="rId884" ref="C163"/>
    <hyperlink r:id="rId885" ref="D163"/>
    <hyperlink r:id="rId886" ref="E163"/>
    <hyperlink r:id="rId887" ref="F163"/>
    <hyperlink r:id="rId888" ref="G163"/>
    <hyperlink r:id="rId889" ref="H163"/>
    <hyperlink r:id="rId890" ref="C164"/>
    <hyperlink r:id="rId891" ref="D164"/>
    <hyperlink r:id="rId892" ref="E164"/>
    <hyperlink r:id="rId893" ref="F164"/>
    <hyperlink r:id="rId894" ref="G164"/>
    <hyperlink r:id="rId895" ref="H164"/>
    <hyperlink r:id="rId896" ref="C165"/>
    <hyperlink r:id="rId897" ref="D165"/>
    <hyperlink r:id="rId898" ref="E165"/>
    <hyperlink r:id="rId899" ref="F165"/>
    <hyperlink r:id="rId900" ref="G165"/>
    <hyperlink r:id="rId901" ref="H165"/>
    <hyperlink r:id="rId902" ref="C166"/>
    <hyperlink r:id="rId903" ref="D166"/>
    <hyperlink r:id="rId904" ref="E166"/>
    <hyperlink r:id="rId905" ref="F166"/>
    <hyperlink r:id="rId906" ref="G166"/>
    <hyperlink r:id="rId907" ref="H166"/>
    <hyperlink r:id="rId908" ref="C167"/>
    <hyperlink r:id="rId909" ref="D167"/>
    <hyperlink r:id="rId910" ref="E167"/>
    <hyperlink r:id="rId911" ref="F167"/>
    <hyperlink r:id="rId912" ref="G167"/>
    <hyperlink r:id="rId913" ref="H167"/>
    <hyperlink r:id="rId914" ref="C168"/>
    <hyperlink r:id="rId915" ref="D168"/>
    <hyperlink r:id="rId916" ref="E168"/>
    <hyperlink r:id="rId917" ref="F168"/>
    <hyperlink r:id="rId918" ref="G168"/>
    <hyperlink r:id="rId919" ref="H168"/>
    <hyperlink r:id="rId920" ref="C169"/>
    <hyperlink r:id="rId921" ref="D169"/>
    <hyperlink r:id="rId922" ref="E169"/>
    <hyperlink r:id="rId923" ref="F169"/>
    <hyperlink r:id="rId924" ref="G169"/>
    <hyperlink r:id="rId925" ref="H169"/>
    <hyperlink r:id="rId926" ref="D170"/>
    <hyperlink r:id="rId927" ref="E170"/>
    <hyperlink r:id="rId928" ref="F170"/>
    <hyperlink r:id="rId929" ref="G170"/>
    <hyperlink r:id="rId930" ref="H170"/>
    <hyperlink r:id="rId931" ref="D171"/>
    <hyperlink r:id="rId932" ref="E171"/>
    <hyperlink r:id="rId933" ref="F171"/>
    <hyperlink r:id="rId934" ref="G171"/>
    <hyperlink r:id="rId935" ref="H171"/>
    <hyperlink r:id="rId936" location="cite_note-13" ref="J171"/>
    <hyperlink r:id="rId937" ref="D172"/>
    <hyperlink r:id="rId938" ref="E172"/>
    <hyperlink r:id="rId939" ref="F172"/>
    <hyperlink r:id="rId940" ref="G172"/>
    <hyperlink r:id="rId941" ref="H172"/>
    <hyperlink r:id="rId942" ref="C173"/>
    <hyperlink r:id="rId943" ref="D173"/>
    <hyperlink r:id="rId944" ref="E173"/>
    <hyperlink r:id="rId945" ref="F173"/>
    <hyperlink r:id="rId946" ref="G173"/>
    <hyperlink r:id="rId947" ref="H173"/>
    <hyperlink r:id="rId948" ref="D174"/>
    <hyperlink r:id="rId949" ref="E174"/>
    <hyperlink r:id="rId950" ref="F174"/>
    <hyperlink r:id="rId951" ref="G174"/>
    <hyperlink r:id="rId952" ref="H174"/>
    <hyperlink r:id="rId953" ref="D175"/>
    <hyperlink r:id="rId954" ref="E175"/>
    <hyperlink r:id="rId955" ref="F175"/>
    <hyperlink r:id="rId956" ref="G175"/>
    <hyperlink r:id="rId957" ref="H175"/>
    <hyperlink r:id="rId958" ref="E176"/>
    <hyperlink r:id="rId959" ref="F176"/>
    <hyperlink r:id="rId960" ref="G176"/>
    <hyperlink r:id="rId961" ref="H176"/>
    <hyperlink r:id="rId962" location="cite_note-14" ref="J176"/>
    <hyperlink r:id="rId963" ref="E177"/>
    <hyperlink r:id="rId964" ref="F177"/>
    <hyperlink r:id="rId965" ref="G177"/>
    <hyperlink r:id="rId966" ref="H177"/>
    <hyperlink r:id="rId967" ref="D178"/>
    <hyperlink r:id="rId968" ref="E178"/>
    <hyperlink r:id="rId969" ref="F178"/>
    <hyperlink r:id="rId970" ref="G178"/>
    <hyperlink r:id="rId971" ref="H178"/>
    <hyperlink r:id="rId972" ref="E179"/>
    <hyperlink r:id="rId973" ref="F179"/>
    <hyperlink r:id="rId974" ref="G179"/>
    <hyperlink r:id="rId975" ref="H179"/>
    <hyperlink r:id="rId976" location="cite_note-16" ref="J179"/>
    <hyperlink r:id="rId977" ref="C190"/>
    <hyperlink r:id="rId978" ref="C192"/>
    <hyperlink r:id="rId979" ref="D192"/>
    <hyperlink r:id="rId980" ref="E192"/>
    <hyperlink r:id="rId981" ref="I192"/>
    <hyperlink r:id="rId982" ref="C193"/>
    <hyperlink r:id="rId983" ref="D193"/>
    <hyperlink r:id="rId984" ref="E193"/>
    <hyperlink r:id="rId985" ref="I193"/>
    <hyperlink r:id="rId986" ref="C194"/>
    <hyperlink r:id="rId987" ref="D194"/>
    <hyperlink r:id="rId988" ref="E194"/>
    <hyperlink r:id="rId989" ref="I194"/>
    <hyperlink r:id="rId990" ref="D195"/>
    <hyperlink r:id="rId991" ref="E195"/>
    <hyperlink r:id="rId992" ref="I195"/>
    <hyperlink r:id="rId993" ref="D196"/>
    <hyperlink r:id="rId994" ref="E196"/>
    <hyperlink r:id="rId995" ref="I196"/>
    <hyperlink r:id="rId996" ref="D197"/>
    <hyperlink r:id="rId997" ref="E197"/>
    <hyperlink r:id="rId998" ref="I197"/>
    <hyperlink r:id="rId999" ref="C199"/>
    <hyperlink r:id="rId1000" ref="C200"/>
    <hyperlink r:id="rId1001" ref="C201"/>
    <hyperlink r:id="rId1002" ref="C202"/>
    <hyperlink r:id="rId1003" ref="C203"/>
    <hyperlink r:id="rId1004" ref="C204"/>
    <hyperlink r:id="rId1005" ref="C205"/>
    <hyperlink r:id="rId1006" ref="C206"/>
    <hyperlink r:id="rId1007" ref="C207"/>
    <hyperlink r:id="rId1008" ref="C208"/>
    <hyperlink r:id="rId1009" ref="C210"/>
    <hyperlink r:id="rId1010" location="cite_ref-1" ref="C211"/>
    <hyperlink r:id="rId1011" location="cite_ref-2" ref="C212"/>
    <hyperlink r:id="rId1012" location="cite_ref-3" ref="C213"/>
    <hyperlink r:id="rId1013" location="cite_ref-4" ref="C214"/>
    <hyperlink r:id="rId1014" location="cite_ref-5" ref="C215"/>
    <hyperlink r:id="rId1015" location="cite_ref-6" ref="C216"/>
    <hyperlink r:id="rId1016" location="cite_ref-7" ref="C217"/>
    <hyperlink r:id="rId1017" location="cite_ref-8" ref="C218"/>
    <hyperlink r:id="rId1018" location="cite_ref-9" ref="C219"/>
    <hyperlink r:id="rId1019" location="cite_ref-10" ref="C220"/>
    <hyperlink r:id="rId1020" location="cite_ref-11" ref="C221"/>
    <hyperlink r:id="rId1021" location="cite_ref-12" ref="C222"/>
    <hyperlink r:id="rId1022" location="cite_ref-13" ref="C223"/>
    <hyperlink r:id="rId1023" location="cite_ref-14" ref="C224"/>
    <hyperlink r:id="rId1024" location="cite_ref-:0_15-0" ref="C225"/>
    <hyperlink r:id="rId1025" location="cite_ref-16" ref="C226"/>
  </hyperlinks>
  <printOptions gridLines="1" horizontalCentered="1"/>
  <pageMargins bottom="0.20809792843691147" footer="0.0" header="0.0" left="0.256120527306968" right="0.24811676082862522" top="0.20809792843691147"/>
  <pageSetup fitToHeight="0" cellComments="atEnd" orientation="portrait" pageOrder="overThenDown"/>
  <drawing r:id="rId1026"/>
</worksheet>
</file>